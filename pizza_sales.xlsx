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timelines/timeline2.xml" ContentType="application/vnd.ms-excel.timelin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pizza sales\"/>
    </mc:Choice>
  </mc:AlternateContent>
  <xr:revisionPtr revIDLastSave="0" documentId="13_ncr:1_{BBD7F418-2770-4335-99EA-56A005101D6A}" xr6:coauthVersionLast="47" xr6:coauthVersionMax="47" xr10:uidLastSave="{00000000-0000-0000-0000-000000000000}"/>
  <bookViews>
    <workbookView xWindow="-120" yWindow="-120" windowWidth="20730" windowHeight="11160" firstSheet="1" activeTab="3" xr2:uid="{6D3AFE65-7A18-4516-B87B-A56B705B9B48}"/>
  </bookViews>
  <sheets>
    <sheet name="KPI" sheetId="3" r:id="rId1"/>
    <sheet name="Dashboard" sheetId="4" r:id="rId2"/>
    <sheet name="Trends for total order" sheetId="5" r:id="rId3"/>
    <sheet name="Percentage of sales" sheetId="6" r:id="rId4"/>
    <sheet name="Best and worse sellers" sheetId="8" r:id="rId5"/>
    <sheet name="pizza_sales" sheetId="2" r:id="rId6"/>
  </sheets>
  <definedNames>
    <definedName name="_xlchart.v2.0" hidden="1">'Percentage of sales'!$D$30:$D$32</definedName>
    <definedName name="_xlchart.v2.1" hidden="1">'Percentage of sales'!$E$29</definedName>
    <definedName name="_xlchart.v2.2" hidden="1">'Percentage of sales'!$E$30:$E$32</definedName>
    <definedName name="_xlchart.v2.3" hidden="1">'Percentage of sales'!$D$30:$D$32</definedName>
    <definedName name="_xlchart.v2.4" hidden="1">'Percentage of sales'!$E$29</definedName>
    <definedName name="_xlchart.v2.5" hidden="1">'Percentage of sales'!$E$30:$E$32</definedName>
    <definedName name="_xlchart.v2.6" hidden="1">'Percentage of sales'!$D$30:$D$32</definedName>
    <definedName name="_xlchart.v2.7" hidden="1">'Percentage of sales'!$E$29</definedName>
    <definedName name="_xlchart.v2.8" hidden="1">'Percentage of sales'!$E$30:$E$32</definedName>
    <definedName name="ExternalData_1" localSheetId="5" hidden="1">pizza_sales!$A$1:$N$3762</definedName>
    <definedName name="NativeTimeline_order_date">#N/A</definedName>
  </definedNames>
  <calcPr calcId="191029"/>
  <pivotCaches>
    <pivotCache cacheId="3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6" l="1"/>
  <c r="D32" i="6"/>
  <c r="D30" i="6"/>
  <c r="D4" i="3"/>
  <c r="E4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E32" i="6"/>
  <c r="E31" i="6"/>
  <c r="E30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B645BE-6E8E-47B3-969D-9CB0E9DF30F6}" keepAlive="1" name="Query - pizza_sales" description="Connection to the 'pizza_sales' query in the workbook." type="5" refreshedVersion="7" background="1" saveData="1">
    <dbPr connection="Provider=Microsoft.Mashup.OleDb.1;Data Source=$Workbook$;Location=pizza_sales;Extended Properties=&quot;&quot;" command="SELECT * FROM [pizza_sales]"/>
  </connection>
</connections>
</file>

<file path=xl/sharedStrings.xml><?xml version="1.0" encoding="utf-8"?>
<sst xmlns="http://schemas.openxmlformats.org/spreadsheetml/2006/main" count="18890" uniqueCount="99">
  <si>
    <t>pizza_id</t>
  </si>
  <si>
    <t>order_id</t>
  </si>
  <si>
    <t>pizza_name_id</t>
  </si>
  <si>
    <t>quantity</t>
  </si>
  <si>
    <t>order_date</t>
  </si>
  <si>
    <t>order_time</t>
  </si>
  <si>
    <t>unit_price</t>
  </si>
  <si>
    <t>total_price</t>
  </si>
  <si>
    <t>pizza_size</t>
  </si>
  <si>
    <t>pizza_category</t>
  </si>
  <si>
    <t>pizza_ingredients</t>
  </si>
  <si>
    <t>pizza_name</t>
  </si>
  <si>
    <t>hawaiian_m</t>
  </si>
  <si>
    <t>Classic</t>
  </si>
  <si>
    <t>Sliced Ham, Pineapple, Mozzarella Cheese</t>
  </si>
  <si>
    <t>The Hawaiian Pizza</t>
  </si>
  <si>
    <t>mexicana_m</t>
  </si>
  <si>
    <t>Veggie</t>
  </si>
  <si>
    <t>Tomatoes, Red Peppers, Jalapeno Peppers, Red Onions, Cilantro, Corn, Chipotle Sauce, Garlic</t>
  </si>
  <si>
    <t>The Mexicana Pizza</t>
  </si>
  <si>
    <t>the_greek_s</t>
  </si>
  <si>
    <t>Kalamata Olives, Feta Cheese, Tomatoes, Garlic, Beef Chuck Roast, Red Onions</t>
  </si>
  <si>
    <t>The Greek Pizza</t>
  </si>
  <si>
    <t>mexicana_s</t>
  </si>
  <si>
    <t>mexicana_l</t>
  </si>
  <si>
    <t>pepperoni_l</t>
  </si>
  <si>
    <t>Mozzarella Cheese, Pepperoni</t>
  </si>
  <si>
    <t>The Pepperoni Pizza</t>
  </si>
  <si>
    <t>big_meat_s</t>
  </si>
  <si>
    <t>Bacon, Pepperoni, Italian Sausage, Chorizo Sausage</t>
  </si>
  <si>
    <t>The Big Meat Pizza</t>
  </si>
  <si>
    <t>napolitana_s</t>
  </si>
  <si>
    <t>Tomatoes, Anchovies, Green Olives, Red Onions, Garlic</t>
  </si>
  <si>
    <t>The Napolitana Pizza</t>
  </si>
  <si>
    <t>calabrese_m</t>
  </si>
  <si>
    <t>Supreme</t>
  </si>
  <si>
    <t>?duja Salami, Pancetta, Tomatoes, Red Onions, Friggitello Peppers, Garlic</t>
  </si>
  <si>
    <t>The Calabrese Pizza</t>
  </si>
  <si>
    <t>napolitana_l</t>
  </si>
  <si>
    <t>sicilian_l</t>
  </si>
  <si>
    <t>Coarse Sicilian Salami, Tomatoes, Green Olives, Luganega Sausage, Onions, Garlic</t>
  </si>
  <si>
    <t>The Sicilian Pizza</t>
  </si>
  <si>
    <t>pepperoni_m</t>
  </si>
  <si>
    <t>sicilian_m</t>
  </si>
  <si>
    <t>pepperoni_s</t>
  </si>
  <si>
    <t>hawaiian_s</t>
  </si>
  <si>
    <t>the_greek_xl</t>
  </si>
  <si>
    <t>hawaiian_l</t>
  </si>
  <si>
    <t>sicilian_s</t>
  </si>
  <si>
    <t>the_greek_m</t>
  </si>
  <si>
    <t>napolitana_m</t>
  </si>
  <si>
    <t>brie_carre_s</t>
  </si>
  <si>
    <t>Brie Carre Cheese, Prosciutto, Caramelized Onions, Pears, Thyme, Garlic</t>
  </si>
  <si>
    <t>The Brie Carre Pizza</t>
  </si>
  <si>
    <t>calabrese_s</t>
  </si>
  <si>
    <t>the_greek_l</t>
  </si>
  <si>
    <t>calabrese_l</t>
  </si>
  <si>
    <t>the_greek_xxl</t>
  </si>
  <si>
    <t>Large</t>
  </si>
  <si>
    <t>Medium</t>
  </si>
  <si>
    <t>Regular</t>
  </si>
  <si>
    <t>X-Large</t>
  </si>
  <si>
    <t>XX-Large</t>
  </si>
  <si>
    <t>order_day</t>
  </si>
  <si>
    <t>Total Revenue</t>
  </si>
  <si>
    <t>total_orders</t>
  </si>
  <si>
    <t>Sum of total_orders</t>
  </si>
  <si>
    <t>Total Orders</t>
  </si>
  <si>
    <t>Avg Order Value</t>
  </si>
  <si>
    <t>Avg pizzas per Order</t>
  </si>
  <si>
    <t>Total pizza sold</t>
  </si>
  <si>
    <t>Row Labels</t>
  </si>
  <si>
    <t>Sunday</t>
  </si>
  <si>
    <t>Monday</t>
  </si>
  <si>
    <t>Tuesday</t>
  </si>
  <si>
    <t>Wednesday</t>
  </si>
  <si>
    <t>Thursday</t>
  </si>
  <si>
    <t>Friday</t>
  </si>
  <si>
    <t>Saturday</t>
  </si>
  <si>
    <t>Grand Total</t>
  </si>
  <si>
    <t>Daily Trend for total Order</t>
  </si>
  <si>
    <t>Hourly Trend for total Order</t>
  </si>
  <si>
    <t>11 AM</t>
  </si>
  <si>
    <t>12 PM</t>
  </si>
  <si>
    <t>1 PM</t>
  </si>
  <si>
    <t>2 PM</t>
  </si>
  <si>
    <t>3 PM</t>
  </si>
  <si>
    <t>4 PM</t>
  </si>
  <si>
    <t>5 PM</t>
  </si>
  <si>
    <t>6 PM</t>
  </si>
  <si>
    <t>7 PM</t>
  </si>
  <si>
    <t>8 PM</t>
  </si>
  <si>
    <t>9 PM</t>
  </si>
  <si>
    <t>10 PM</t>
  </si>
  <si>
    <t>11 PM</t>
  </si>
  <si>
    <t>Sum of total_price</t>
  </si>
  <si>
    <t>Sum of quantity</t>
  </si>
  <si>
    <t>pizza category</t>
  </si>
  <si>
    <t>Total pizzas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</si>
</sst>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F400]h:mm:ss\ AM/PM"/>
    <numFmt numFmtId="165" formatCode="_(&quot;$&quot;* #,##0_);_(&quot;$&quot;* \(#,##0\);_(&quot;$&quot;* &quot;-&quot;??_);_(@_)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2" borderId="0" xfId="0" applyFont="1" applyFill="1"/>
    <xf numFmtId="43" fontId="3" fillId="0" borderId="0" xfId="1" applyFont="1"/>
    <xf numFmtId="165" fontId="3" fillId="0" borderId="0" xfId="0" applyNumberFormat="1" applyFont="1"/>
    <xf numFmtId="166" fontId="3" fillId="0" borderId="0" xfId="0" applyNumberFormat="1" applyFont="1"/>
    <xf numFmtId="44" fontId="3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 vertical="center"/>
    </xf>
    <xf numFmtId="10" fontId="0" fillId="0" borderId="0" xfId="0" applyNumberFormat="1"/>
    <xf numFmtId="0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39">
    <dxf>
      <font>
        <b/>
        <i val="0"/>
        <sz val="14"/>
        <color theme="0"/>
        <name val="Calibri"/>
        <family val="2"/>
        <scheme val="minor"/>
      </font>
    </dxf>
    <dxf>
      <fill>
        <gradientFill degree="180">
          <stop position="0">
            <color theme="5" tint="-0.25098422193060094"/>
          </stop>
          <stop position="1">
            <color theme="4" tint="-0.25098422193060094"/>
          </stop>
        </gradientFill>
      </fill>
      <border diagonalUp="0" diagonalDown="0">
        <left/>
        <right/>
        <top/>
        <bottom/>
        <vertical/>
        <horizontal/>
      </border>
    </dxf>
    <dxf>
      <font>
        <sz val="16"/>
      </font>
    </dxf>
    <dxf>
      <numFmt numFmtId="165" formatCode="_(&quot;$&quot;* #,##0_);_(&quot;$&quot;* \(#,##0\);_(&quot;$&quot;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sz val="16"/>
      </font>
    </dxf>
    <dxf>
      <numFmt numFmtId="165" formatCode="_(&quot;$&quot;* #,##0_);_(&quot;$&quot;* \(#,##0\);_(&quot;$&quot;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sz val="16"/>
      </font>
    </dxf>
    <dxf>
      <numFmt numFmtId="165" formatCode="_(&quot;$&quot;* #,##0_);_(&quot;$&quot;* \(#,##0\);_(&quot;$&quot;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sz val="16"/>
      </font>
    </dxf>
    <dxf>
      <numFmt numFmtId="165" formatCode="_(&quot;$&quot;* #,##0_);_(&quot;$&quot;* \(#,##0\);_(&quot;$&quot;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sz val="16"/>
      </font>
    </dxf>
    <dxf>
      <numFmt numFmtId="165" formatCode="_(&quot;$&quot;* #,##0_);_(&quot;$&quot;* \(#,##0\);_(&quot;$&quot;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sz val="16"/>
      </font>
    </dxf>
    <dxf>
      <numFmt numFmtId="165" formatCode="_(&quot;$&quot;* #,##0_);_(&quot;$&quot;* \(#,##0\);_(&quot;$&quot;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5" formatCode="_(&quot;$&quot;* #,##0_);_(&quot;$&quot;* \(#,##0\);_(&quot;$&quot;* &quot;-&quot;??_);_(@_)"/>
    </dxf>
    <dxf>
      <font>
        <sz val="16"/>
      </font>
    </dxf>
  </dxfs>
  <tableStyles count="1" defaultTableStyle="TableStyleMedium2" defaultPivotStyle="PivotStyleLight16">
    <tableStyle name="Pizza slicer" pivot="0" table="0" count="8" xr9:uid="{B1A358A8-5E14-48BD-BE47-8C9F3B4A953B}">
      <tableStyleElement type="wholeTable" dxfId="1"/>
      <tableStyleElement type="headerRow" dxfId="0"/>
    </tableStyle>
  </tableStyles>
  <colors>
    <mruColors>
      <color rgb="FF7F3A0B"/>
      <color rgb="FFCC5D12"/>
      <color rgb="FF2F5597"/>
      <color rgb="FF3E5C95"/>
      <color rgb="FFF4B1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5" tint="-0.24994659260841701"/>
            </patternFill>
          </fill>
        </dxf>
        <dxf>
          <font>
            <sz val="10"/>
            <color theme="7" tint="0.39994506668294322"/>
            <name val="Calibri"/>
            <family val="2"/>
            <scheme val="minor"/>
          </font>
        </dxf>
        <dxf>
          <font>
            <sz val="9"/>
            <color theme="1" tint="0.499984740745262"/>
          </font>
        </dxf>
        <dxf>
          <font>
            <sz val="10"/>
            <color theme="4" tint="0.59996337778862885"/>
            <name val="Calibri"/>
            <family val="2"/>
            <scheme val="minor"/>
          </font>
        </dxf>
        <dxf>
          <font>
            <b/>
            <i val="0"/>
            <sz val="10"/>
            <color theme="0"/>
            <name val="Calibri"/>
            <family val="2"/>
            <scheme val="minor"/>
          </font>
        </dxf>
        <dxf>
          <font>
            <sz val="10"/>
            <color theme="7" tint="0.39994506668294322"/>
            <name val="Calibri"/>
            <family val="2"/>
            <scheme val="minor"/>
          </font>
        </dxf>
        <dxf>
          <font>
            <sz val="9"/>
            <color theme="1" tint="0.499984740745262"/>
          </font>
        </dxf>
        <dxf>
          <font>
            <sz val="10"/>
            <color theme="4" tint="0.59996337778862885"/>
            <name val="Calibri"/>
            <family val="2"/>
            <scheme val="minor"/>
          </font>
        </dxf>
        <dxf>
          <font>
            <b/>
            <i val="0"/>
            <sz val="10"/>
            <color theme="0"/>
            <name val="Calibri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5" tint="-0.24994659260841701"/>
            </patternFill>
          </fill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Pizza slicer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[pizza_sales.xlsx]Trends for total order!Daily Trend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F4B183"/>
              </a:gs>
              <a:gs pos="57000">
                <a:srgbClr val="3E5C95"/>
              </a:gs>
              <a:gs pos="100000">
                <a:srgbClr val="2F5597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687852142358281E-2"/>
          <c:y val="8.4170266145538047E-2"/>
          <c:w val="0.94262429571528339"/>
          <c:h val="0.776579457755503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'Trends for total order'!$B$3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F4B183"/>
                </a:gs>
                <a:gs pos="57000">
                  <a:srgbClr val="3E5C95"/>
                </a:gs>
                <a:gs pos="100000">
                  <a:srgbClr val="2F5597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'Trends for total order'!$A$4:$A$11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'Trends for total order'!$B$4:$B$11</c:f>
              <c:numCache>
                <c:formatCode>General</c:formatCode>
                <c:ptCount val="7"/>
                <c:pt idx="0">
                  <c:v>85</c:v>
                </c:pt>
                <c:pt idx="1">
                  <c:v>114.99999999999996</c:v>
                </c:pt>
                <c:pt idx="2">
                  <c:v>95</c:v>
                </c:pt>
                <c:pt idx="3">
                  <c:v>136.00000000000003</c:v>
                </c:pt>
                <c:pt idx="4">
                  <c:v>84</c:v>
                </c:pt>
                <c:pt idx="5">
                  <c:v>76.999999999999986</c:v>
                </c:pt>
                <c:pt idx="6">
                  <c:v>121.00000000000007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1-46D9-B45E-DAE80CAB0A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0"/>
        <c:overlap val="-27"/>
        <c:axId val="1614429808"/>
        <c:axId val="1614431472"/>
      </c:barChart>
      <c:catAx>
        <c:axId val="161442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431472"/>
        <c:crosses val="autoZero"/>
        <c:auto val="1"/>
        <c:lblAlgn val="ctr"/>
        <c:lblOffset val="100"/>
        <c:noMultiLvlLbl val="0"/>
      </c:catAx>
      <c:valAx>
        <c:axId val="1614431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1442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[pizza_sales.xlsx]Trends for total order!Hourly Trend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 cmpd="sng" algn="ctr">
            <a:solidFill>
              <a:srgbClr val="CC5D12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1">
                <a:lumMod val="60000"/>
                <a:lumOff val="40000"/>
              </a:schemeClr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158839022753504E-2"/>
          <c:y val="0.15307154905489578"/>
          <c:w val="0.95368351354219005"/>
          <c:h val="0.6359853259383641"/>
        </c:manualLayout>
      </c:layout>
      <c:lineChart>
        <c:grouping val="standard"/>
        <c:varyColors val="0"/>
        <c:ser>
          <c:idx val="0"/>
          <c:order val="0"/>
          <c:tx>
            <c:strRef>
              <c:f>'Trends for total order'!$B$18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 cmpd="sng" algn="ctr">
              <a:solidFill>
                <a:srgbClr val="CC5D1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'Trends for total order'!$A$19:$A$32</c:f>
              <c:strCache>
                <c:ptCount val="13"/>
                <c:pt idx="0">
                  <c:v>11 AM</c:v>
                </c:pt>
                <c:pt idx="1">
                  <c:v>12 PM</c:v>
                </c:pt>
                <c:pt idx="2">
                  <c:v>1 PM</c:v>
                </c:pt>
                <c:pt idx="3">
                  <c:v>2 PM</c:v>
                </c:pt>
                <c:pt idx="4">
                  <c:v>3 PM</c:v>
                </c:pt>
                <c:pt idx="5">
                  <c:v>4 PM</c:v>
                </c:pt>
                <c:pt idx="6">
                  <c:v>5 PM</c:v>
                </c:pt>
                <c:pt idx="7">
                  <c:v>6 PM</c:v>
                </c:pt>
                <c:pt idx="8">
                  <c:v>7 PM</c:v>
                </c:pt>
                <c:pt idx="9">
                  <c:v>8 PM</c:v>
                </c:pt>
                <c:pt idx="10">
                  <c:v>9 PM</c:v>
                </c:pt>
                <c:pt idx="11">
                  <c:v>10 PM</c:v>
                </c:pt>
                <c:pt idx="12">
                  <c:v>11 PM</c:v>
                </c:pt>
              </c:strCache>
            </c:strRef>
          </c:cat>
          <c:val>
            <c:numRef>
              <c:f>'Trends for total order'!$B$19:$B$32</c:f>
              <c:numCache>
                <c:formatCode>General</c:formatCode>
                <c:ptCount val="13"/>
                <c:pt idx="0">
                  <c:v>41</c:v>
                </c:pt>
                <c:pt idx="1">
                  <c:v>87</c:v>
                </c:pt>
                <c:pt idx="2">
                  <c:v>70</c:v>
                </c:pt>
                <c:pt idx="3">
                  <c:v>45</c:v>
                </c:pt>
                <c:pt idx="4">
                  <c:v>48</c:v>
                </c:pt>
                <c:pt idx="5">
                  <c:v>52.000000000000007</c:v>
                </c:pt>
                <c:pt idx="6">
                  <c:v>98</c:v>
                </c:pt>
                <c:pt idx="7">
                  <c:v>82.000000000000014</c:v>
                </c:pt>
                <c:pt idx="8">
                  <c:v>72</c:v>
                </c:pt>
                <c:pt idx="9">
                  <c:v>43</c:v>
                </c:pt>
                <c:pt idx="10">
                  <c:v>50</c:v>
                </c:pt>
                <c:pt idx="11">
                  <c:v>24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EB-4460-BC99-7F1B5E19996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accent1">
                      <a:lumMod val="60000"/>
                      <a:lumOff val="40000"/>
                    </a:schemeClr>
                  </a:gs>
                  <a:gs pos="100000">
                    <a:schemeClr val="accent2">
                      <a:lumMod val="50000"/>
                    </a:schemeClr>
                  </a:gs>
                </a:gsLst>
                <a:lin ang="5400000" scaled="1"/>
              </a:gradFill>
              <a:round/>
            </a:ln>
            <a:effectLst/>
          </c:spPr>
        </c:dropLines>
        <c:marker val="1"/>
        <c:smooth val="0"/>
        <c:axId val="1875763168"/>
        <c:axId val="1875763584"/>
      </c:lineChart>
      <c:catAx>
        <c:axId val="1875763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763584"/>
        <c:crosses val="autoZero"/>
        <c:auto val="1"/>
        <c:lblAlgn val="ctr"/>
        <c:lblOffset val="100"/>
        <c:noMultiLvlLbl val="0"/>
      </c:catAx>
      <c:valAx>
        <c:axId val="18757635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7576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[pizza_sales.xlsx]Percentage of sales!percentage of sells by category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166666666666666E-2"/>
              <c:y val="-6.9444444444444461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611111111111111E-2"/>
              <c:y val="3.7037037037036952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4444444444444442E-2"/>
              <c:y val="-9.2592592592592587E-3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611111111111111E-2"/>
              <c:y val="3.7037037037036952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4444444444444442E-2"/>
              <c:y val="-9.2592592592592587E-3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166666666666666E-2"/>
              <c:y val="-6.9444444444444461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0.11306651966991217"/>
              <c:y val="5.8089823505911596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9.4444444444444442E-2"/>
              <c:y val="-9.2592592592592587E-3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9.166666666666666E-2"/>
              <c:y val="-6.9444444444444461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757589980934085"/>
          <c:y val="0.10460511374781807"/>
          <c:w val="0.43393484356731532"/>
          <c:h val="0.79078977250436389"/>
        </c:manualLayout>
      </c:layout>
      <c:doughnutChart>
        <c:varyColors val="1"/>
        <c:ser>
          <c:idx val="0"/>
          <c:order val="0"/>
          <c:tx>
            <c:strRef>
              <c:f>'Percentage of sales'!$B$3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E4F-4822-BE6D-726F26CEEA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E4F-4822-BE6D-726F26CEEA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E4F-4822-BE6D-726F26CEEA8B}"/>
              </c:ext>
            </c:extLst>
          </c:dPt>
          <c:dLbls>
            <c:dLbl>
              <c:idx val="0"/>
              <c:layout>
                <c:manualLayout>
                  <c:x val="0.11306651966991217"/>
                  <c:y val="5.808982350591159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4F-4822-BE6D-726F26CEEA8B}"/>
                </c:ext>
              </c:extLst>
            </c:dLbl>
            <c:dLbl>
              <c:idx val="1"/>
              <c:layout>
                <c:manualLayout>
                  <c:x val="-9.4444444444444442E-2"/>
                  <c:y val="-9.259259259259258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4F-4822-BE6D-726F26CEEA8B}"/>
                </c:ext>
              </c:extLst>
            </c:dLbl>
            <c:dLbl>
              <c:idx val="2"/>
              <c:layout>
                <c:manualLayout>
                  <c:x val="-9.166666666666666E-2"/>
                  <c:y val="-6.944444444444446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4F-4822-BE6D-726F26CEEA8B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'Percentage of sales'!$A$4:$A$7</c:f>
              <c:strCache>
                <c:ptCount val="3"/>
                <c:pt idx="0">
                  <c:v>Classic</c:v>
                </c:pt>
                <c:pt idx="1">
                  <c:v>Supreme</c:v>
                </c:pt>
                <c:pt idx="2">
                  <c:v>Veggie</c:v>
                </c:pt>
              </c:strCache>
            </c:strRef>
          </c:cat>
          <c:val>
            <c:numRef>
              <c:f>'Percentage of sales'!$B$4:$B$7</c:f>
              <c:numCache>
                <c:formatCode>0.00%</c:formatCode>
                <c:ptCount val="3"/>
                <c:pt idx="0">
                  <c:v>0.62607114692324695</c:v>
                </c:pt>
                <c:pt idx="1">
                  <c:v>0.25123159211121127</c:v>
                </c:pt>
                <c:pt idx="2">
                  <c:v>0.12269726096554179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4F-4822-BE6D-726F26CEEA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[pizza_sales.xlsx]Percentage of sales!percentage of pizza size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5.1494230503004217E-2"/>
              <c:y val="1.41655619573237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2.5747115251502108E-2"/>
              <c:y val="7.08278097866186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614593777712906"/>
          <c:y val="0.16874140097407758"/>
          <c:w val="0.3514081557825009"/>
          <c:h val="0.6766827600091686"/>
        </c:manualLayout>
      </c:layout>
      <c:pieChart>
        <c:varyColors val="1"/>
        <c:ser>
          <c:idx val="0"/>
          <c:order val="0"/>
          <c:tx>
            <c:strRef>
              <c:f>'Percentage of sales'!$B$16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55-498A-AEA2-95DF2AE837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55-498A-AEA2-95DF2AE837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55-498A-AEA2-95DF2AE837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55-498A-AEA2-95DF2AE837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155-498A-AEA2-95DF2AE837A9}"/>
              </c:ext>
            </c:extLst>
          </c:dPt>
          <c:dLbls>
            <c:dLbl>
              <c:idx val="3"/>
              <c:layout>
                <c:manualLayout>
                  <c:x val="-5.1494230503004217E-2"/>
                  <c:y val="1.416556195732373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155-498A-AEA2-95DF2AE837A9}"/>
                </c:ext>
              </c:extLst>
            </c:dLbl>
            <c:dLbl>
              <c:idx val="4"/>
              <c:layout>
                <c:manualLayout>
                  <c:x val="2.5747115251502108E-2"/>
                  <c:y val="7.0827809786618671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155-498A-AEA2-95DF2AE837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'Percentage of sales'!$A$17:$A$22</c:f>
              <c:strCache>
                <c:ptCount val="5"/>
                <c:pt idx="0">
                  <c:v>Large</c:v>
                </c:pt>
                <c:pt idx="1">
                  <c:v>Medium</c:v>
                </c:pt>
                <c:pt idx="2">
                  <c:v>Regular</c:v>
                </c:pt>
                <c:pt idx="3">
                  <c:v>X-Large</c:v>
                </c:pt>
                <c:pt idx="4">
                  <c:v>XX-Large</c:v>
                </c:pt>
              </c:strCache>
            </c:strRef>
          </c:cat>
          <c:val>
            <c:numRef>
              <c:f>'Percentage of sales'!$B$17:$B$22</c:f>
              <c:numCache>
                <c:formatCode>0.00%</c:formatCode>
                <c:ptCount val="5"/>
                <c:pt idx="0">
                  <c:v>0.34159564183024649</c:v>
                </c:pt>
                <c:pt idx="1">
                  <c:v>0.25205980274728357</c:v>
                </c:pt>
                <c:pt idx="2">
                  <c:v>0.34507346657295673</c:v>
                </c:pt>
                <c:pt idx="3">
                  <c:v>5.8898644836222168E-2</c:v>
                </c:pt>
                <c:pt idx="4">
                  <c:v>2.372444013290966E-3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155-498A-AEA2-95DF2AE837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[pizza_sales.xlsx]Best and worse sellers!Top 5 best seller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4">
                  <a:lumMod val="50000"/>
                </a:schemeClr>
              </a:gs>
              <a:gs pos="100000">
                <a:srgbClr val="7F3A0B"/>
              </a:gs>
            </a:gsLst>
            <a:lin ang="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'Best and worse sellers'!$B$3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50000"/>
                  </a:schemeClr>
                </a:gs>
                <a:gs pos="100000">
                  <a:srgbClr val="7F3A0B"/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'Best and worse sellers'!$A$4:$A$9</c:f>
              <c:strCache>
                <c:ptCount val="5"/>
                <c:pt idx="0">
                  <c:v>The Mexicana Pizza</c:v>
                </c:pt>
                <c:pt idx="1">
                  <c:v>The Sicilian Pizza</c:v>
                </c:pt>
                <c:pt idx="2">
                  <c:v>The Big Meat Pizza</c:v>
                </c:pt>
                <c:pt idx="3">
                  <c:v>The Pepperoni Pizza</c:v>
                </c:pt>
                <c:pt idx="4">
                  <c:v>The Hawaiian Pizza</c:v>
                </c:pt>
              </c:strCache>
            </c:strRef>
          </c:cat>
          <c:val>
            <c:numRef>
              <c:f>'Best and worse sellers'!$B$4:$B$9</c:f>
              <c:numCache>
                <c:formatCode>General</c:formatCode>
                <c:ptCount val="5"/>
                <c:pt idx="0">
                  <c:v>102</c:v>
                </c:pt>
                <c:pt idx="1">
                  <c:v>116</c:v>
                </c:pt>
                <c:pt idx="2">
                  <c:v>152</c:v>
                </c:pt>
                <c:pt idx="3">
                  <c:v>171</c:v>
                </c:pt>
                <c:pt idx="4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3-43AF-A894-C5398BE4B4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3465791"/>
        <c:axId val="13464959"/>
      </c:barChart>
      <c:catAx>
        <c:axId val="134657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4959"/>
        <c:crosses val="autoZero"/>
        <c:auto val="1"/>
        <c:lblAlgn val="ctr"/>
        <c:lblOffset val="100"/>
        <c:noMultiLvlLbl val="0"/>
      </c:catAx>
      <c:valAx>
        <c:axId val="134649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46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[pizza_sales.xlsx]Best and worse sellers!Worst sellers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6">
                  <a:lumMod val="50000"/>
                </a:schemeClr>
              </a:gs>
              <a:gs pos="100000">
                <a:schemeClr val="accent1">
                  <a:lumMod val="50000"/>
                </a:scheme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'Best and worse sellers'!$B$15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50000"/>
                  </a:schemeClr>
                </a:gs>
                <a:gs pos="100000">
                  <a:schemeClr val="accent1">
                    <a:lumMod val="50000"/>
                  </a:schemeClr>
                </a:gs>
              </a:gsLst>
              <a:lin ang="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'Best and worse sellers'!$A$16:$A$21</c:f>
              <c:strCache>
                <c:ptCount val="5"/>
                <c:pt idx="0">
                  <c:v>The Mexicana Pizza</c:v>
                </c:pt>
                <c:pt idx="1">
                  <c:v>The Napolitana Pizza</c:v>
                </c:pt>
                <c:pt idx="2">
                  <c:v>The Greek Pizza</c:v>
                </c:pt>
                <c:pt idx="3">
                  <c:v>The Calabrese Pizza</c:v>
                </c:pt>
                <c:pt idx="4">
                  <c:v>The Brie Carre Pizza</c:v>
                </c:pt>
              </c:strCache>
            </c:strRef>
          </c:cat>
          <c:val>
            <c:numRef>
              <c:f>'Best and worse sellers'!$B$16:$B$21</c:f>
              <c:numCache>
                <c:formatCode>General</c:formatCode>
                <c:ptCount val="5"/>
                <c:pt idx="0">
                  <c:v>102</c:v>
                </c:pt>
                <c:pt idx="1">
                  <c:v>95</c:v>
                </c:pt>
                <c:pt idx="2">
                  <c:v>79</c:v>
                </c:pt>
                <c:pt idx="3">
                  <c:v>70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3-42C6-8B32-ED401BCCF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87801471"/>
        <c:axId val="1287796063"/>
      </c:barChart>
      <c:catAx>
        <c:axId val="12878014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796063"/>
        <c:crosses val="autoZero"/>
        <c:auto val="1"/>
        <c:lblAlgn val="ctr"/>
        <c:lblOffset val="100"/>
        <c:noMultiLvlLbl val="0"/>
      </c:catAx>
      <c:valAx>
        <c:axId val="12877960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8780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[pizza_sales.xlsx]Trends for total order!Daily Trend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'Trends for total order'!$B$3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'Trends for total order'!$A$4:$A$11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'Trends for total order'!$B$4:$B$11</c:f>
              <c:numCache>
                <c:formatCode>General</c:formatCode>
                <c:ptCount val="7"/>
                <c:pt idx="0">
                  <c:v>85</c:v>
                </c:pt>
                <c:pt idx="1">
                  <c:v>114.99999999999996</c:v>
                </c:pt>
                <c:pt idx="2">
                  <c:v>95</c:v>
                </c:pt>
                <c:pt idx="3">
                  <c:v>136.00000000000003</c:v>
                </c:pt>
                <c:pt idx="4">
                  <c:v>84</c:v>
                </c:pt>
                <c:pt idx="5">
                  <c:v>76.999999999999986</c:v>
                </c:pt>
                <c:pt idx="6">
                  <c:v>121.00000000000007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8-4E30-9F0E-5C1563BC2F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14429808"/>
        <c:axId val="1614431472"/>
      </c:barChart>
      <c:catAx>
        <c:axId val="161442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431472"/>
        <c:crosses val="autoZero"/>
        <c:auto val="1"/>
        <c:lblAlgn val="ctr"/>
        <c:lblOffset val="100"/>
        <c:noMultiLvlLbl val="0"/>
      </c:catAx>
      <c:valAx>
        <c:axId val="1614431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1442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[pizza_sales.xlsx]Trends for total order!Hourly Trend</c:name>
    <c:fmtId val="1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'Trends for total order'!$B$18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'Trends for total order'!$A$19:$A$32</c:f>
              <c:strCache>
                <c:ptCount val="13"/>
                <c:pt idx="0">
                  <c:v>11 AM</c:v>
                </c:pt>
                <c:pt idx="1">
                  <c:v>12 PM</c:v>
                </c:pt>
                <c:pt idx="2">
                  <c:v>1 PM</c:v>
                </c:pt>
                <c:pt idx="3">
                  <c:v>2 PM</c:v>
                </c:pt>
                <c:pt idx="4">
                  <c:v>3 PM</c:v>
                </c:pt>
                <c:pt idx="5">
                  <c:v>4 PM</c:v>
                </c:pt>
                <c:pt idx="6">
                  <c:v>5 PM</c:v>
                </c:pt>
                <c:pt idx="7">
                  <c:v>6 PM</c:v>
                </c:pt>
                <c:pt idx="8">
                  <c:v>7 PM</c:v>
                </c:pt>
                <c:pt idx="9">
                  <c:v>8 PM</c:v>
                </c:pt>
                <c:pt idx="10">
                  <c:v>9 PM</c:v>
                </c:pt>
                <c:pt idx="11">
                  <c:v>10 PM</c:v>
                </c:pt>
                <c:pt idx="12">
                  <c:v>11 PM</c:v>
                </c:pt>
              </c:strCache>
            </c:strRef>
          </c:cat>
          <c:val>
            <c:numRef>
              <c:f>'Trends for total order'!$B$19:$B$32</c:f>
              <c:numCache>
                <c:formatCode>General</c:formatCode>
                <c:ptCount val="13"/>
                <c:pt idx="0">
                  <c:v>41</c:v>
                </c:pt>
                <c:pt idx="1">
                  <c:v>87</c:v>
                </c:pt>
                <c:pt idx="2">
                  <c:v>70</c:v>
                </c:pt>
                <c:pt idx="3">
                  <c:v>45</c:v>
                </c:pt>
                <c:pt idx="4">
                  <c:v>48</c:v>
                </c:pt>
                <c:pt idx="5">
                  <c:v>52.000000000000007</c:v>
                </c:pt>
                <c:pt idx="6">
                  <c:v>98</c:v>
                </c:pt>
                <c:pt idx="7">
                  <c:v>82.000000000000014</c:v>
                </c:pt>
                <c:pt idx="8">
                  <c:v>72</c:v>
                </c:pt>
                <c:pt idx="9">
                  <c:v>43</c:v>
                </c:pt>
                <c:pt idx="10">
                  <c:v>50</c:v>
                </c:pt>
                <c:pt idx="11">
                  <c:v>24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A4-4315-B5DC-582E9B8F7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5763168"/>
        <c:axId val="1875763584"/>
      </c:lineChart>
      <c:catAx>
        <c:axId val="187576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763584"/>
        <c:crosses val="autoZero"/>
        <c:auto val="1"/>
        <c:lblAlgn val="ctr"/>
        <c:lblOffset val="100"/>
        <c:noMultiLvlLbl val="0"/>
      </c:catAx>
      <c:valAx>
        <c:axId val="18757635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7576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[pizza_sales.xlsx]Percentage of sales!percentage of sells by category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166666666666666E-2"/>
              <c:y val="-6.9444444444444461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611111111111111E-2"/>
              <c:y val="3.7037037037036952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4444444444444442E-2"/>
              <c:y val="-9.2592592592592587E-3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'Percentage of sales'!$B$3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8C-457C-B50E-389FFFA80B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78C-457C-B50E-389FFFA80B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78C-457C-B50E-389FFFA80B5C}"/>
              </c:ext>
            </c:extLst>
          </c:dPt>
          <c:dLbls>
            <c:dLbl>
              <c:idx val="0"/>
              <c:layout>
                <c:manualLayout>
                  <c:x val="8.611111111111111E-2"/>
                  <c:y val="3.703703703703695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8C-457C-B50E-389FFFA80B5C}"/>
                </c:ext>
              </c:extLst>
            </c:dLbl>
            <c:dLbl>
              <c:idx val="1"/>
              <c:layout>
                <c:manualLayout>
                  <c:x val="-9.4444444444444442E-2"/>
                  <c:y val="-9.259259259259258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8C-457C-B50E-389FFFA80B5C}"/>
                </c:ext>
              </c:extLst>
            </c:dLbl>
            <c:dLbl>
              <c:idx val="2"/>
              <c:layout>
                <c:manualLayout>
                  <c:x val="-9.166666666666666E-2"/>
                  <c:y val="-6.944444444444446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8C-457C-B50E-389FFFA80B5C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'Percentage of sales'!$A$4:$A$7</c:f>
              <c:strCache>
                <c:ptCount val="3"/>
                <c:pt idx="0">
                  <c:v>Classic</c:v>
                </c:pt>
                <c:pt idx="1">
                  <c:v>Supreme</c:v>
                </c:pt>
                <c:pt idx="2">
                  <c:v>Veggie</c:v>
                </c:pt>
              </c:strCache>
            </c:strRef>
          </c:cat>
          <c:val>
            <c:numRef>
              <c:f>'Percentage of sales'!$B$4:$B$7</c:f>
              <c:numCache>
                <c:formatCode>0.00%</c:formatCode>
                <c:ptCount val="3"/>
                <c:pt idx="0">
                  <c:v>0.62607114692324695</c:v>
                </c:pt>
                <c:pt idx="1">
                  <c:v>0.25123159211121127</c:v>
                </c:pt>
                <c:pt idx="2">
                  <c:v>0.12269726096554179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C-457C-B50E-389FFFA80B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[pizza_sales.xlsx]Percentage of sales!percentage of pizza size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'Percentage of sales'!$B$16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3F-4239-8CEF-A70DFEF0E0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3F-4239-8CEF-A70DFEF0E0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3F-4239-8CEF-A70DFEF0E0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A3F-4239-8CEF-A70DFEF0E0F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A3F-4239-8CEF-A70DFEF0E0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'Percentage of sales'!$A$17:$A$22</c:f>
              <c:strCache>
                <c:ptCount val="5"/>
                <c:pt idx="0">
                  <c:v>Large</c:v>
                </c:pt>
                <c:pt idx="1">
                  <c:v>Medium</c:v>
                </c:pt>
                <c:pt idx="2">
                  <c:v>Regular</c:v>
                </c:pt>
                <c:pt idx="3">
                  <c:v>X-Large</c:v>
                </c:pt>
                <c:pt idx="4">
                  <c:v>XX-Large</c:v>
                </c:pt>
              </c:strCache>
            </c:strRef>
          </c:cat>
          <c:val>
            <c:numRef>
              <c:f>'Percentage of sales'!$B$17:$B$22</c:f>
              <c:numCache>
                <c:formatCode>0.00%</c:formatCode>
                <c:ptCount val="5"/>
                <c:pt idx="0">
                  <c:v>0.34159564183024649</c:v>
                </c:pt>
                <c:pt idx="1">
                  <c:v>0.25205980274728357</c:v>
                </c:pt>
                <c:pt idx="2">
                  <c:v>0.34507346657295673</c:v>
                </c:pt>
                <c:pt idx="3">
                  <c:v>5.8898644836222168E-2</c:v>
                </c:pt>
                <c:pt idx="4">
                  <c:v>2.372444013290966E-3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D-4290-8509-D15D406D03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[pizza_sales.xlsx]Best and worse sellers!Top 5 best seller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'Best and worse sellers'!$B$3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'Best and worse sellers'!$A$4:$A$9</c:f>
              <c:strCache>
                <c:ptCount val="5"/>
                <c:pt idx="0">
                  <c:v>The Mexicana Pizza</c:v>
                </c:pt>
                <c:pt idx="1">
                  <c:v>The Sicilian Pizza</c:v>
                </c:pt>
                <c:pt idx="2">
                  <c:v>The Big Meat Pizza</c:v>
                </c:pt>
                <c:pt idx="3">
                  <c:v>The Pepperoni Pizza</c:v>
                </c:pt>
                <c:pt idx="4">
                  <c:v>The Hawaiian Pizza</c:v>
                </c:pt>
              </c:strCache>
            </c:strRef>
          </c:cat>
          <c:val>
            <c:numRef>
              <c:f>'Best and worse sellers'!$B$4:$B$9</c:f>
              <c:numCache>
                <c:formatCode>General</c:formatCode>
                <c:ptCount val="5"/>
                <c:pt idx="0">
                  <c:v>102</c:v>
                </c:pt>
                <c:pt idx="1">
                  <c:v>116</c:v>
                </c:pt>
                <c:pt idx="2">
                  <c:v>152</c:v>
                </c:pt>
                <c:pt idx="3">
                  <c:v>171</c:v>
                </c:pt>
                <c:pt idx="4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29-45A4-9429-3C1D5F9FD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65791"/>
        <c:axId val="13464959"/>
      </c:barChart>
      <c:catAx>
        <c:axId val="134657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4959"/>
        <c:crosses val="autoZero"/>
        <c:auto val="1"/>
        <c:lblAlgn val="ctr"/>
        <c:lblOffset val="100"/>
        <c:noMultiLvlLbl val="0"/>
      </c:catAx>
      <c:valAx>
        <c:axId val="134649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46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[pizza_sales.xlsx]Best and worse sellers!Worst sellers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'Best and worse sellers'!$B$15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'Best and worse sellers'!$A$16:$A$21</c:f>
              <c:strCache>
                <c:ptCount val="5"/>
                <c:pt idx="0">
                  <c:v>The Mexicana Pizza</c:v>
                </c:pt>
                <c:pt idx="1">
                  <c:v>The Napolitana Pizza</c:v>
                </c:pt>
                <c:pt idx="2">
                  <c:v>The Greek Pizza</c:v>
                </c:pt>
                <c:pt idx="3">
                  <c:v>The Calabrese Pizza</c:v>
                </c:pt>
                <c:pt idx="4">
                  <c:v>The Brie Carre Pizza</c:v>
                </c:pt>
              </c:strCache>
            </c:strRef>
          </c:cat>
          <c:val>
            <c:numRef>
              <c:f>'Best and worse sellers'!$B$16:$B$21</c:f>
              <c:numCache>
                <c:formatCode>General</c:formatCode>
                <c:ptCount val="5"/>
                <c:pt idx="0">
                  <c:v>102</c:v>
                </c:pt>
                <c:pt idx="1">
                  <c:v>95</c:v>
                </c:pt>
                <c:pt idx="2">
                  <c:v>79</c:v>
                </c:pt>
                <c:pt idx="3">
                  <c:v>70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C-4C1B-B9E6-BA3639C2B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7801471"/>
        <c:axId val="1287796063"/>
      </c:barChart>
      <c:catAx>
        <c:axId val="12878014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796063"/>
        <c:crosses val="autoZero"/>
        <c:auto val="1"/>
        <c:lblAlgn val="ctr"/>
        <c:lblOffset val="100"/>
        <c:noMultiLvlLbl val="0"/>
      </c:catAx>
      <c:valAx>
        <c:axId val="12877960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8780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funnel" uniqueId="{501CC1A4-53C5-42F5-AB50-3FC4C80C4DE7}">
          <cx:tx>
            <cx:txData>
              <cx:f>_xlchart.v2.4</cx:f>
              <cx:v>Total pizzas sold</cx:v>
            </cx:txData>
          </cx:tx>
          <cx:spPr>
            <a:gradFill flip="none" rotWithShape="1">
              <a:gsLst>
                <a:gs pos="0">
                  <a:schemeClr val="accent1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0" scaled="1"/>
              <a:tileRect/>
            </a:gradFill>
            <a:ln>
              <a:noFill/>
            </a:ln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endParaRPr lang="en-US" sz="900" b="0" i="0" u="none" strike="noStrike" baseline="0">
              <a:solidFill>
                <a:schemeClr val="bg1"/>
              </a:solidFill>
              <a:latin typeface="Calibri" panose="020F0502020204030204"/>
            </a:endParaRPr>
          </a:p>
        </cx:txPr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_xlchart.v2.8</cx:f>
      </cx:numDim>
    </cx:data>
  </cx:chartData>
  <cx:chart>
    <cx:plotArea>
      <cx:plotAreaRegion>
        <cx:series layoutId="funnel" uniqueId="{501CC1A4-53C5-42F5-AB50-3FC4C80C4DE7}">
          <cx:tx>
            <cx:txData>
              <cx:f>_xlchart.v2.7</cx:f>
              <cx:v>Total pizzas sold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1.xml"/><Relationship Id="rId7" Type="http://schemas.microsoft.com/office/2014/relationships/chartEx" Target="../charts/chartEx1.xml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Relationship Id="rId9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488156</xdr:colOff>
      <xdr:row>0</xdr:row>
      <xdr:rowOff>71437</xdr:rowOff>
    </xdr:from>
    <xdr:to>
      <xdr:col>22</xdr:col>
      <xdr:colOff>286555</xdr:colOff>
      <xdr:row>37</xdr:row>
      <xdr:rowOff>110437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AD527A-5D5D-42F0-9EEE-A6A048A25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71437"/>
          <a:ext cx="12549993" cy="7087500"/>
        </a:xfrm>
        <a:prstGeom prst="rect">
          <a:avLst/>
        </a:prstGeom>
      </xdr:spPr>
    </xdr:pic>
    <xdr:clientData/>
  </xdr:twoCellAnchor>
  <xdr:twoCellAnchor>
    <xdr:from>
      <xdr:col>5</xdr:col>
      <xdr:colOff>602117</xdr:colOff>
      <xdr:row>2</xdr:row>
      <xdr:rowOff>89298</xdr:rowOff>
    </xdr:from>
    <xdr:to>
      <xdr:col>8</xdr:col>
      <xdr:colOff>346983</xdr:colOff>
      <xdr:row>4</xdr:row>
      <xdr:rowOff>176298</xdr:rowOff>
    </xdr:to>
    <xdr:sp macro="" textlink="KPI!A4">
      <xdr:nvSpPr>
        <xdr:cNvPr id="4" name="TextBox 3">
          <a:extLst>
            <a:ext uri="{FF2B5EF4-FFF2-40B4-BE49-F238E27FC236}">
              <a16:creationId xmlns:a16="http://schemas.microsoft.com/office/drawing/2014/main" id="{268CCE1F-7266-4AC8-9AF3-AC864AF09A43}"/>
            </a:ext>
          </a:extLst>
        </xdr:cNvPr>
        <xdr:cNvSpPr txBox="1"/>
      </xdr:nvSpPr>
      <xdr:spPr>
        <a:xfrm>
          <a:off x="3638211" y="470298"/>
          <a:ext cx="1566522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0CDEC9F-218D-4019-933B-D1B6692406BC}" type="TxLink">
            <a:rPr lang="en-US" sz="2700" b="1" i="0" u="none" strike="noStrike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  <a:cs typeface="Calibri"/>
            </a:rPr>
            <a:pPr/>
            <a:t> $15,153 </a:t>
          </a:fld>
          <a:endParaRPr lang="en-US" sz="2700" b="1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9</xdr:col>
      <xdr:colOff>455410</xdr:colOff>
      <xdr:row>2</xdr:row>
      <xdr:rowOff>89298</xdr:rowOff>
    </xdr:from>
    <xdr:to>
      <xdr:col>12</xdr:col>
      <xdr:colOff>205379</xdr:colOff>
      <xdr:row>4</xdr:row>
      <xdr:rowOff>176298</xdr:rowOff>
    </xdr:to>
    <xdr:sp macro="" textlink="KPI!D4">
      <xdr:nvSpPr>
        <xdr:cNvPr id="5" name="TextBox 4">
          <a:extLst>
            <a:ext uri="{FF2B5EF4-FFF2-40B4-BE49-F238E27FC236}">
              <a16:creationId xmlns:a16="http://schemas.microsoft.com/office/drawing/2014/main" id="{047D6AF7-4435-4D6F-893A-01311A86A453}"/>
            </a:ext>
          </a:extLst>
        </xdr:cNvPr>
        <xdr:cNvSpPr txBox="1"/>
      </xdr:nvSpPr>
      <xdr:spPr>
        <a:xfrm>
          <a:off x="5920379" y="470298"/>
          <a:ext cx="1571625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7CA1B05-B404-4D6F-82B1-9F356720549D}" type="TxLink">
            <a:rPr lang="en-US" sz="2700" b="1" i="0" u="none" strike="noStrike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  <a:ea typeface="+mn-ea"/>
              <a:cs typeface="Calibri"/>
            </a:rPr>
            <a:pPr marL="0" indent="0"/>
            <a:t> $21.25 </a:t>
          </a:fld>
          <a:endParaRPr lang="en-US" sz="2700" b="1" i="0" u="none" strike="noStrike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13</xdr:col>
      <xdr:colOff>221957</xdr:colOff>
      <xdr:row>2</xdr:row>
      <xdr:rowOff>89298</xdr:rowOff>
    </xdr:from>
    <xdr:to>
      <xdr:col>15</xdr:col>
      <xdr:colOff>185393</xdr:colOff>
      <xdr:row>4</xdr:row>
      <xdr:rowOff>176298</xdr:rowOff>
    </xdr:to>
    <xdr:sp macro="" textlink="KPI!C4">
      <xdr:nvSpPr>
        <xdr:cNvPr id="6" name="TextBox 5">
          <a:extLst>
            <a:ext uri="{FF2B5EF4-FFF2-40B4-BE49-F238E27FC236}">
              <a16:creationId xmlns:a16="http://schemas.microsoft.com/office/drawing/2014/main" id="{AE19FDAC-30C6-4CAA-B9DE-1F50FD1FCC02}"/>
            </a:ext>
          </a:extLst>
        </xdr:cNvPr>
        <xdr:cNvSpPr txBox="1"/>
      </xdr:nvSpPr>
      <xdr:spPr>
        <a:xfrm>
          <a:off x="8115801" y="470298"/>
          <a:ext cx="1177873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D42B7661-EB1C-4E15-BEDD-BEAFEDD383B3}" type="TxLink">
            <a:rPr lang="en-US" sz="2700" b="1" i="0" u="none" strike="noStrike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  <a:ea typeface="+mn-ea"/>
              <a:cs typeface="Calibri"/>
            </a:rPr>
            <a:pPr marL="0" indent="0"/>
            <a:t> 996 </a:t>
          </a:fld>
          <a:endParaRPr lang="en-US" sz="2700" b="1" i="0" u="none" strike="noStrike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16</xdr:col>
      <xdr:colOff>187527</xdr:colOff>
      <xdr:row>2</xdr:row>
      <xdr:rowOff>65486</xdr:rowOff>
    </xdr:from>
    <xdr:to>
      <xdr:col>18</xdr:col>
      <xdr:colOff>130969</xdr:colOff>
      <xdr:row>4</xdr:row>
      <xdr:rowOff>152486</xdr:rowOff>
    </xdr:to>
    <xdr:sp macro="" textlink="KPI!B4">
      <xdr:nvSpPr>
        <xdr:cNvPr id="7" name="TextBox 6">
          <a:extLst>
            <a:ext uri="{FF2B5EF4-FFF2-40B4-BE49-F238E27FC236}">
              <a16:creationId xmlns:a16="http://schemas.microsoft.com/office/drawing/2014/main" id="{01BF88EE-2039-4DE9-A0DB-42C288C30D6E}"/>
            </a:ext>
          </a:extLst>
        </xdr:cNvPr>
        <xdr:cNvSpPr txBox="1"/>
      </xdr:nvSpPr>
      <xdr:spPr>
        <a:xfrm>
          <a:off x="9903027" y="446486"/>
          <a:ext cx="1157880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04C68AD-CE03-4B9E-ACEA-84CBDB7B1CE5}" type="TxLink">
            <a:rPr lang="en-US" sz="2700" b="1" i="0" u="none" strike="noStrike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  <a:ea typeface="+mn-ea"/>
              <a:cs typeface="Calibri"/>
            </a:rPr>
            <a:pPr marL="0" indent="0"/>
            <a:t> 713 </a:t>
          </a:fld>
          <a:endParaRPr lang="en-US" sz="2700" b="1" i="0" u="none" strike="noStrike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19</xdr:col>
      <xdr:colOff>416716</xdr:colOff>
      <xdr:row>2</xdr:row>
      <xdr:rowOff>89298</xdr:rowOff>
    </xdr:from>
    <xdr:to>
      <xdr:col>21</xdr:col>
      <xdr:colOff>369090</xdr:colOff>
      <xdr:row>4</xdr:row>
      <xdr:rowOff>176298</xdr:rowOff>
    </xdr:to>
    <xdr:sp macro="" textlink="KPI!E4">
      <xdr:nvSpPr>
        <xdr:cNvPr id="8" name="TextBox 7">
          <a:extLst>
            <a:ext uri="{FF2B5EF4-FFF2-40B4-BE49-F238E27FC236}">
              <a16:creationId xmlns:a16="http://schemas.microsoft.com/office/drawing/2014/main" id="{394F8BDC-20D5-43F7-A413-D0FAC6DFBA25}"/>
            </a:ext>
          </a:extLst>
        </xdr:cNvPr>
        <xdr:cNvSpPr txBox="1"/>
      </xdr:nvSpPr>
      <xdr:spPr>
        <a:xfrm>
          <a:off x="11953872" y="470298"/>
          <a:ext cx="1166812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32E36FE-A930-4E8F-B863-E2B996E695D9}" type="TxLink">
            <a:rPr lang="en-US" sz="2700" b="1" i="0" u="none" strike="noStrike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  <a:ea typeface="+mn-ea"/>
              <a:cs typeface="Calibri"/>
            </a:rPr>
            <a:pPr marL="0" indent="0"/>
            <a:t> 1.40 </a:t>
          </a:fld>
          <a:endParaRPr lang="en-US" sz="2700" b="1" i="0" u="none" strike="noStrike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142875</xdr:colOff>
      <xdr:row>1</xdr:row>
      <xdr:rowOff>29766</xdr:rowOff>
    </xdr:from>
    <xdr:to>
      <xdr:col>8</xdr:col>
      <xdr:colOff>238125</xdr:colOff>
      <xdr:row>2</xdr:row>
      <xdr:rowOff>142875</xdr:rowOff>
    </xdr:to>
    <xdr:sp macro="" textlink="KPI!A4">
      <xdr:nvSpPr>
        <xdr:cNvPr id="9" name="TextBox 8">
          <a:extLst>
            <a:ext uri="{FF2B5EF4-FFF2-40B4-BE49-F238E27FC236}">
              <a16:creationId xmlns:a16="http://schemas.microsoft.com/office/drawing/2014/main" id="{8AE52A15-B9B8-42D1-B04B-91512CFF585E}"/>
            </a:ext>
          </a:extLst>
        </xdr:cNvPr>
        <xdr:cNvSpPr txBox="1"/>
      </xdr:nvSpPr>
      <xdr:spPr>
        <a:xfrm>
          <a:off x="3786188" y="220266"/>
          <a:ext cx="1309687" cy="3036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Total</a:t>
          </a:r>
          <a:r>
            <a:rPr lang="en-US" sz="1200" b="1" baseline="0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 Revenue</a:t>
          </a:r>
          <a:endParaRPr lang="en-US" sz="1200" b="1">
            <a:solidFill>
              <a:schemeClr val="accent1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9</xdr:col>
      <xdr:colOff>464339</xdr:colOff>
      <xdr:row>1</xdr:row>
      <xdr:rowOff>29766</xdr:rowOff>
    </xdr:from>
    <xdr:to>
      <xdr:col>12</xdr:col>
      <xdr:colOff>77385</xdr:colOff>
      <xdr:row>2</xdr:row>
      <xdr:rowOff>142875</xdr:rowOff>
    </xdr:to>
    <xdr:sp macro="" textlink="KPI!A4">
      <xdr:nvSpPr>
        <xdr:cNvPr id="10" name="TextBox 9">
          <a:extLst>
            <a:ext uri="{FF2B5EF4-FFF2-40B4-BE49-F238E27FC236}">
              <a16:creationId xmlns:a16="http://schemas.microsoft.com/office/drawing/2014/main" id="{3834197B-4A06-4DAD-88A8-2A41E0E4C801}"/>
            </a:ext>
          </a:extLst>
        </xdr:cNvPr>
        <xdr:cNvSpPr txBox="1"/>
      </xdr:nvSpPr>
      <xdr:spPr>
        <a:xfrm>
          <a:off x="5929308" y="220266"/>
          <a:ext cx="1434702" cy="3036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Avg</a:t>
          </a:r>
          <a:r>
            <a:rPr lang="en-US" sz="1200" b="1" baseline="0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 Order Value</a:t>
          </a:r>
          <a:endParaRPr lang="en-US" sz="1200" b="1">
            <a:solidFill>
              <a:schemeClr val="accent1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13</xdr:col>
      <xdr:colOff>71433</xdr:colOff>
      <xdr:row>1</xdr:row>
      <xdr:rowOff>29766</xdr:rowOff>
    </xdr:from>
    <xdr:to>
      <xdr:col>15</xdr:col>
      <xdr:colOff>166683</xdr:colOff>
      <xdr:row>2</xdr:row>
      <xdr:rowOff>142875</xdr:rowOff>
    </xdr:to>
    <xdr:sp macro="" textlink="KPI!A4">
      <xdr:nvSpPr>
        <xdr:cNvPr id="11" name="TextBox 10">
          <a:extLst>
            <a:ext uri="{FF2B5EF4-FFF2-40B4-BE49-F238E27FC236}">
              <a16:creationId xmlns:a16="http://schemas.microsoft.com/office/drawing/2014/main" id="{0BCD858A-265F-4934-8562-9356DF506673}"/>
            </a:ext>
          </a:extLst>
        </xdr:cNvPr>
        <xdr:cNvSpPr txBox="1"/>
      </xdr:nvSpPr>
      <xdr:spPr>
        <a:xfrm>
          <a:off x="7965277" y="220266"/>
          <a:ext cx="1309687" cy="3036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Total</a:t>
          </a:r>
          <a:r>
            <a:rPr lang="en-US" sz="1200" b="1" baseline="0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 Pizza Sold</a:t>
          </a:r>
          <a:endParaRPr lang="en-US" sz="1200" b="1">
            <a:solidFill>
              <a:schemeClr val="accent1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16</xdr:col>
      <xdr:colOff>53578</xdr:colOff>
      <xdr:row>1</xdr:row>
      <xdr:rowOff>29766</xdr:rowOff>
    </xdr:from>
    <xdr:to>
      <xdr:col>18</xdr:col>
      <xdr:colOff>148827</xdr:colOff>
      <xdr:row>2</xdr:row>
      <xdr:rowOff>142875</xdr:rowOff>
    </xdr:to>
    <xdr:sp macro="" textlink="KPI!A4">
      <xdr:nvSpPr>
        <xdr:cNvPr id="12" name="TextBox 11">
          <a:extLst>
            <a:ext uri="{FF2B5EF4-FFF2-40B4-BE49-F238E27FC236}">
              <a16:creationId xmlns:a16="http://schemas.microsoft.com/office/drawing/2014/main" id="{06EDF4DC-3253-4811-90D0-98BF3390B85B}"/>
            </a:ext>
          </a:extLst>
        </xdr:cNvPr>
        <xdr:cNvSpPr txBox="1"/>
      </xdr:nvSpPr>
      <xdr:spPr>
        <a:xfrm>
          <a:off x="9769078" y="220266"/>
          <a:ext cx="1309687" cy="3036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Total</a:t>
          </a:r>
          <a:r>
            <a:rPr lang="en-US" sz="1200" b="1" baseline="0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 Orders</a:t>
          </a:r>
          <a:endParaRPr lang="en-US" sz="1200" b="1">
            <a:solidFill>
              <a:schemeClr val="accent1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18</xdr:col>
      <xdr:colOff>464343</xdr:colOff>
      <xdr:row>1</xdr:row>
      <xdr:rowOff>29766</xdr:rowOff>
    </xdr:from>
    <xdr:to>
      <xdr:col>22</xdr:col>
      <xdr:colOff>166687</xdr:colOff>
      <xdr:row>2</xdr:row>
      <xdr:rowOff>142875</xdr:rowOff>
    </xdr:to>
    <xdr:sp macro="" textlink="KPI!A4">
      <xdr:nvSpPr>
        <xdr:cNvPr id="13" name="TextBox 12">
          <a:extLst>
            <a:ext uri="{FF2B5EF4-FFF2-40B4-BE49-F238E27FC236}">
              <a16:creationId xmlns:a16="http://schemas.microsoft.com/office/drawing/2014/main" id="{9676F697-ED06-4C54-B9E0-85456F4EB63C}"/>
            </a:ext>
          </a:extLst>
        </xdr:cNvPr>
        <xdr:cNvSpPr txBox="1"/>
      </xdr:nvSpPr>
      <xdr:spPr>
        <a:xfrm>
          <a:off x="11394281" y="220266"/>
          <a:ext cx="2131219" cy="3036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Average</a:t>
          </a:r>
          <a:r>
            <a:rPr lang="en-US" sz="1200" b="1" baseline="0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 Pizzas per order</a:t>
          </a:r>
          <a:endParaRPr lang="en-US" sz="1200" b="1">
            <a:solidFill>
              <a:schemeClr val="accent1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</xdr:col>
      <xdr:colOff>53577</xdr:colOff>
      <xdr:row>0</xdr:row>
      <xdr:rowOff>136923</xdr:rowOff>
    </xdr:from>
    <xdr:to>
      <xdr:col>2</xdr:col>
      <xdr:colOff>398858</xdr:colOff>
      <xdr:row>5</xdr:row>
      <xdr:rowOff>113110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2092245-0EA0-4177-8C0E-F7103253A037}"/>
            </a:ext>
          </a:extLst>
        </xdr:cNvPr>
        <xdr:cNvSpPr txBox="1"/>
      </xdr:nvSpPr>
      <xdr:spPr>
        <a:xfrm rot="16200000">
          <a:off x="976312" y="428626"/>
          <a:ext cx="928687" cy="3452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>
              <a:solidFill>
                <a:schemeClr val="accent4">
                  <a:lumMod val="40000"/>
                  <a:lumOff val="60000"/>
                </a:schemeClr>
              </a:solidFill>
              <a:latin typeface="Roboto" pitchFamily="2" charset="0"/>
              <a:ea typeface="Roboto" pitchFamily="2" charset="0"/>
            </a:rPr>
            <a:t>PIZZA</a:t>
          </a:r>
        </a:p>
      </xdr:txBody>
    </xdr:sp>
    <xdr:clientData/>
  </xdr:twoCellAnchor>
  <xdr:twoCellAnchor>
    <xdr:from>
      <xdr:col>4</xdr:col>
      <xdr:colOff>458394</xdr:colOff>
      <xdr:row>0</xdr:row>
      <xdr:rowOff>154777</xdr:rowOff>
    </xdr:from>
    <xdr:to>
      <xdr:col>5</xdr:col>
      <xdr:colOff>196456</xdr:colOff>
      <xdr:row>5</xdr:row>
      <xdr:rowOff>184542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A79C009-8ADD-4495-A84B-7F22F5A4E4B7}"/>
            </a:ext>
          </a:extLst>
        </xdr:cNvPr>
        <xdr:cNvSpPr txBox="1"/>
      </xdr:nvSpPr>
      <xdr:spPr>
        <a:xfrm rot="5400000">
          <a:off x="2568777" y="473269"/>
          <a:ext cx="982265" cy="3452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>
              <a:solidFill>
                <a:schemeClr val="accent4">
                  <a:lumMod val="40000"/>
                  <a:lumOff val="60000"/>
                </a:schemeClr>
              </a:solidFill>
              <a:latin typeface="Roboto" pitchFamily="2" charset="0"/>
              <a:ea typeface="Roboto" pitchFamily="2" charset="0"/>
            </a:rPr>
            <a:t>SALES</a:t>
          </a:r>
        </a:p>
      </xdr:txBody>
    </xdr:sp>
    <xdr:clientData/>
  </xdr:twoCellAnchor>
  <xdr:twoCellAnchor editAs="oneCell">
    <xdr:from>
      <xdr:col>3</xdr:col>
      <xdr:colOff>69057</xdr:colOff>
      <xdr:row>1</xdr:row>
      <xdr:rowOff>23813</xdr:rowOff>
    </xdr:from>
    <xdr:to>
      <xdr:col>4</xdr:col>
      <xdr:colOff>285749</xdr:colOff>
      <xdr:row>5</xdr:row>
      <xdr:rowOff>50742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9718B59-0D21-4B0B-9E53-6E6A115EE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0713" y="214313"/>
          <a:ext cx="823911" cy="788929"/>
        </a:xfrm>
        <a:prstGeom prst="rect">
          <a:avLst/>
        </a:prstGeom>
      </xdr:spPr>
    </xdr:pic>
    <xdr:clientData/>
  </xdr:twoCellAnchor>
  <xdr:twoCellAnchor>
    <xdr:from>
      <xdr:col>5</xdr:col>
      <xdr:colOff>416718</xdr:colOff>
      <xdr:row>6</xdr:row>
      <xdr:rowOff>126206</xdr:rowOff>
    </xdr:from>
    <xdr:to>
      <xdr:col>13</xdr:col>
      <xdr:colOff>428625</xdr:colOff>
      <xdr:row>15</xdr:row>
      <xdr:rowOff>71437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DBCD392-E710-4BB2-B96A-67EC03CCE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142875</xdr:colOff>
      <xdr:row>6</xdr:row>
      <xdr:rowOff>154782</xdr:rowOff>
    </xdr:from>
    <xdr:to>
      <xdr:col>22</xdr:col>
      <xdr:colOff>71437</xdr:colOff>
      <xdr:row>15</xdr:row>
      <xdr:rowOff>107155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10E6B58-8C37-4D77-A238-E4F066B5E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392908</xdr:colOff>
      <xdr:row>6</xdr:row>
      <xdr:rowOff>41672</xdr:rowOff>
    </xdr:from>
    <xdr:to>
      <xdr:col>10</xdr:col>
      <xdr:colOff>309562</xdr:colOff>
      <xdr:row>7</xdr:row>
      <xdr:rowOff>154781</xdr:rowOff>
    </xdr:to>
    <xdr:sp macro="" textlink="KPI!A4">
      <xdr:nvSpPr>
        <xdr:cNvPr id="20" name="TextBox 19">
          <a:extLst>
            <a:ext uri="{FF2B5EF4-FFF2-40B4-BE49-F238E27FC236}">
              <a16:creationId xmlns:a16="http://schemas.microsoft.com/office/drawing/2014/main" id="{E9988680-1ABD-496E-A8AC-46A5DD2D6333}"/>
            </a:ext>
          </a:extLst>
        </xdr:cNvPr>
        <xdr:cNvSpPr txBox="1"/>
      </xdr:nvSpPr>
      <xdr:spPr>
        <a:xfrm>
          <a:off x="3429002" y="1184672"/>
          <a:ext cx="2952748" cy="3036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050" b="1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Daily</a:t>
          </a:r>
          <a:r>
            <a:rPr lang="en-US" sz="1050" b="1" baseline="0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 Trend for Total Orders</a:t>
          </a:r>
          <a:endParaRPr lang="en-US" sz="1050" b="1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14</xdr:col>
      <xdr:colOff>95251</xdr:colOff>
      <xdr:row>6</xdr:row>
      <xdr:rowOff>41672</xdr:rowOff>
    </xdr:from>
    <xdr:to>
      <xdr:col>19</xdr:col>
      <xdr:colOff>11906</xdr:colOff>
      <xdr:row>7</xdr:row>
      <xdr:rowOff>154781</xdr:rowOff>
    </xdr:to>
    <xdr:sp macro="" textlink="KPI!A4">
      <xdr:nvSpPr>
        <xdr:cNvPr id="21" name="TextBox 20">
          <a:extLst>
            <a:ext uri="{FF2B5EF4-FFF2-40B4-BE49-F238E27FC236}">
              <a16:creationId xmlns:a16="http://schemas.microsoft.com/office/drawing/2014/main" id="{F200927F-2E9A-4677-8689-2DA9C97F831D}"/>
            </a:ext>
          </a:extLst>
        </xdr:cNvPr>
        <xdr:cNvSpPr txBox="1"/>
      </xdr:nvSpPr>
      <xdr:spPr>
        <a:xfrm>
          <a:off x="8596314" y="1184672"/>
          <a:ext cx="2952748" cy="3036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050" b="1" baseline="0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Hourly Trend for Total Orders</a:t>
          </a:r>
          <a:endParaRPr lang="en-US" sz="1050" b="1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</xdr:col>
      <xdr:colOff>10207</xdr:colOff>
      <xdr:row>6</xdr:row>
      <xdr:rowOff>19051</xdr:rowOff>
    </xdr:from>
    <xdr:to>
      <xdr:col>5</xdr:col>
      <xdr:colOff>173493</xdr:colOff>
      <xdr:row>7</xdr:row>
      <xdr:rowOff>103756</xdr:rowOff>
    </xdr:to>
    <xdr:sp macro="" textlink="KPI!A4">
      <xdr:nvSpPr>
        <xdr:cNvPr id="22" name="TextBox 21">
          <a:extLst>
            <a:ext uri="{FF2B5EF4-FFF2-40B4-BE49-F238E27FC236}">
              <a16:creationId xmlns:a16="http://schemas.microsoft.com/office/drawing/2014/main" id="{F14FE2DD-95D3-42D2-A11E-23376D4C33C1}"/>
            </a:ext>
          </a:extLst>
        </xdr:cNvPr>
        <xdr:cNvSpPr txBox="1"/>
      </xdr:nvSpPr>
      <xdr:spPr>
        <a:xfrm>
          <a:off x="1224645" y="1162051"/>
          <a:ext cx="1984942" cy="275205"/>
        </a:xfrm>
        <a:prstGeom prst="rect">
          <a:avLst/>
        </a:prstGeom>
        <a:solidFill>
          <a:schemeClr val="accent2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1"/>
              </a:solidFill>
              <a:latin typeface="Century Gothic" panose="020B0502020202020204" pitchFamily="34" charset="0"/>
            </a:rPr>
            <a:t>Busiest</a:t>
          </a:r>
          <a:r>
            <a:rPr lang="en-US" sz="1200" b="1" baseline="0">
              <a:solidFill>
                <a:schemeClr val="bg1"/>
              </a:solidFill>
              <a:latin typeface="Century Gothic" panose="020B0502020202020204" pitchFamily="34" charset="0"/>
            </a:rPr>
            <a:t> Days &amp; Times</a:t>
          </a:r>
          <a:endParaRPr lang="en-US" sz="1200" b="1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</xdr:col>
      <xdr:colOff>23813</xdr:colOff>
      <xdr:row>7</xdr:row>
      <xdr:rowOff>88448</xdr:rowOff>
    </xdr:from>
    <xdr:to>
      <xdr:col>5</xdr:col>
      <xdr:colOff>166689</xdr:colOff>
      <xdr:row>15</xdr:row>
      <xdr:rowOff>142876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D052D7-B174-4ABC-8848-4152D930B190}"/>
            </a:ext>
          </a:extLst>
        </xdr:cNvPr>
        <xdr:cNvSpPr txBox="1"/>
      </xdr:nvSpPr>
      <xdr:spPr>
        <a:xfrm>
          <a:off x="1238251" y="1421948"/>
          <a:ext cx="1964532" cy="15784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rgbClr val="FFC000"/>
              </a:solidFill>
            </a:rPr>
            <a:t>Days</a:t>
          </a:r>
        </a:p>
        <a:p>
          <a:pPr algn="ctr"/>
          <a:r>
            <a:rPr lang="en-US" sz="1100" b="1">
              <a:solidFill>
                <a:schemeClr val="bg1"/>
              </a:solidFill>
            </a:rPr>
            <a:t>Orders are </a:t>
          </a:r>
          <a:r>
            <a:rPr lang="en-US" sz="1100" b="1">
              <a:solidFill>
                <a:srgbClr val="00B050"/>
              </a:solidFill>
            </a:rPr>
            <a:t>highest</a:t>
          </a:r>
          <a:r>
            <a:rPr lang="en-US" sz="1100" b="1">
              <a:solidFill>
                <a:schemeClr val="bg1"/>
              </a:solidFill>
            </a:rPr>
            <a:t> on weekdays, </a:t>
          </a:r>
          <a:r>
            <a:rPr lang="en-US" sz="1100" b="1">
              <a:solidFill>
                <a:schemeClr val="accent2">
                  <a:lumMod val="60000"/>
                  <a:lumOff val="40000"/>
                </a:schemeClr>
              </a:solidFill>
            </a:rPr>
            <a:t>Tuesday/Wednesday </a:t>
          </a:r>
          <a:r>
            <a:rPr lang="en-US" sz="1100" b="1">
              <a:solidFill>
                <a:schemeClr val="bg1"/>
              </a:solidFill>
            </a:rPr>
            <a:t>evening.</a:t>
          </a:r>
        </a:p>
        <a:p>
          <a:pPr algn="ctr"/>
          <a:endParaRPr lang="en-US" sz="1000">
            <a:solidFill>
              <a:schemeClr val="bg1"/>
            </a:solidFill>
          </a:endParaRPr>
        </a:p>
        <a:p>
          <a:pPr algn="ctr"/>
          <a:r>
            <a:rPr lang="en-US" sz="1200" b="1">
              <a:solidFill>
                <a:srgbClr val="00B0F0"/>
              </a:solidFill>
            </a:rPr>
            <a:t>Times</a:t>
          </a:r>
        </a:p>
        <a:p>
          <a:pPr algn="ctr"/>
          <a:r>
            <a:rPr lang="en-US" sz="1100" b="1">
              <a:solidFill>
                <a:schemeClr val="bg1"/>
              </a:solidFill>
            </a:rPr>
            <a:t>There</a:t>
          </a:r>
          <a:r>
            <a:rPr lang="en-US" sz="1100" b="1" baseline="0">
              <a:solidFill>
                <a:schemeClr val="bg1"/>
              </a:solidFill>
            </a:rPr>
            <a:t> are</a:t>
          </a:r>
          <a:r>
            <a:rPr lang="en-US" sz="1100" b="1" baseline="0">
              <a:solidFill>
                <a:srgbClr val="00B050"/>
              </a:solidFill>
            </a:rPr>
            <a:t> maximum </a:t>
          </a:r>
          <a:r>
            <a:rPr lang="en-US" sz="1100" b="1" baseline="0">
              <a:solidFill>
                <a:schemeClr val="bg1"/>
              </a:solidFill>
            </a:rPr>
            <a:t>orders from </a:t>
          </a:r>
          <a:r>
            <a:rPr lang="en-US" sz="1100" b="1" baseline="0">
              <a:solidFill>
                <a:schemeClr val="accent2">
                  <a:lumMod val="60000"/>
                  <a:lumOff val="40000"/>
                </a:schemeClr>
              </a:solidFill>
            </a:rPr>
            <a:t>12-1pm &amp; 4-8pm.</a:t>
          </a:r>
          <a:endParaRPr lang="en-US" sz="1100" b="1">
            <a:solidFill>
              <a:schemeClr val="accent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5</xdr:col>
      <xdr:colOff>440530</xdr:colOff>
      <xdr:row>17</xdr:row>
      <xdr:rowOff>59530</xdr:rowOff>
    </xdr:from>
    <xdr:to>
      <xdr:col>10</xdr:col>
      <xdr:colOff>595311</xdr:colOff>
      <xdr:row>25</xdr:row>
      <xdr:rowOff>71437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0C5C33F-136B-42B3-AD69-43D1A7CF4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202406</xdr:colOff>
      <xdr:row>17</xdr:row>
      <xdr:rowOff>71436</xdr:rowOff>
    </xdr:from>
    <xdr:to>
      <xdr:col>16</xdr:col>
      <xdr:colOff>488156</xdr:colOff>
      <xdr:row>25</xdr:row>
      <xdr:rowOff>130969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DEB69F43-135D-4356-822B-9265B4B41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59531</xdr:colOff>
      <xdr:row>17</xdr:row>
      <xdr:rowOff>119062</xdr:rowOff>
    </xdr:from>
    <xdr:to>
      <xdr:col>22</xdr:col>
      <xdr:colOff>178593</xdr:colOff>
      <xdr:row>25</xdr:row>
      <xdr:rowOff>154782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D13F6966-272B-4F4E-B9C8-91BAC9B59E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82250" y="3357562"/>
              <a:ext cx="3155156" cy="1559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381002</xdr:colOff>
      <xdr:row>16</xdr:row>
      <xdr:rowOff>101203</xdr:rowOff>
    </xdr:from>
    <xdr:to>
      <xdr:col>10</xdr:col>
      <xdr:colOff>297656</xdr:colOff>
      <xdr:row>18</xdr:row>
      <xdr:rowOff>23812</xdr:rowOff>
    </xdr:to>
    <xdr:sp macro="" textlink="KPI!A4">
      <xdr:nvSpPr>
        <xdr:cNvPr id="26" name="TextBox 25">
          <a:extLst>
            <a:ext uri="{FF2B5EF4-FFF2-40B4-BE49-F238E27FC236}">
              <a16:creationId xmlns:a16="http://schemas.microsoft.com/office/drawing/2014/main" id="{7DAE8693-8688-4BE8-948F-F64B05A0D88F}"/>
            </a:ext>
          </a:extLst>
        </xdr:cNvPr>
        <xdr:cNvSpPr txBox="1"/>
      </xdr:nvSpPr>
      <xdr:spPr>
        <a:xfrm>
          <a:off x="3417096" y="3149203"/>
          <a:ext cx="2952748" cy="3036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050" b="1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%</a:t>
          </a:r>
          <a:r>
            <a:rPr lang="en-US" sz="1050" b="1" baseline="0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 of sales by Pizza category</a:t>
          </a:r>
          <a:endParaRPr lang="en-US" sz="1050" b="1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11</xdr:col>
      <xdr:colOff>154784</xdr:colOff>
      <xdr:row>16</xdr:row>
      <xdr:rowOff>101205</xdr:rowOff>
    </xdr:from>
    <xdr:to>
      <xdr:col>16</xdr:col>
      <xdr:colOff>71438</xdr:colOff>
      <xdr:row>18</xdr:row>
      <xdr:rowOff>23814</xdr:rowOff>
    </xdr:to>
    <xdr:sp macro="" textlink="KPI!A4">
      <xdr:nvSpPr>
        <xdr:cNvPr id="27" name="TextBox 26">
          <a:extLst>
            <a:ext uri="{FF2B5EF4-FFF2-40B4-BE49-F238E27FC236}">
              <a16:creationId xmlns:a16="http://schemas.microsoft.com/office/drawing/2014/main" id="{0A197705-18D4-4210-8A42-C06C1E60FBC3}"/>
            </a:ext>
          </a:extLst>
        </xdr:cNvPr>
        <xdr:cNvSpPr txBox="1"/>
      </xdr:nvSpPr>
      <xdr:spPr>
        <a:xfrm>
          <a:off x="6834190" y="3149205"/>
          <a:ext cx="2952748" cy="3036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050" b="1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%</a:t>
          </a:r>
          <a:r>
            <a:rPr lang="en-US" sz="1050" b="1" baseline="0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 of sales by Pizza Size</a:t>
          </a:r>
          <a:endParaRPr lang="en-US" sz="1050" b="1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17</xdr:col>
      <xdr:colOff>83346</xdr:colOff>
      <xdr:row>16</xdr:row>
      <xdr:rowOff>125018</xdr:rowOff>
    </xdr:from>
    <xdr:to>
      <xdr:col>22</xdr:col>
      <xdr:colOff>0</xdr:colOff>
      <xdr:row>18</xdr:row>
      <xdr:rowOff>47627</xdr:rowOff>
    </xdr:to>
    <xdr:sp macro="" textlink="KPI!A4">
      <xdr:nvSpPr>
        <xdr:cNvPr id="28" name="TextBox 27">
          <a:extLst>
            <a:ext uri="{FF2B5EF4-FFF2-40B4-BE49-F238E27FC236}">
              <a16:creationId xmlns:a16="http://schemas.microsoft.com/office/drawing/2014/main" id="{EF211031-0ACD-466F-89E8-4A2A5E3E85B6}"/>
            </a:ext>
          </a:extLst>
        </xdr:cNvPr>
        <xdr:cNvSpPr txBox="1"/>
      </xdr:nvSpPr>
      <xdr:spPr>
        <a:xfrm>
          <a:off x="10406065" y="3173018"/>
          <a:ext cx="2952748" cy="3036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050" b="1" baseline="0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Total Pizza sold by Pizza category</a:t>
          </a:r>
          <a:endParaRPr lang="en-US" sz="1050" b="1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</xdr:col>
      <xdr:colOff>10206</xdr:colOff>
      <xdr:row>16</xdr:row>
      <xdr:rowOff>90489</xdr:rowOff>
    </xdr:from>
    <xdr:to>
      <xdr:col>5</xdr:col>
      <xdr:colOff>173492</xdr:colOff>
      <xdr:row>17</xdr:row>
      <xdr:rowOff>175194</xdr:rowOff>
    </xdr:to>
    <xdr:sp macro="" textlink="KPI!A4">
      <xdr:nvSpPr>
        <xdr:cNvPr id="29" name="TextBox 28">
          <a:extLst>
            <a:ext uri="{FF2B5EF4-FFF2-40B4-BE49-F238E27FC236}">
              <a16:creationId xmlns:a16="http://schemas.microsoft.com/office/drawing/2014/main" id="{E55C9BD5-392F-45AE-8F48-C09B86561FD7}"/>
            </a:ext>
          </a:extLst>
        </xdr:cNvPr>
        <xdr:cNvSpPr txBox="1"/>
      </xdr:nvSpPr>
      <xdr:spPr>
        <a:xfrm>
          <a:off x="1224644" y="3138489"/>
          <a:ext cx="1984942" cy="275205"/>
        </a:xfrm>
        <a:prstGeom prst="rect">
          <a:avLst/>
        </a:prstGeom>
        <a:solidFill>
          <a:schemeClr val="accent2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Century Gothic" panose="020B0502020202020204" pitchFamily="34" charset="0"/>
            </a:rPr>
            <a:t>Sales by Category &amp; Size</a:t>
          </a:r>
        </a:p>
      </xdr:txBody>
    </xdr:sp>
    <xdr:clientData/>
  </xdr:twoCellAnchor>
  <xdr:twoCellAnchor>
    <xdr:from>
      <xdr:col>2</xdr:col>
      <xdr:colOff>23813</xdr:colOff>
      <xdr:row>17</xdr:row>
      <xdr:rowOff>136073</xdr:rowOff>
    </xdr:from>
    <xdr:to>
      <xdr:col>5</xdr:col>
      <xdr:colOff>166689</xdr:colOff>
      <xdr:row>25</xdr:row>
      <xdr:rowOff>154780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29C775B-3051-46BC-8913-480D3631EEB5}"/>
            </a:ext>
          </a:extLst>
        </xdr:cNvPr>
        <xdr:cNvSpPr txBox="1"/>
      </xdr:nvSpPr>
      <xdr:spPr>
        <a:xfrm>
          <a:off x="1238251" y="3374573"/>
          <a:ext cx="1964532" cy="1542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rgbClr val="FFC000"/>
              </a:solidFill>
            </a:rPr>
            <a:t>Category</a:t>
          </a:r>
        </a:p>
        <a:p>
          <a:pPr algn="ctr"/>
          <a:r>
            <a:rPr lang="en-US" sz="1100" b="1">
              <a:solidFill>
                <a:schemeClr val="accent2">
                  <a:lumMod val="60000"/>
                  <a:lumOff val="40000"/>
                </a:schemeClr>
              </a:solidFill>
            </a:rPr>
            <a:t>Classic</a:t>
          </a:r>
          <a:r>
            <a:rPr lang="en-US" sz="1100" b="1" baseline="0">
              <a:solidFill>
                <a:schemeClr val="bg1"/>
              </a:solidFill>
            </a:rPr>
            <a:t> Category contributes to </a:t>
          </a:r>
          <a:r>
            <a:rPr lang="en-US" sz="1100" b="1" baseline="0">
              <a:solidFill>
                <a:srgbClr val="00B050"/>
              </a:solidFill>
            </a:rPr>
            <a:t>maximum</a:t>
          </a:r>
          <a:r>
            <a:rPr lang="en-US" sz="1100" b="1" baseline="0">
              <a:solidFill>
                <a:schemeClr val="bg1"/>
              </a:solidFill>
            </a:rPr>
            <a:t> sales &amp; Total Order.</a:t>
          </a:r>
          <a:endParaRPr lang="en-US" sz="1100" b="1">
            <a:solidFill>
              <a:schemeClr val="bg1"/>
            </a:solidFill>
          </a:endParaRPr>
        </a:p>
        <a:p>
          <a:pPr algn="ctr"/>
          <a:endParaRPr lang="en-US" sz="1000">
            <a:solidFill>
              <a:schemeClr val="bg1"/>
            </a:solidFill>
          </a:endParaRPr>
        </a:p>
        <a:p>
          <a:pPr algn="ctr"/>
          <a:r>
            <a:rPr lang="en-US" sz="1200" b="1">
              <a:solidFill>
                <a:srgbClr val="00B0F0"/>
              </a:solidFill>
            </a:rPr>
            <a:t>Size</a:t>
          </a:r>
        </a:p>
        <a:p>
          <a:pPr algn="ctr"/>
          <a:r>
            <a:rPr lang="en-US" sz="1100" b="1">
              <a:solidFill>
                <a:schemeClr val="accent2">
                  <a:lumMod val="60000"/>
                  <a:lumOff val="40000"/>
                </a:schemeClr>
              </a:solidFill>
            </a:rPr>
            <a:t>Large</a:t>
          </a:r>
          <a:r>
            <a:rPr lang="en-US" sz="1100" b="1" baseline="0">
              <a:solidFill>
                <a:schemeClr val="accent2">
                  <a:lumMod val="60000"/>
                  <a:lumOff val="40000"/>
                </a:schemeClr>
              </a:solidFill>
            </a:rPr>
            <a:t> size </a:t>
          </a:r>
          <a:r>
            <a:rPr lang="en-US" sz="1100" b="1" baseline="0">
              <a:solidFill>
                <a:schemeClr val="bg1"/>
              </a:solidFill>
            </a:rPr>
            <a:t>pizza contribute to </a:t>
          </a:r>
          <a:r>
            <a:rPr lang="en-US" sz="1100" b="1" baseline="0">
              <a:solidFill>
                <a:srgbClr val="00B050"/>
              </a:solidFill>
            </a:rPr>
            <a:t>maximum</a:t>
          </a:r>
          <a:r>
            <a:rPr lang="en-US" sz="1100" b="1" baseline="0">
              <a:solidFill>
                <a:schemeClr val="bg1"/>
              </a:solidFill>
            </a:rPr>
            <a:t> sales.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380999</xdr:colOff>
      <xdr:row>27</xdr:row>
      <xdr:rowOff>107155</xdr:rowOff>
    </xdr:from>
    <xdr:to>
      <xdr:col>10</xdr:col>
      <xdr:colOff>595312</xdr:colOff>
      <xdr:row>36</xdr:row>
      <xdr:rowOff>107156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D1C11C2C-11D0-46A6-ABF8-9B8173028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154781</xdr:colOff>
      <xdr:row>27</xdr:row>
      <xdr:rowOff>130969</xdr:rowOff>
    </xdr:from>
    <xdr:to>
      <xdr:col>16</xdr:col>
      <xdr:colOff>535781</xdr:colOff>
      <xdr:row>36</xdr:row>
      <xdr:rowOff>78582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2A53AD5-05FF-402B-8D55-C49E1DC97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357190</xdr:colOff>
      <xdr:row>26</xdr:row>
      <xdr:rowOff>136921</xdr:rowOff>
    </xdr:from>
    <xdr:to>
      <xdr:col>10</xdr:col>
      <xdr:colOff>273844</xdr:colOff>
      <xdr:row>28</xdr:row>
      <xdr:rowOff>59530</xdr:rowOff>
    </xdr:to>
    <xdr:sp macro="" textlink="KPI!A4">
      <xdr:nvSpPr>
        <xdr:cNvPr id="33" name="TextBox 32">
          <a:extLst>
            <a:ext uri="{FF2B5EF4-FFF2-40B4-BE49-F238E27FC236}">
              <a16:creationId xmlns:a16="http://schemas.microsoft.com/office/drawing/2014/main" id="{A968A17D-0C34-4584-AC19-1C357C78951E}"/>
            </a:ext>
          </a:extLst>
        </xdr:cNvPr>
        <xdr:cNvSpPr txBox="1"/>
      </xdr:nvSpPr>
      <xdr:spPr>
        <a:xfrm>
          <a:off x="3393284" y="5089921"/>
          <a:ext cx="2952748" cy="3036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050" b="1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Best</a:t>
          </a:r>
          <a:r>
            <a:rPr lang="en-US" sz="1050" b="1" baseline="0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 Selling Pizza</a:t>
          </a:r>
          <a:endParaRPr lang="en-US" sz="1050" b="1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11</xdr:col>
      <xdr:colOff>119066</xdr:colOff>
      <xdr:row>26</xdr:row>
      <xdr:rowOff>136921</xdr:rowOff>
    </xdr:from>
    <xdr:to>
      <xdr:col>16</xdr:col>
      <xdr:colOff>35720</xdr:colOff>
      <xdr:row>28</xdr:row>
      <xdr:rowOff>59530</xdr:rowOff>
    </xdr:to>
    <xdr:sp macro="" textlink="KPI!A4">
      <xdr:nvSpPr>
        <xdr:cNvPr id="34" name="TextBox 33">
          <a:extLst>
            <a:ext uri="{FF2B5EF4-FFF2-40B4-BE49-F238E27FC236}">
              <a16:creationId xmlns:a16="http://schemas.microsoft.com/office/drawing/2014/main" id="{DF3C5A77-E962-4BAA-984F-88519E5BBCB2}"/>
            </a:ext>
          </a:extLst>
        </xdr:cNvPr>
        <xdr:cNvSpPr txBox="1"/>
      </xdr:nvSpPr>
      <xdr:spPr>
        <a:xfrm>
          <a:off x="6798472" y="5089921"/>
          <a:ext cx="2952748" cy="3036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050" b="1" baseline="0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Worst Selling Pizza</a:t>
          </a:r>
          <a:endParaRPr lang="en-US" sz="1050" b="1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</xdr:col>
      <xdr:colOff>10208</xdr:colOff>
      <xdr:row>26</xdr:row>
      <xdr:rowOff>114302</xdr:rowOff>
    </xdr:from>
    <xdr:to>
      <xdr:col>5</xdr:col>
      <xdr:colOff>173494</xdr:colOff>
      <xdr:row>28</xdr:row>
      <xdr:rowOff>8507</xdr:rowOff>
    </xdr:to>
    <xdr:sp macro="" textlink="KPI!A4">
      <xdr:nvSpPr>
        <xdr:cNvPr id="35" name="TextBox 34">
          <a:extLst>
            <a:ext uri="{FF2B5EF4-FFF2-40B4-BE49-F238E27FC236}">
              <a16:creationId xmlns:a16="http://schemas.microsoft.com/office/drawing/2014/main" id="{F5A60B3F-42EA-4940-BE4D-550498CB0829}"/>
            </a:ext>
          </a:extLst>
        </xdr:cNvPr>
        <xdr:cNvSpPr txBox="1"/>
      </xdr:nvSpPr>
      <xdr:spPr>
        <a:xfrm>
          <a:off x="1224646" y="5067302"/>
          <a:ext cx="1984942" cy="275205"/>
        </a:xfrm>
        <a:prstGeom prst="rect">
          <a:avLst/>
        </a:prstGeom>
        <a:solidFill>
          <a:schemeClr val="accent2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Century Gothic" panose="020B0502020202020204" pitchFamily="34" charset="0"/>
            </a:rPr>
            <a:t>Best</a:t>
          </a:r>
          <a:r>
            <a:rPr lang="en-US" sz="1100" b="1" baseline="0">
              <a:solidFill>
                <a:schemeClr val="bg1"/>
              </a:solidFill>
              <a:latin typeface="Century Gothic" panose="020B0502020202020204" pitchFamily="34" charset="0"/>
            </a:rPr>
            <a:t> &amp; Worst Sellers</a:t>
          </a:r>
          <a:endParaRPr lang="en-US" sz="1100" b="1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</xdr:col>
      <xdr:colOff>11907</xdr:colOff>
      <xdr:row>28</xdr:row>
      <xdr:rowOff>5104</xdr:rowOff>
    </xdr:from>
    <xdr:to>
      <xdr:col>5</xdr:col>
      <xdr:colOff>154783</xdr:colOff>
      <xdr:row>36</xdr:row>
      <xdr:rowOff>23811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176EF68-4C85-45C7-B2F3-90BB1F358DB0}"/>
            </a:ext>
          </a:extLst>
        </xdr:cNvPr>
        <xdr:cNvSpPr txBox="1"/>
      </xdr:nvSpPr>
      <xdr:spPr>
        <a:xfrm>
          <a:off x="1226345" y="5339104"/>
          <a:ext cx="1964532" cy="1542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rgbClr val="FFC000"/>
              </a:solidFill>
            </a:rPr>
            <a:t>Best</a:t>
          </a:r>
        </a:p>
        <a:p>
          <a:pPr algn="ctr"/>
          <a:r>
            <a:rPr lang="en-US" sz="1100" b="1">
              <a:solidFill>
                <a:schemeClr val="accent2">
                  <a:lumMod val="60000"/>
                  <a:lumOff val="40000"/>
                </a:schemeClr>
              </a:solidFill>
            </a:rPr>
            <a:t>The Hawaiian Pizzas </a:t>
          </a:r>
          <a:r>
            <a:rPr lang="en-US" sz="1100" b="1">
              <a:solidFill>
                <a:schemeClr val="bg1"/>
              </a:solidFill>
            </a:rPr>
            <a:t>are the sellers</a:t>
          </a:r>
          <a:r>
            <a:rPr lang="en-US" sz="1100" b="1" baseline="0">
              <a:solidFill>
                <a:schemeClr val="bg1"/>
              </a:solidFill>
            </a:rPr>
            <a:t> and revenue generators.</a:t>
          </a:r>
          <a:endParaRPr lang="en-US" sz="1100" b="1">
            <a:solidFill>
              <a:schemeClr val="bg1"/>
            </a:solidFill>
          </a:endParaRPr>
        </a:p>
        <a:p>
          <a:pPr algn="ctr"/>
          <a:endParaRPr lang="en-US" sz="1000">
            <a:solidFill>
              <a:schemeClr val="bg1"/>
            </a:solidFill>
          </a:endParaRPr>
        </a:p>
        <a:p>
          <a:pPr algn="ctr"/>
          <a:r>
            <a:rPr lang="en-US" sz="1200" b="1">
              <a:solidFill>
                <a:srgbClr val="00B0F0"/>
              </a:solidFill>
            </a:rPr>
            <a:t>Worst</a:t>
          </a:r>
        </a:p>
        <a:p>
          <a:pPr algn="ctr"/>
          <a:r>
            <a:rPr lang="en-US" sz="1100" b="1">
              <a:solidFill>
                <a:schemeClr val="accent2">
                  <a:lumMod val="60000"/>
                  <a:lumOff val="40000"/>
                </a:schemeClr>
              </a:solidFill>
            </a:rPr>
            <a:t>The</a:t>
          </a:r>
          <a:r>
            <a:rPr lang="en-US" sz="1100" b="1" baseline="0">
              <a:solidFill>
                <a:schemeClr val="accent2">
                  <a:lumMod val="60000"/>
                  <a:lumOff val="40000"/>
                </a:schemeClr>
              </a:solidFill>
            </a:rPr>
            <a:t> Brie Carre </a:t>
          </a:r>
          <a:r>
            <a:rPr lang="en-US" sz="1100" b="1" baseline="0">
              <a:solidFill>
                <a:schemeClr val="bg1"/>
              </a:solidFill>
            </a:rPr>
            <a:t>is of the bottom in both orders and revenue.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17</xdr:col>
      <xdr:colOff>23811</xdr:colOff>
      <xdr:row>26</xdr:row>
      <xdr:rowOff>154781</xdr:rowOff>
    </xdr:from>
    <xdr:to>
      <xdr:col>22</xdr:col>
      <xdr:colOff>142874</xdr:colOff>
      <xdr:row>36</xdr:row>
      <xdr:rowOff>142875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7" name="order_date 1">
              <a:extLst>
                <a:ext uri="{FF2B5EF4-FFF2-40B4-BE49-F238E27FC236}">
                  <a16:creationId xmlns:a16="http://schemas.microsoft.com/office/drawing/2014/main" id="{6505B25A-0ABE-49BB-B1D8-D5926C70FE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_d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46530" y="5107781"/>
              <a:ext cx="3155157" cy="18930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1</xdr:row>
      <xdr:rowOff>14287</xdr:rowOff>
    </xdr:from>
    <xdr:to>
      <xdr:col>10</xdr:col>
      <xdr:colOff>19050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E4D5E8-BE6E-4A0D-B3B5-E9EF8A980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561975</xdr:colOff>
      <xdr:row>16</xdr:row>
      <xdr:rowOff>0</xdr:rowOff>
    </xdr:from>
    <xdr:to>
      <xdr:col>10</xdr:col>
      <xdr:colOff>314325</xdr:colOff>
      <xdr:row>26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825282-80BF-4020-B431-0B93B1178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0</xdr:row>
      <xdr:rowOff>138112</xdr:rowOff>
    </xdr:from>
    <xdr:to>
      <xdr:col>10</xdr:col>
      <xdr:colOff>85725</xdr:colOff>
      <xdr:row>13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D893FF-A18E-4859-9D87-794194D93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485775</xdr:colOff>
      <xdr:row>13</xdr:row>
      <xdr:rowOff>85725</xdr:rowOff>
    </xdr:from>
    <xdr:to>
      <xdr:col>9</xdr:col>
      <xdr:colOff>485775</xdr:colOff>
      <xdr:row>26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9BAFDD-8F53-4BEC-822D-6BD772600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133350</xdr:colOff>
      <xdr:row>27</xdr:row>
      <xdr:rowOff>42862</xdr:rowOff>
    </xdr:from>
    <xdr:to>
      <xdr:col>13</xdr:col>
      <xdr:colOff>438150</xdr:colOff>
      <xdr:row>36</xdr:row>
      <xdr:rowOff>171450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92D352C-D55C-423C-92E0-672167C6CE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05375" y="5186362"/>
              <a:ext cx="4572000" cy="18430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35</xdr:row>
      <xdr:rowOff>28575</xdr:rowOff>
    </xdr:from>
    <xdr:to>
      <xdr:col>3</xdr:col>
      <xdr:colOff>685800</xdr:colOff>
      <xdr:row>42</xdr:row>
      <xdr:rowOff>66675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5" name="order_date">
              <a:extLst>
                <a:ext uri="{FF2B5EF4-FFF2-40B4-BE49-F238E27FC236}">
                  <a16:creationId xmlns:a16="http://schemas.microsoft.com/office/drawing/2014/main" id="{B493EBFC-0779-4893-BE00-90A26C62F2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_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69607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128587</xdr:rowOff>
    </xdr:from>
    <xdr:to>
      <xdr:col>8</xdr:col>
      <xdr:colOff>561975</xdr:colOff>
      <xdr:row>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B69A7E-A5CD-4C9D-921F-6951A108E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13</xdr:row>
      <xdr:rowOff>4762</xdr:rowOff>
    </xdr:from>
    <xdr:to>
      <xdr:col>9</xdr:col>
      <xdr:colOff>114300</xdr:colOff>
      <xdr:row>21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DEB904-7474-4F43-8FDA-5705D8848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6.818315509256" createdVersion="7" refreshedVersion="7" minRefreshableVersion="3" recordCount="3761" xr:uid="{30985225-CE2D-4AD8-BC28-8E33D2EE51E5}">
  <cacheSource type="worksheet">
    <worksheetSource name="pizza_sales"/>
  </cacheSource>
  <cacheFields count="16">
    <cacheField name="pizza_id" numFmtId="0">
      <sharedItems containsSemiMixedTypes="0" containsString="0" containsNumber="1" containsInteger="1" minValue="1" maxValue="30462"/>
    </cacheField>
    <cacheField name="order_id" numFmtId="0">
      <sharedItems containsSemiMixedTypes="0" containsString="0" containsNumber="1" containsInteger="1" minValue="1" maxValue="13454"/>
    </cacheField>
    <cacheField name="total_orders" numFmtId="0">
      <sharedItems containsSemiMixedTypes="0" containsString="0" containsNumber="1" minValue="0.16666666666666666" maxValue="1"/>
    </cacheField>
    <cacheField name="pizza_name_id" numFmtId="0">
      <sharedItems/>
    </cacheField>
    <cacheField name="quantity" numFmtId="0">
      <sharedItems containsSemiMixedTypes="0" containsString="0" containsNumber="1" containsInteger="1" minValue="1" maxValue="3"/>
    </cacheField>
    <cacheField name="order_date" numFmtId="14">
      <sharedItems containsSemiMixedTypes="0" containsNonDate="0" containsDate="1" containsString="0" minDate="2015-01-01T00:00:00" maxDate="2015-12-09T00:00:00" count="96"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02-05T00:00:00"/>
        <d v="2015-11-01T00:00:00"/>
        <d v="2015-12-01T00:00:00"/>
        <d v="2015-01-02T00:00:00"/>
        <d v="2015-02-02T00:00:00"/>
        <d v="2015-03-02T00:00:00"/>
        <d v="2015-04-02T00:00:00"/>
        <d v="2015-05-02T00:00:00"/>
        <d v="2015-06-02T00:00:00"/>
        <d v="2015-07-02T00:00:00"/>
        <d v="2015-08-02T00:00:00"/>
        <d v="2015-09-02T00:00:00"/>
        <d v="2015-10-02T00:00:00"/>
        <d v="2015-11-02T00:00:00"/>
        <d v="2015-12-02T00:00:00"/>
        <d v="2015-01-03T00:00:00"/>
        <d v="2015-02-03T00:00:00"/>
        <d v="2015-03-03T00:00:00"/>
        <d v="2015-04-03T00:00:00"/>
        <d v="2015-05-03T00:00:00"/>
        <d v="2015-06-03T00:00:00"/>
        <d v="2015-07-03T00:00:00"/>
        <d v="2015-08-03T00:00:00"/>
        <d v="2015-09-03T00:00:00"/>
        <d v="2015-10-03T00:00:00"/>
        <d v="2015-11-03T00:00:00"/>
        <d v="2015-12-03T00:00:00"/>
        <d v="2015-01-04T00:00:00"/>
        <d v="2015-02-04T00:00:00"/>
        <d v="2015-03-04T00:00:00"/>
        <d v="2015-04-04T00:00:00"/>
        <d v="2015-05-04T00:00:00"/>
        <d v="2015-06-04T00:00:00"/>
        <d v="2015-07-04T00:00:00"/>
        <d v="2015-08-04T00:00:00"/>
        <d v="2015-09-04T00:00:00"/>
        <d v="2015-10-04T00:00:00"/>
        <d v="2015-11-04T00:00:00"/>
        <d v="2015-12-04T00:00:00"/>
        <d v="2015-01-05T00:00:00"/>
        <d v="2015-03-05T00:00:00"/>
        <d v="2015-04-05T00:00:00"/>
        <d v="2015-05-05T00:00:00"/>
        <d v="2015-06-05T00:00:00"/>
        <d v="2015-07-05T00:00:00"/>
        <d v="2015-08-05T00:00:00"/>
        <d v="2015-09-05T00:00:00"/>
        <d v="2015-10-05T00:00:00"/>
        <d v="2015-11-05T00:00:00"/>
        <d v="2015-12-05T00:00:00"/>
        <d v="2015-01-06T00:00:00"/>
        <d v="2015-02-06T00:00:00"/>
        <d v="2015-03-06T00:00:00"/>
        <d v="2015-04-06T00:00:00"/>
        <d v="2015-05-06T00:00:00"/>
        <d v="2015-06-06T00:00:00"/>
        <d v="2015-07-06T00:00:00"/>
        <d v="2015-08-06T00:00:00"/>
        <d v="2015-09-06T00:00:00"/>
        <d v="2015-10-06T00:00:00"/>
        <d v="2015-11-06T00:00:00"/>
        <d v="2015-12-06T00:00:00"/>
        <d v="2015-01-07T00:00:00"/>
        <d v="2015-02-07T00:00:00"/>
        <d v="2015-03-07T00:00:00"/>
        <d v="2015-04-07T00:00:00"/>
        <d v="2015-05-07T00:00:00"/>
        <d v="2015-06-07T00:00:00"/>
        <d v="2015-07-07T00:00:00"/>
        <d v="2015-08-07T00:00:00"/>
        <d v="2015-09-07T00:00:00"/>
        <d v="2015-10-07T00:00:00"/>
        <d v="2015-11-07T00:00:00"/>
        <d v="2015-12-07T00:00:00"/>
        <d v="2015-01-08T00:00:00"/>
        <d v="2015-02-08T00:00:00"/>
        <d v="2015-03-08T00:00:00"/>
        <d v="2015-04-08T00:00:00"/>
        <d v="2015-05-08T00:00:00"/>
        <d v="2015-06-08T00:00:00"/>
        <d v="2015-07-08T00:00:00"/>
        <d v="2015-08-08T00:00:00"/>
        <d v="2015-09-08T00:00:00"/>
        <d v="2015-10-08T00:00:00"/>
        <d v="2015-11-08T00:00:00"/>
        <d v="2015-12-08T00:00:00"/>
      </sharedItems>
    </cacheField>
    <cacheField name="order_day" numFmtId="14">
      <sharedItems count="7">
        <s v="Thursday"/>
        <s v="Sunday"/>
        <s v="Wednesday"/>
        <s v="Friday"/>
        <s v="Monday"/>
        <s v="Saturday"/>
        <s v="Tuesday"/>
      </sharedItems>
    </cacheField>
    <cacheField name="order_time" numFmtId="164">
      <sharedItems containsSemiMixedTypes="0" containsNonDate="0" containsDate="1" containsString="0" minDate="1899-12-30T10:43:04" maxDate="1899-12-30T23:02:35" count="2715">
        <d v="1899-12-30T11:38:36"/>
        <d v="1899-12-30T11:57:40"/>
        <d v="1899-12-30T12:29:36"/>
        <d v="1899-12-30T12:52:01"/>
        <d v="1899-12-30T13:00:15"/>
        <d v="1899-12-30T13:02:59"/>
        <d v="1899-12-30T13:11:55"/>
        <d v="1899-12-30T13:14:19"/>
        <d v="1899-12-30T13:33:00"/>
        <d v="1899-12-30T13:34:07"/>
        <d v="1899-12-30T13:53:00"/>
        <d v="1899-12-30T13:57:08"/>
        <d v="1899-12-30T13:59:09"/>
        <d v="1899-12-30T14:03:08"/>
        <d v="1899-12-30T14:23:01"/>
        <d v="1899-12-30T14:44:44"/>
        <d v="1899-12-30T15:50:18"/>
        <d v="1899-12-30T15:53:18"/>
        <d v="1899-12-30T16:21:21"/>
        <d v="1899-12-30T16:32:04"/>
        <d v="1899-12-30T16:56:09"/>
        <d v="1899-12-30T17:03:00"/>
        <d v="1899-12-30T17:28:09"/>
        <d v="1899-12-30T17:55:48"/>
        <d v="1899-12-30T18:33:00"/>
        <d v="1899-12-30T18:41:01"/>
        <d v="1899-12-30T18:53:02"/>
        <d v="1899-12-30T19:30:40"/>
        <d v="1899-12-30T19:40:08"/>
        <d v="1899-12-30T20:52:08"/>
        <d v="1899-12-30T21:16:00"/>
        <d v="1899-12-30T12:01:12"/>
        <d v="1899-12-30T12:10:15"/>
        <d v="1899-12-30T12:21:17"/>
        <d v="1899-12-30T12:22:46"/>
        <d v="1899-12-30T12:28:14"/>
        <d v="1899-12-30T12:35:38"/>
        <d v="1899-12-30T12:45:51"/>
        <d v="1899-12-30T13:13:41"/>
        <d v="1899-12-30T13:34:49"/>
        <d v="1899-12-30T13:40:31"/>
        <d v="1899-12-30T14:01:02"/>
        <d v="1899-12-30T15:08:48"/>
        <d v="1899-12-30T15:14:43"/>
        <d v="1899-12-30T15:17:02"/>
        <d v="1899-12-30T15:29:31"/>
        <d v="1899-12-30T16:18:04"/>
        <d v="1899-12-30T16:21:20"/>
        <d v="1899-12-30T16:45:33"/>
        <d v="1899-12-30T17:18:18"/>
        <d v="1899-12-30T17:46:17"/>
        <d v="1899-12-30T17:51:33"/>
        <d v="1899-12-30T18:12:01"/>
        <d v="1899-12-30T18:12:13"/>
        <d v="1899-12-30T18:25:25"/>
        <d v="1899-12-30T18:27:50"/>
        <d v="1899-12-30T18:36:19"/>
        <d v="1899-12-30T18:38:01"/>
        <d v="1899-12-30T18:41:40"/>
        <d v="1899-12-30T18:50:21"/>
        <d v="1899-12-30T18:59:32"/>
        <d v="1899-12-30T19:05:17"/>
        <d v="1899-12-30T19:23:02"/>
        <d v="1899-12-30T19:35:07"/>
        <d v="1899-12-30T19:38:48"/>
        <d v="1899-12-30T20:12:34"/>
        <d v="1899-12-30T20:31:06"/>
        <d v="1899-12-30T20:58:23"/>
        <d v="1899-12-30T21:13:02"/>
        <d v="1899-12-30T21:14:55"/>
        <d v="1899-12-30T21:42:45"/>
        <d v="1899-12-30T22:00:17"/>
        <d v="1899-12-30T22:13:24"/>
        <d v="1899-12-30T11:34:10"/>
        <d v="1899-12-30T11:44:50"/>
        <d v="1899-12-30T13:41:36"/>
        <d v="1899-12-30T13:44:28"/>
        <d v="1899-12-30T13:53:48"/>
        <d v="1899-12-30T14:22:10"/>
        <d v="1899-12-30T14:32:51"/>
        <d v="1899-12-30T14:49:58"/>
        <d v="1899-12-30T15:09:42"/>
        <d v="1899-12-30T15:16:34"/>
        <d v="1899-12-30T15:28:59"/>
        <d v="1899-12-30T15:42:19"/>
        <d v="1899-12-30T15:43:03"/>
        <d v="1899-12-30T16:43:46"/>
        <d v="1899-12-30T16:51:22"/>
        <d v="1899-12-30T16:54:54"/>
        <d v="1899-12-30T16:56:33"/>
        <d v="1899-12-30T17:00:49"/>
        <d v="1899-12-30T17:02:27"/>
        <d v="1899-12-30T17:15:48"/>
        <d v="1899-12-30T17:21:31"/>
        <d v="1899-12-30T17:23:03"/>
        <d v="1899-12-30T17:29:24"/>
        <d v="1899-12-30T17:37:49"/>
        <d v="1899-12-30T17:54:36"/>
        <d v="1899-12-30T18:20:14"/>
        <d v="1899-12-30T18:49:32"/>
        <d v="1899-12-30T18:50:10"/>
        <d v="1899-12-30T18:54:55"/>
        <d v="1899-12-30T18:59:05"/>
        <d v="1899-12-30T19:08:33"/>
        <d v="1899-12-30T19:36:00"/>
        <d v="1899-12-30T20:08:39"/>
        <d v="1899-12-30T20:12:14"/>
        <d v="1899-12-30T20:30:08"/>
        <d v="1899-12-30T20:55:47"/>
        <d v="1899-12-30T21:40:14"/>
        <d v="1899-12-30T21:55:42"/>
        <d v="1899-12-30T22:24:05"/>
        <d v="1899-12-30T22:29:59"/>
        <d v="1899-12-30T11:30:48"/>
        <d v="1899-12-30T11:45:10"/>
        <d v="1899-12-30T12:12:05"/>
        <d v="1899-12-30T12:54:20"/>
        <d v="1899-12-30T13:39:16"/>
        <d v="1899-12-30T14:31:56"/>
        <d v="1899-12-30T15:31:59"/>
        <d v="1899-12-30T15:33:18"/>
        <d v="1899-12-30T15:46:38"/>
        <d v="1899-12-30T16:39:58"/>
        <d v="1899-12-30T17:24:39"/>
        <d v="1899-12-30T18:04:18"/>
        <d v="1899-12-30T18:36:09"/>
        <d v="1899-12-30T20:11:25"/>
        <d v="1899-12-30T20:15:29"/>
        <d v="1899-12-30T20:30:48"/>
        <d v="1899-12-30T20:55:29"/>
        <d v="1899-12-30T20:58:19"/>
        <d v="1899-12-30T21:06:16"/>
        <d v="1899-12-30T21:10:05"/>
        <d v="1899-12-30T22:16:18"/>
        <d v="1899-12-30T22:22:13"/>
        <d v="1899-12-30T11:23:35"/>
        <d v="1899-12-30T12:04:25"/>
        <d v="1899-12-30T12:06:27"/>
        <d v="1899-12-30T12:38:29"/>
        <d v="1899-12-30T13:03:59"/>
        <d v="1899-12-30T13:04:42"/>
        <d v="1899-12-30T13:37:50"/>
        <d v="1899-12-30T13:40:46"/>
        <d v="1899-12-30T14:22:19"/>
        <d v="1899-12-30T14:38:14"/>
        <d v="1899-12-30T16:33:48"/>
        <d v="1899-12-30T16:51:43"/>
        <d v="1899-12-30T16:58:16"/>
        <d v="1899-12-30T17:30:09"/>
        <d v="1899-12-30T17:32:44"/>
        <d v="1899-12-30T19:42:54"/>
        <d v="1899-12-30T19:45:58"/>
        <d v="1899-12-30T20:02:51"/>
        <d v="1899-12-30T20:07:58"/>
        <d v="1899-12-30T20:35:40"/>
        <d v="1899-12-30T20:37:40"/>
        <d v="1899-12-30T21:59:46"/>
        <d v="1899-12-30T11:40:48"/>
        <d v="1899-12-30T11:57:27"/>
        <d v="1899-12-30T12:05:21"/>
        <d v="1899-12-30T12:11:58"/>
        <d v="1899-12-30T12:29:34"/>
        <d v="1899-12-30T12:31:00"/>
        <d v="1899-12-30T12:45:14"/>
        <d v="1899-12-30T13:27:11"/>
        <d v="1899-12-30T14:12:01"/>
        <d v="1899-12-30T14:24:18"/>
        <d v="1899-12-30T15:03:12"/>
        <d v="1899-12-30T15:18:26"/>
        <d v="1899-12-30T15:35:47"/>
        <d v="1899-12-30T15:44:12"/>
        <d v="1899-12-30T16:30:00"/>
        <d v="1899-12-30T17:25:58"/>
        <d v="1899-12-30T17:37:05"/>
        <d v="1899-12-30T17:37:29"/>
        <d v="1899-12-30T17:45:48"/>
        <d v="1899-12-30T18:50:38"/>
        <d v="1899-12-30T19:12:38"/>
        <d v="1899-12-30T19:13:36"/>
        <d v="1899-12-30T19:20:31"/>
        <d v="1899-12-30T19:27:24"/>
        <d v="1899-12-30T19:37:26"/>
        <d v="1899-12-30T20:05:12"/>
        <d v="1899-12-30T21:02:30"/>
        <d v="1899-12-30T21:15:20"/>
        <d v="1899-12-30T11:45:18"/>
        <d v="1899-12-30T11:55:59"/>
        <d v="1899-12-30T11:58:36"/>
        <d v="1899-12-30T12:01:17"/>
        <d v="1899-12-30T12:03:18"/>
        <d v="1899-12-30T12:32:10"/>
        <d v="1899-12-30T12:51:46"/>
        <d v="1899-12-30T13:03:14"/>
        <d v="1899-12-30T13:25:31"/>
        <d v="1899-12-30T13:36:47"/>
        <d v="1899-12-30T13:48:31"/>
        <d v="1899-12-30T14:02:18"/>
        <d v="1899-12-30T14:11:08"/>
        <d v="1899-12-30T14:31:10"/>
        <d v="1899-12-30T14:56:26"/>
        <d v="1899-12-30T15:47:49"/>
        <d v="1899-12-30T16:03:07"/>
        <d v="1899-12-30T16:44:16"/>
        <d v="1899-12-30T16:56:42"/>
        <d v="1899-12-30T17:09:09"/>
        <d v="1899-12-30T17:15:04"/>
        <d v="1899-12-30T17:33:49"/>
        <d v="1899-12-30T18:07:46"/>
        <d v="1899-12-30T18:11:32"/>
        <d v="1899-12-30T18:24:40"/>
        <d v="1899-12-30T18:40:11"/>
        <d v="1899-12-30T19:02:31"/>
        <d v="1899-12-30T19:21:58"/>
        <d v="1899-12-30T19:45:07"/>
        <d v="1899-12-30T20:01:28"/>
        <d v="1899-12-30T20:25:45"/>
        <d v="1899-12-30T22:05:00"/>
        <d v="1899-12-30T22:46:13"/>
        <d v="1899-12-30T11:17:13"/>
        <d v="1899-12-30T11:54:14"/>
        <d v="1899-12-30T12:13:08"/>
        <d v="1899-12-30T12:16:34"/>
        <d v="1899-12-30T12:34:20"/>
        <d v="1899-12-30T12:57:39"/>
        <d v="1899-12-30T12:58:01"/>
        <d v="1899-12-30T13:03:34"/>
        <d v="1899-12-30T13:07:53"/>
        <d v="1899-12-30T13:24:11"/>
        <d v="1899-12-30T13:27:14"/>
        <d v="1899-12-30T14:00:05"/>
        <d v="1899-12-30T14:21:19"/>
        <d v="1899-12-30T14:49:01"/>
        <d v="1899-12-30T14:55:23"/>
        <d v="1899-12-30T15:30:10"/>
        <d v="1899-12-30T15:36:12"/>
        <d v="1899-12-30T15:37:18"/>
        <d v="1899-12-30T16:41:27"/>
        <d v="1899-12-30T16:47:48"/>
        <d v="1899-12-30T17:15:17"/>
        <d v="1899-12-30T17:27:56"/>
        <d v="1899-12-30T17:30:04"/>
        <d v="1899-12-30T17:35:56"/>
        <d v="1899-12-30T17:41:31"/>
        <d v="1899-12-30T17:41:37"/>
        <d v="1899-12-30T17:54:05"/>
        <d v="1899-12-30T18:02:54"/>
        <d v="1899-12-30T18:30:16"/>
        <d v="1899-12-30T18:49:24"/>
        <d v="1899-12-30T19:01:12"/>
        <d v="1899-12-30T19:06:21"/>
        <d v="1899-12-30T19:38:40"/>
        <d v="1899-12-30T19:42:52"/>
        <d v="1899-12-30T19:46:18"/>
        <d v="1899-12-30T21:10:46"/>
        <d v="1899-12-30T21:51:31"/>
        <d v="1899-12-30T11:16:21"/>
        <d v="1899-12-30T11:48:18"/>
        <d v="1899-12-30T11:55:10"/>
        <d v="1899-12-30T12:13:32"/>
        <d v="1899-12-30T12:22:48"/>
        <d v="1899-12-30T13:09:09"/>
        <d v="1899-12-30T13:09:11"/>
        <d v="1899-12-30T13:11:25"/>
        <d v="1899-12-30T14:09:33"/>
        <d v="1899-12-30T14:51:35"/>
        <d v="1899-12-30T15:08:46"/>
        <d v="1899-12-30T15:31:01"/>
        <d v="1899-12-30T16:28:43"/>
        <d v="1899-12-30T17:18:50"/>
        <d v="1899-12-30T17:23:52"/>
        <d v="1899-12-30T18:07:47"/>
        <d v="1899-12-30T18:31:04"/>
        <d v="1899-12-30T18:46:28"/>
        <d v="1899-12-30T18:49:23"/>
        <d v="1899-12-30T19:06:09"/>
        <d v="1899-12-30T19:06:34"/>
        <d v="1899-12-30T19:12:59"/>
        <d v="1899-12-30T19:26:24"/>
        <d v="1899-12-30T20:14:47"/>
        <d v="1899-12-30T20:18:25"/>
        <d v="1899-12-30T20:23:12"/>
        <d v="1899-12-30T20:30:06"/>
        <d v="1899-12-30T20:51:10"/>
        <d v="1899-12-30T22:19:03"/>
        <d v="1899-12-30T22:32:32"/>
        <d v="1899-12-30T12:27:47"/>
        <d v="1899-12-30T12:28:53"/>
        <d v="1899-12-30T13:14:47"/>
        <d v="1899-12-30T13:41:04"/>
        <d v="1899-12-30T13:44:22"/>
        <d v="1899-12-30T13:48:49"/>
        <d v="1899-12-30T13:56:01"/>
        <d v="1899-12-30T14:13:01"/>
        <d v="1899-12-30T15:05:29"/>
        <d v="1899-12-30T15:58:42"/>
        <d v="1899-12-30T12:23:16"/>
        <d v="1899-12-30T17:50:19"/>
        <d v="1899-12-30T18:53:52"/>
        <d v="1899-12-30T19:03:11"/>
        <d v="1899-12-30T19:23:51"/>
        <d v="1899-12-30T19:27:18"/>
        <d v="1899-12-30T19:36:33"/>
        <d v="1899-12-30T19:51:02"/>
        <d v="1899-12-30T19:58:10"/>
        <d v="1899-12-30T19:58:15"/>
        <d v="1899-12-30T20:10:44"/>
        <d v="1899-12-30T20:45:45"/>
        <d v="1899-12-30T20:49:29"/>
        <d v="1899-12-30T21:21:21"/>
        <d v="1899-12-30T22:18:35"/>
        <d v="1899-12-30T22:47:17"/>
        <d v="1899-12-30T22:48:39"/>
        <d v="1899-12-30T11:42:08"/>
        <d v="1899-12-30T11:44:36"/>
        <d v="1899-12-30T11:51:45"/>
        <d v="1899-12-30T12:14:15"/>
        <d v="1899-12-30T12:18:31"/>
        <d v="1899-12-30T12:44:10"/>
        <d v="1899-12-30T12:49:26"/>
        <d v="1899-12-30T13:28:08"/>
        <d v="1899-12-30T13:37:46"/>
        <d v="1899-12-30T13:40:00"/>
        <d v="1899-12-30T14:03:45"/>
        <d v="1899-12-30T14:07:26"/>
        <d v="1899-12-30T14:07:35"/>
        <d v="1899-12-30T14:17:17"/>
        <d v="1899-12-30T14:29:23"/>
        <d v="1899-12-30T14:34:05"/>
        <d v="1899-12-30T14:49:35"/>
        <d v="1899-12-30T16:03:38"/>
        <d v="1899-12-30T16:34:07"/>
        <d v="1899-12-30T16:55:24"/>
        <d v="1899-12-30T16:56:39"/>
        <d v="1899-12-30T17:18:14"/>
        <d v="1899-12-30T17:35:14"/>
        <d v="1899-12-30T17:42:25"/>
        <d v="1899-12-30T18:13:08"/>
        <d v="1899-12-30T18:13:12"/>
        <d v="1899-12-30T18:40:44"/>
        <d v="1899-12-30T19:33:05"/>
        <d v="1899-12-30T19:33:19"/>
        <d v="1899-12-30T19:44:57"/>
        <d v="1899-12-30T19:52:49"/>
        <d v="1899-12-30T20:31:02"/>
        <d v="1899-12-30T21:07:30"/>
        <d v="1899-12-30T12:13:07"/>
        <d v="1899-12-30T12:42:10"/>
        <d v="1899-12-30T13:04:24"/>
        <d v="1899-12-30T13:30:47"/>
        <d v="1899-12-30T14:08:16"/>
        <d v="1899-12-30T14:27:03"/>
        <d v="1899-12-30T14:31:13"/>
        <d v="1899-12-30T14:33:39"/>
        <d v="1899-12-30T14:38:35"/>
        <d v="1899-12-30T15:28:25"/>
        <d v="1899-12-30T15:39:04"/>
        <d v="1899-12-30T15:59:52"/>
        <d v="1899-12-30T16:21:10"/>
        <d v="1899-12-30T16:55:08"/>
        <d v="1899-12-30T17:05:33"/>
        <d v="1899-12-30T17:06:05"/>
        <d v="1899-12-30T17:52:27"/>
        <d v="1899-12-30T17:53:59"/>
        <d v="1899-12-30T18:20:58"/>
        <d v="1899-12-30T18:21:04"/>
        <d v="1899-12-30T18:24:47"/>
        <d v="1899-12-30T18:33:14"/>
        <d v="1899-12-30T18:34:25"/>
        <d v="1899-12-30T18:44:57"/>
        <d v="1899-12-30T18:53:17"/>
        <d v="1899-12-30T19:20:41"/>
        <d v="1899-12-30T19:27:47"/>
        <d v="1899-12-30T19:57:36"/>
        <d v="1899-12-30T20:00:30"/>
        <d v="1899-12-30T11:32:07"/>
        <d v="1899-12-30T11:40:47"/>
        <d v="1899-12-30T11:44:12"/>
        <d v="1899-12-30T11:49:01"/>
        <d v="1899-12-30T11:54:36"/>
        <d v="1899-12-30T12:12:59"/>
        <d v="1899-12-30T12:27:17"/>
        <d v="1899-12-30T12:32:48"/>
        <d v="1899-12-30T12:34:00"/>
        <d v="1899-12-30T13:27:02"/>
        <d v="1899-12-30T13:39:45"/>
        <d v="1899-12-30T14:18:56"/>
        <d v="1899-12-30T14:37:38"/>
        <d v="1899-12-30T14:45:45"/>
        <d v="1899-12-30T15:07:28"/>
        <d v="1899-12-30T15:09:20"/>
        <d v="1899-12-30T15:19:35"/>
        <d v="1899-12-30T15:52:26"/>
        <d v="1899-12-30T15:56:21"/>
        <d v="1899-12-30T16:07:22"/>
        <d v="1899-12-30T16:14:27"/>
        <d v="1899-12-30T16:15:40"/>
        <d v="1899-12-30T16:16:16"/>
        <d v="1899-12-30T16:25:39"/>
        <d v="1899-12-30T16:34:15"/>
        <d v="1899-12-30T16:43:54"/>
        <d v="1899-12-30T16:48:06"/>
        <d v="1899-12-30T17:01:44"/>
        <d v="1899-12-30T17:11:07"/>
        <d v="1899-12-30T17:11:28"/>
        <d v="1899-12-30T17:13:57"/>
        <d v="1899-12-30T17:24:50"/>
        <d v="1899-12-30T17:42:49"/>
        <d v="1899-12-30T18:13:17"/>
        <d v="1899-12-30T19:24:03"/>
        <d v="1899-12-30T19:24:26"/>
        <d v="1899-12-30T19:27:59"/>
        <d v="1899-12-30T19:48:51"/>
        <d v="1899-12-30T20:09:20"/>
        <d v="1899-12-30T20:43:56"/>
        <d v="1899-12-30T21:12:29"/>
        <d v="1899-12-30T22:08:01"/>
        <d v="1899-12-30T22:11:02"/>
        <d v="1899-12-30T22:15:43"/>
        <d v="1899-12-30T11:34:50"/>
        <d v="1899-12-30T11:43:47"/>
        <d v="1899-12-30T11:46:18"/>
        <d v="1899-12-30T12:29:44"/>
        <d v="1899-12-30T12:33:21"/>
        <d v="1899-12-30T12:40:35"/>
        <d v="1899-12-30T13:01:49"/>
        <d v="1899-12-30T13:13:28"/>
        <d v="1899-12-30T13:39:08"/>
        <d v="1899-12-30T13:41:46"/>
        <d v="1899-12-30T14:28:24"/>
        <d v="1899-12-30T14:36:07"/>
        <d v="1899-12-30T14:50:01"/>
        <d v="1899-12-30T15:15:16"/>
        <d v="1899-12-30T15:29:57"/>
        <d v="1899-12-30T15:59:08"/>
        <d v="1899-12-30T16:09:42"/>
        <d v="1899-12-30T16:10:04"/>
        <d v="1899-12-30T16:14:14"/>
        <d v="1899-12-30T16:41:43"/>
        <d v="1899-12-30T16:58:41"/>
        <d v="1899-12-30T17:10:43"/>
        <d v="1899-12-30T17:35:29"/>
        <d v="1899-12-30T17:49:37"/>
        <d v="1899-12-30T18:07:34"/>
        <d v="1899-12-30T19:03:28"/>
        <d v="1899-12-30T19:05:23"/>
        <d v="1899-12-30T19:10:40"/>
        <d v="1899-12-30T19:36:26"/>
        <d v="1899-12-30T19:50:13"/>
        <d v="1899-12-30T20:07:17"/>
        <d v="1899-12-30T20:09:54"/>
        <d v="1899-12-30T21:22:35"/>
        <d v="1899-12-30T22:08:10"/>
        <d v="1899-12-30T22:19:33"/>
        <d v="1899-12-30T11:25:25"/>
        <d v="1899-12-30T12:07:51"/>
        <d v="1899-12-30T12:14:27"/>
        <d v="1899-12-30T12:20:45"/>
        <d v="1899-12-30T12:21:10"/>
        <d v="1899-12-30T12:35:28"/>
        <d v="1899-12-30T12:47:12"/>
        <d v="1899-12-30T12:55:07"/>
        <d v="1899-12-30T13:00:41"/>
        <d v="1899-12-30T13:19:00"/>
        <d v="1899-12-30T13:20:46"/>
        <d v="1899-12-30T13:23:49"/>
        <d v="1899-12-30T14:06:04"/>
        <d v="1899-12-30T14:14:05"/>
        <d v="1899-12-30T14:25:13"/>
        <d v="1899-12-30T14:36:36"/>
        <d v="1899-12-30T16:11:48"/>
        <d v="1899-12-30T16:51:05"/>
        <d v="1899-12-30T17:12:51"/>
        <d v="1899-12-30T17:15:18"/>
        <d v="1899-12-30T17:31:35"/>
        <d v="1899-12-30T18:23:13"/>
        <d v="1899-12-30T18:46:54"/>
        <d v="1899-12-30T18:47:08"/>
        <d v="1899-12-30T19:51:00"/>
        <d v="1899-12-30T19:54:31"/>
        <d v="1899-12-30T20:42:43"/>
        <d v="1899-12-30T21:11:26"/>
        <d v="1899-12-30T11:19:17"/>
        <d v="1899-12-30T12:25:02"/>
        <d v="1899-12-30T12:26:39"/>
        <d v="1899-12-30T12:27:21"/>
        <d v="1899-12-30T12:44:20"/>
        <d v="1899-12-30T12:49:48"/>
        <d v="1899-12-30T12:58:32"/>
        <d v="1899-12-30T13:00:47"/>
        <d v="1899-12-30T13:35:51"/>
        <d v="1899-12-30T13:41:08"/>
        <d v="1899-12-30T14:03:04"/>
        <d v="1899-12-30T15:14:39"/>
        <d v="1899-12-30T16:38:50"/>
        <d v="1899-12-30T17:31:43"/>
        <d v="1899-12-30T17:33:29"/>
        <d v="1899-12-30T17:35:45"/>
        <d v="1899-12-30T18:13:32"/>
        <d v="1899-12-30T18:44:17"/>
        <d v="1899-12-30T19:27:08"/>
        <d v="1899-12-30T19:30:52"/>
        <d v="1899-12-30T19:38:28"/>
        <d v="1899-12-30T20:09:43"/>
        <d v="1899-12-30T20:54:54"/>
        <d v="1899-12-30T21:13:14"/>
        <d v="1899-12-30T21:16:34"/>
        <d v="1899-12-30T21:28:44"/>
        <d v="1899-12-30T22:16:08"/>
        <d v="1899-12-30T11:15:19"/>
        <d v="1899-12-30T12:11:52"/>
        <d v="1899-12-30T12:20:33"/>
        <d v="1899-12-30T12:30:46"/>
        <d v="1899-12-30T12:50:51"/>
        <d v="1899-12-30T12:56:27"/>
        <d v="1899-12-30T13:06:10"/>
        <d v="1899-12-30T13:31:29"/>
        <d v="1899-12-30T13:42:50"/>
        <d v="1899-12-30T13:48:38"/>
        <d v="1899-12-30T14:17:24"/>
        <d v="1899-12-30T14:18:04"/>
        <d v="1899-12-30T14:36:32"/>
        <d v="1899-12-30T14:38:28"/>
        <d v="1899-12-30T14:54:49"/>
        <d v="1899-12-30T15:00:15"/>
        <d v="1899-12-30T15:08:13"/>
        <d v="1899-12-30T17:44:52"/>
        <d v="1899-12-30T17:57:12"/>
        <d v="1899-12-30T18:11:25"/>
        <d v="1899-12-30T18:55:27"/>
        <d v="1899-12-30T19:29:29"/>
        <d v="1899-12-30T19:49:47"/>
        <d v="1899-12-30T19:55:12"/>
        <d v="1899-12-30T20:01:50"/>
        <d v="1899-12-30T20:18:08"/>
        <d v="1899-12-30T21:51:44"/>
        <d v="1899-12-30T21:56:42"/>
        <d v="1899-12-30T11:18:53"/>
        <d v="1899-12-30T11:25:48"/>
        <d v="1899-12-30T11:32:25"/>
        <d v="1899-12-30T11:54:09"/>
        <d v="1899-12-30T12:22:30"/>
        <d v="1899-12-30T12:25:17"/>
        <d v="1899-12-30T12:40:25"/>
        <d v="1899-12-30T13:10:13"/>
        <d v="1899-12-30T13:13:33"/>
        <d v="1899-12-30T13:19:45"/>
        <d v="1899-12-30T13:21:21"/>
        <d v="1899-12-30T14:01:18"/>
        <d v="1899-12-30T14:36:06"/>
        <d v="1899-12-30T15:31:14"/>
        <d v="1899-12-30T16:11:41"/>
        <d v="1899-12-30T16:59:29"/>
        <d v="1899-12-30T17:10:44"/>
        <d v="1899-12-30T17:30:36"/>
        <d v="1899-12-30T17:52:48"/>
        <d v="1899-12-30T17:57:31"/>
        <d v="1899-12-30T18:07:53"/>
        <d v="1899-12-30T18:10:26"/>
        <d v="1899-12-30T18:21:44"/>
        <d v="1899-12-30T18:47:16"/>
        <d v="1899-12-30T18:51:55"/>
        <d v="1899-12-30T19:02:30"/>
        <d v="1899-12-30T19:23:26"/>
        <d v="1899-12-30T19:29:57"/>
        <d v="1899-12-30T20:04:33"/>
        <d v="1899-12-30T20:16:54"/>
        <d v="1899-12-30T21:07:01"/>
        <d v="1899-12-30T21:17:17"/>
        <d v="1899-12-30T21:26:37"/>
        <d v="1899-12-30T21:37:09"/>
        <d v="1899-12-30T21:38:28"/>
        <d v="1899-12-30T22:22:17"/>
        <d v="1899-12-30T11:40:43"/>
        <d v="1899-12-30T11:57:32"/>
        <d v="1899-12-30T13:15:55"/>
        <d v="1899-12-30T13:58:00"/>
        <d v="1899-12-30T14:32:17"/>
        <d v="1899-12-30T15:00:58"/>
        <d v="1899-12-30T15:15:54"/>
        <d v="1899-12-30T15:22:04"/>
        <d v="1899-12-30T15:28:55"/>
        <d v="1899-12-30T15:34:05"/>
        <d v="1899-12-30T15:43:28"/>
        <d v="1899-12-30T17:05:42"/>
        <d v="1899-12-30T17:40:20"/>
        <d v="1899-12-30T17:57:15"/>
        <d v="1899-12-30T18:31:29"/>
        <d v="1899-12-30T18:42:49"/>
        <d v="1899-12-30T18:53:49"/>
        <d v="1899-12-30T19:14:00"/>
        <d v="1899-12-30T19:33:21"/>
        <d v="1899-12-30T19:34:04"/>
        <d v="1899-12-30T20:29:43"/>
        <d v="1899-12-30T20:57:53"/>
        <d v="1899-12-30T21:55:00"/>
        <d v="1899-12-30T22:10:57"/>
        <d v="1899-12-30T12:10:20"/>
        <d v="1899-12-30T12:22:04"/>
        <d v="1899-12-30T12:27:40"/>
        <d v="1899-12-30T12:45:27"/>
        <d v="1899-12-30T13:06:36"/>
        <d v="1899-12-30T13:38:04"/>
        <d v="1899-12-30T14:10:27"/>
        <d v="1899-12-30T14:12:59"/>
        <d v="1899-12-30T14:25:11"/>
        <d v="1899-12-30T14:33:52"/>
        <d v="1899-12-30T14:37:47"/>
        <d v="1899-12-30T15:46:13"/>
        <d v="1899-12-30T16:16:21"/>
        <d v="1899-12-30T16:28:40"/>
        <d v="1899-12-30T16:58:21"/>
        <d v="1899-12-30T17:19:00"/>
        <d v="1899-12-30T17:19:54"/>
        <d v="1899-12-30T17:53:01"/>
        <d v="1899-12-30T18:50:18"/>
        <d v="1899-12-30T18:54:41"/>
        <d v="1899-12-30T20:20:37"/>
        <d v="1899-12-30T20:20:51"/>
        <d v="1899-12-30T20:28:32"/>
        <d v="1899-12-30T20:58:36"/>
        <d v="1899-12-30T21:21:37"/>
        <d v="1899-12-30T21:52:14"/>
        <d v="1899-12-30T22:36:28"/>
        <d v="1899-12-30T11:26:25"/>
        <d v="1899-12-30T11:31:10"/>
        <d v="1899-12-30T11:44:49"/>
        <d v="1899-12-30T12:19:47"/>
        <d v="1899-12-30T12:23:58"/>
        <d v="1899-12-30T12:30:05"/>
        <d v="1899-12-30T12:35:50"/>
        <d v="1899-12-30T12:52:36"/>
        <d v="1899-12-30T13:02:33"/>
        <d v="1899-12-30T14:00:19"/>
        <d v="1899-12-30T14:04:34"/>
        <d v="1899-12-30T14:35:54"/>
        <d v="1899-12-30T15:14:42"/>
        <d v="1899-12-30T15:26:16"/>
        <d v="1899-12-30T16:05:30"/>
        <d v="1899-12-30T16:18:14"/>
        <d v="1899-12-30T16:22:26"/>
        <d v="1899-12-30T16:49:40"/>
        <d v="1899-12-30T17:09:34"/>
        <d v="1899-12-30T17:12:03"/>
        <d v="1899-12-30T17:36:17"/>
        <d v="1899-12-30T17:57:51"/>
        <d v="1899-12-30T18:02:29"/>
        <d v="1899-12-30T18:06:54"/>
        <d v="1899-12-30T18:34:07"/>
        <d v="1899-12-30T18:35:19"/>
        <d v="1899-12-30T18:53:44"/>
        <d v="1899-12-30T19:00:56"/>
        <d v="1899-12-30T19:33:50"/>
        <d v="1899-12-30T19:54:24"/>
        <d v="1899-12-30T20:09:44"/>
        <d v="1899-12-30T21:08:21"/>
        <d v="1899-12-30T11:28:16"/>
        <d v="1899-12-30T11:43:09"/>
        <d v="1899-12-30T11:53:29"/>
        <d v="1899-12-30T12:34:39"/>
        <d v="1899-12-30T12:38:36"/>
        <d v="1899-12-30T12:41:17"/>
        <d v="1899-12-30T13:04:06"/>
        <d v="1899-12-30T13:04:23"/>
        <d v="1899-12-30T13:45:23"/>
        <d v="1899-12-30T13:54:52"/>
        <d v="1899-12-30T14:06:28"/>
        <d v="1899-12-30T14:11:49"/>
        <d v="1899-12-30T14:28:48"/>
        <d v="1899-12-30T15:01:08"/>
        <d v="1899-12-30T15:31:30"/>
        <d v="1899-12-30T16:43:26"/>
        <d v="1899-12-30T16:43:55"/>
        <d v="1899-12-30T16:49:38"/>
        <d v="1899-12-30T17:02:57"/>
        <d v="1899-12-30T17:10:46"/>
        <d v="1899-12-30T17:58:53"/>
        <d v="1899-12-30T19:07:28"/>
        <d v="1899-12-30T19:19:00"/>
        <d v="1899-12-30T20:01:34"/>
        <d v="1899-12-30T20:09:17"/>
        <d v="1899-12-30T20:13:13"/>
        <d v="1899-12-30T20:20:20"/>
        <d v="1899-12-30T20:33:37"/>
        <d v="1899-12-30T11:46:05"/>
        <d v="1899-12-30T11:48:07"/>
        <d v="1899-12-30T12:11:27"/>
        <d v="1899-12-30T12:27:39"/>
        <d v="1899-12-30T12:35:27"/>
        <d v="1899-12-30T12:42:27"/>
        <d v="1899-12-30T12:56:55"/>
        <d v="1899-12-30T13:14:20"/>
        <d v="1899-12-30T13:22:08"/>
        <d v="1899-12-30T13:34:18"/>
        <d v="1899-12-30T14:00:00"/>
        <d v="1899-12-30T14:40:54"/>
        <d v="1899-12-30T14:50:55"/>
        <d v="1899-12-30T15:12:46"/>
        <d v="1899-12-30T17:08:24"/>
        <d v="1899-12-30T17:12:25"/>
        <d v="1899-12-30T17:44:46"/>
        <d v="1899-12-30T17:47:02"/>
        <d v="1899-12-30T17:47:30"/>
        <d v="1899-12-30T17:53:00"/>
        <d v="1899-12-30T18:00:12"/>
        <d v="1899-12-30T18:21:25"/>
        <d v="1899-12-30T18:25:46"/>
        <d v="1899-12-30T18:46:12"/>
        <d v="1899-12-30T19:02:19"/>
        <d v="1899-12-30T19:04:08"/>
        <d v="1899-12-30T19:11:58"/>
        <d v="1899-12-30T19:25:46"/>
        <d v="1899-12-30T19:36:30"/>
        <d v="1899-12-30T19:54:40"/>
        <d v="1899-12-30T20:06:11"/>
        <d v="1899-12-30T20:11:26"/>
        <d v="1899-12-30T20:22:03"/>
        <d v="1899-12-30T20:33:15"/>
        <d v="1899-12-30T11:48:50"/>
        <d v="1899-12-30T11:54:44"/>
        <d v="1899-12-30T12:03:27"/>
        <d v="1899-12-30T12:41:02"/>
        <d v="1899-12-30T12:45:49"/>
        <d v="1899-12-30T12:48:03"/>
        <d v="1899-12-30T13:18:54"/>
        <d v="1899-12-30T13:28:21"/>
        <d v="1899-12-30T13:47:07"/>
        <d v="1899-12-30T14:09:47"/>
        <d v="1899-12-30T14:20:14"/>
        <d v="1899-12-30T14:27:16"/>
        <d v="1899-12-30T14:30:22"/>
        <d v="1899-12-30T14:43:38"/>
        <d v="1899-12-30T15:04:49"/>
        <d v="1899-12-30T15:53:59"/>
        <d v="1899-12-30T15:54:49"/>
        <d v="1899-12-30T15:58:47"/>
        <d v="1899-12-30T16:58:29"/>
        <d v="1899-12-30T17:21:15"/>
        <d v="1899-12-30T17:36:09"/>
        <d v="1899-12-30T17:42:00"/>
        <d v="1899-12-30T17:56:55"/>
        <d v="1899-12-30T18:14:11"/>
        <d v="1899-12-30T18:25:21"/>
        <d v="1899-12-30T18:27:56"/>
        <d v="1899-12-30T19:09:56"/>
        <d v="1899-12-30T20:01:13"/>
        <d v="1899-12-30T21:43:21"/>
        <d v="1899-12-30T22:02:05"/>
        <d v="1899-12-30T22:54:43"/>
        <d v="1899-12-30T11:34:00"/>
        <d v="1899-12-30T12:52:52"/>
        <d v="1899-12-30T13:25:47"/>
        <d v="1899-12-30T14:08:51"/>
        <d v="1899-12-30T14:20:57"/>
        <d v="1899-12-30T15:20:14"/>
        <d v="1899-12-30T15:47:40"/>
        <d v="1899-12-30T17:04:51"/>
        <d v="1899-12-30T17:06:58"/>
        <d v="1899-12-30T17:29:42"/>
        <d v="1899-12-30T17:48:53"/>
        <d v="1899-12-30T18:08:01"/>
        <d v="1899-12-30T18:17:40"/>
        <d v="1899-12-30T18:36:33"/>
        <d v="1899-12-30T18:56:36"/>
        <d v="1899-12-30T19:14:27"/>
        <d v="1899-12-30T19:27:23"/>
        <d v="1899-12-30T19:43:37"/>
        <d v="1899-12-30T19:56:35"/>
        <d v="1899-12-30T20:07:52"/>
        <d v="1899-12-30T20:49:00"/>
        <d v="1899-12-30T22:00:46"/>
        <d v="1899-12-30T22:59:18"/>
        <d v="1899-12-30T12:07:16"/>
        <d v="1899-12-30T12:33:30"/>
        <d v="1899-12-30T12:46:49"/>
        <d v="1899-12-30T12:50:05"/>
        <d v="1899-12-30T13:33:21"/>
        <d v="1899-12-30T13:37:06"/>
        <d v="1899-12-30T13:59:44"/>
        <d v="1899-12-30T14:04:41"/>
        <d v="1899-12-30T14:43:05"/>
        <d v="1899-12-30T15:01:31"/>
        <d v="1899-12-30T15:27:51"/>
        <d v="1899-12-30T15:40:12"/>
        <d v="1899-12-30T15:50:46"/>
        <d v="1899-12-30T16:36:54"/>
        <d v="1899-12-30T17:13:08"/>
        <d v="1899-12-30T17:33:55"/>
        <d v="1899-12-30T17:47:31"/>
        <d v="1899-12-30T17:54:08"/>
        <d v="1899-12-30T18:02:16"/>
        <d v="1899-12-30T18:06:22"/>
        <d v="1899-12-30T18:29:51"/>
        <d v="1899-12-30T19:01:00"/>
        <d v="1899-12-30T19:09:34"/>
        <d v="1899-12-30T21:00:34"/>
        <d v="1899-12-30T21:03:49"/>
        <d v="1899-12-30T21:16:40"/>
        <d v="1899-12-30T21:28:09"/>
        <d v="1899-12-30T22:21:24"/>
        <d v="1899-12-30T11:50:41"/>
        <d v="1899-12-30T12:14:07"/>
        <d v="1899-12-30T12:24:18"/>
        <d v="1899-12-30T12:39:57"/>
        <d v="1899-12-30T12:48:47"/>
        <d v="1899-12-30T13:05:06"/>
        <d v="1899-12-30T13:07:20"/>
        <d v="1899-12-30T13:38:34"/>
        <d v="1899-12-30T13:39:24"/>
        <d v="1899-12-30T13:53:01"/>
        <d v="1899-12-30T14:03:25"/>
        <d v="1899-12-30T14:08:53"/>
        <d v="1899-12-30T15:05:02"/>
        <d v="1899-12-30T15:47:14"/>
        <d v="1899-12-30T17:06:11"/>
        <d v="1899-12-30T17:19:38"/>
        <d v="1899-12-30T17:27:27"/>
        <d v="1899-12-30T17:48:45"/>
        <d v="1899-12-30T18:18:27"/>
        <d v="1899-12-30T18:29:01"/>
        <d v="1899-12-30T18:36:32"/>
        <d v="1899-12-30T18:41:49"/>
        <d v="1899-12-30T19:11:50"/>
        <d v="1899-12-30T19:46:03"/>
        <d v="1899-12-30T19:59:11"/>
        <d v="1899-12-30T20:25:37"/>
        <d v="1899-12-30T11:23:00"/>
        <d v="1899-12-30T11:31:04"/>
        <d v="1899-12-30T11:38:17"/>
        <d v="1899-12-30T12:07:09"/>
        <d v="1899-12-30T12:19:37"/>
        <d v="1899-12-30T12:29:54"/>
        <d v="1899-12-30T12:32:19"/>
        <d v="1899-12-30T12:53:29"/>
        <d v="1899-12-30T12:59:51"/>
        <d v="1899-12-30T13:06:24"/>
        <d v="1899-12-30T13:15:42"/>
        <d v="1899-12-30T13:17:31"/>
        <d v="1899-12-30T13:20:21"/>
        <d v="1899-12-30T13:26:50"/>
        <d v="1899-12-30T13:48:40"/>
        <d v="1899-12-30T14:45:20"/>
        <d v="1899-12-30T14:47:48"/>
        <d v="1899-12-30T14:57:58"/>
        <d v="1899-12-30T16:21:46"/>
        <d v="1899-12-30T16:38:05"/>
        <d v="1899-12-30T16:56:16"/>
        <d v="1899-12-30T17:11:50"/>
        <d v="1899-12-30T17:30:38"/>
        <d v="1899-12-30T17:52:09"/>
        <d v="1899-12-30T18:19:59"/>
        <d v="1899-12-30T18:23:25"/>
        <d v="1899-12-30T18:27:05"/>
        <d v="1899-12-30T19:17:24"/>
        <d v="1899-12-30T20:14:27"/>
        <d v="1899-12-30T20:45:53"/>
        <d v="1899-12-30T21:02:21"/>
        <d v="1899-12-30T11:47:34"/>
        <d v="1899-12-30T12:01:47"/>
        <d v="1899-12-30T12:05:20"/>
        <d v="1899-12-30T12:30:24"/>
        <d v="1899-12-30T13:03:52"/>
        <d v="1899-12-30T13:21:27"/>
        <d v="1899-12-30T13:41:31"/>
        <d v="1899-12-30T13:47:15"/>
        <d v="1899-12-30T13:59:08"/>
        <d v="1899-12-30T14:05:21"/>
        <d v="1899-12-30T14:21:03"/>
        <d v="1899-12-30T14:24:19"/>
        <d v="1899-12-30T14:39:18"/>
        <d v="1899-12-30T15:29:44"/>
        <d v="1899-12-30T15:31:22"/>
        <d v="1899-12-30T15:38:04"/>
        <d v="1899-12-30T15:48:08"/>
        <d v="1899-12-30T15:57:10"/>
        <d v="1899-12-30T17:09:43"/>
        <d v="1899-12-30T17:11:05"/>
        <d v="1899-12-30T17:30:54"/>
        <d v="1899-12-30T17:51:47"/>
        <d v="1899-12-30T18:05:39"/>
        <d v="1899-12-30T18:52:11"/>
        <d v="1899-12-30T12:29:52"/>
        <d v="1899-12-30T12:39:33"/>
        <d v="1899-12-30T12:42:55"/>
        <d v="1899-12-30T12:48:55"/>
        <d v="1899-12-30T13:09:50"/>
        <d v="1899-12-30T13:29:45"/>
        <d v="1899-12-30T13:48:02"/>
        <d v="1899-12-30T15:41:03"/>
        <d v="1899-12-30T16:14:40"/>
        <d v="1899-12-30T16:47:39"/>
        <d v="1899-12-30T17:27:18"/>
        <d v="1899-12-30T17:46:48"/>
        <d v="1899-12-30T18:15:58"/>
        <d v="1899-12-30T18:28:28"/>
        <d v="1899-12-30T18:42:52"/>
        <d v="1899-12-30T18:48:17"/>
        <d v="1899-12-30T19:50:37"/>
        <d v="1899-12-30T19:57:15"/>
        <d v="1899-12-30T19:58:48"/>
        <d v="1899-12-30T20:10:12"/>
        <d v="1899-12-30T20:34:43"/>
        <d v="1899-12-30T21:12:07"/>
        <d v="1899-12-30T21:18:50"/>
        <d v="1899-12-30T21:28:27"/>
        <d v="1899-12-30T22:13:59"/>
        <d v="1899-12-30T22:23:06"/>
        <d v="1899-12-30T11:38:08"/>
        <d v="1899-12-30T11:47:47"/>
        <d v="1899-12-30T11:52:36"/>
        <d v="1899-12-30T12:23:20"/>
        <d v="1899-12-30T12:52:11"/>
        <d v="1899-12-30T14:42:35"/>
        <d v="1899-12-30T16:08:09"/>
        <d v="1899-12-30T16:21:06"/>
        <d v="1899-12-30T16:34:59"/>
        <d v="1899-12-30T17:01:11"/>
        <d v="1899-12-30T17:39:40"/>
        <d v="1899-12-30T17:42:03"/>
        <d v="1899-12-30T18:06:44"/>
        <d v="1899-12-30T18:41:26"/>
        <d v="1899-12-30T18:45:53"/>
        <d v="1899-12-30T19:08:43"/>
        <d v="1899-12-30T19:20:59"/>
        <d v="1899-12-30T19:31:49"/>
        <d v="1899-12-30T19:40:59"/>
        <d v="1899-12-30T20:12:39"/>
        <d v="1899-12-30T20:33:42"/>
        <d v="1899-12-30T20:49:53"/>
        <d v="1899-12-30T21:01:55"/>
        <d v="1899-12-30T21:13:37"/>
        <d v="1899-12-30T21:49:12"/>
        <d v="1899-12-30T22:42:37"/>
        <d v="1899-12-30T23:02:35"/>
        <d v="1899-12-30T11:50:19"/>
        <d v="1899-12-30T12:22:52"/>
        <d v="1899-12-30T12:29:28"/>
        <d v="1899-12-30T13:08:44"/>
        <d v="1899-12-30T13:16:01"/>
        <d v="1899-12-30T13:18:56"/>
        <d v="1899-12-30T13:43:32"/>
        <d v="1899-12-30T14:14:25"/>
        <d v="1899-12-30T15:02:47"/>
        <d v="1899-12-30T15:13:04"/>
        <d v="1899-12-30T15:56:08"/>
        <d v="1899-12-30T15:59:35"/>
        <d v="1899-12-30T16:32:58"/>
        <d v="1899-12-30T16:48:23"/>
        <d v="1899-12-30T16:55:44"/>
        <d v="1899-12-30T17:13:18"/>
        <d v="1899-12-30T17:41:34"/>
        <d v="1899-12-30T17:46:49"/>
        <d v="1899-12-30T17:52:16"/>
        <d v="1899-12-30T17:55:21"/>
        <d v="1899-12-30T18:11:37"/>
        <d v="1899-12-30T18:19:27"/>
        <d v="1899-12-30T18:25:31"/>
        <d v="1899-12-30T18:28:07"/>
        <d v="1899-12-30T19:27:14"/>
        <d v="1899-12-30T20:03:54"/>
        <d v="1899-12-30T20:14:02"/>
        <d v="1899-12-30T20:30:09"/>
        <d v="1899-12-30T12:40:14"/>
        <d v="1899-12-30T12:44:49"/>
        <d v="1899-12-30T13:17:54"/>
        <d v="1899-12-30T13:39:39"/>
        <d v="1899-12-30T14:05:48"/>
        <d v="1899-12-30T14:09:30"/>
        <d v="1899-12-30T14:20:15"/>
        <d v="1899-12-30T14:55:28"/>
        <d v="1899-12-30T17:10:40"/>
        <d v="1899-12-30T17:26:17"/>
        <d v="1899-12-30T17:40:50"/>
        <d v="1899-12-30T17:48:17"/>
        <d v="1899-12-30T18:01:34"/>
        <d v="1899-12-30T18:04:03"/>
        <d v="1899-12-30T18:31:54"/>
        <d v="1899-12-30T18:33:34"/>
        <d v="1899-12-30T18:37:43"/>
        <d v="1899-12-30T18:59:49"/>
        <d v="1899-12-30T19:07:54"/>
        <d v="1899-12-30T19:19:40"/>
        <d v="1899-12-30T20:22:42"/>
        <d v="1899-12-30T20:28:51"/>
        <d v="1899-12-30T21:58:39"/>
        <d v="1899-12-30T11:25:36"/>
        <d v="1899-12-30T11:28:54"/>
        <d v="1899-12-30T12:34:52"/>
        <d v="1899-12-30T12:39:50"/>
        <d v="1899-12-30T12:50:46"/>
        <d v="1899-12-30T12:56:40"/>
        <d v="1899-12-30T13:09:33"/>
        <d v="1899-12-30T13:55:11"/>
        <d v="1899-12-30T14:06:41"/>
        <d v="1899-12-30T14:38:10"/>
        <d v="1899-12-30T14:58:08"/>
        <d v="1899-12-30T15:42:01"/>
        <d v="1899-12-30T15:48:01"/>
        <d v="1899-12-30T16:04:11"/>
        <d v="1899-12-30T17:13:54"/>
        <d v="1899-12-30T17:57:38"/>
        <d v="1899-12-30T18:20:47"/>
        <d v="1899-12-30T18:30:06"/>
        <d v="1899-12-30T18:45:32"/>
        <d v="1899-12-30T19:10:04"/>
        <d v="1899-12-30T19:30:41"/>
        <d v="1899-12-30T20:08:25"/>
        <d v="1899-12-30T20:20:38"/>
        <d v="1899-12-30T20:45:34"/>
        <d v="1899-12-30T21:23:19"/>
        <d v="1899-12-30T22:18:08"/>
        <d v="1899-12-30T12:17:41"/>
        <d v="1899-12-30T12:31:01"/>
        <d v="1899-12-30T12:37:36"/>
        <d v="1899-12-30T12:53:38"/>
        <d v="1899-12-30T12:54:05"/>
        <d v="1899-12-30T13:07:26"/>
        <d v="1899-12-30T13:22:05"/>
        <d v="1899-12-30T13:45:13"/>
        <d v="1899-12-30T13:49:46"/>
        <d v="1899-12-30T14:33:24"/>
        <d v="1899-12-30T15:01:55"/>
        <d v="1899-12-30T16:20:07"/>
        <d v="1899-12-30T16:23:58"/>
        <d v="1899-12-30T16:25:58"/>
        <d v="1899-12-30T16:45:38"/>
        <d v="1899-12-30T16:51:16"/>
        <d v="1899-12-30T17:12:58"/>
        <d v="1899-12-30T17:29:31"/>
        <d v="1899-12-30T17:33:30"/>
        <d v="1899-12-30T18:27:59"/>
        <d v="1899-12-30T18:46:52"/>
        <d v="1899-12-30T19:25:05"/>
        <d v="1899-12-30T20:01:57"/>
        <d v="1899-12-30T11:26:04"/>
        <d v="1899-12-30T12:00:07"/>
        <d v="1899-12-30T12:13:53"/>
        <d v="1899-12-30T12:18:35"/>
        <d v="1899-12-30T12:19:43"/>
        <d v="1899-12-30T12:34:53"/>
        <d v="1899-12-30T12:38:05"/>
        <d v="1899-12-30T14:05:44"/>
        <d v="1899-12-30T14:30:20"/>
        <d v="1899-12-30T14:47:42"/>
        <d v="1899-12-30T15:25:24"/>
        <d v="1899-12-30T15:47:43"/>
        <d v="1899-12-30T15:50:03"/>
        <d v="1899-12-30T15:51:32"/>
        <d v="1899-12-30T16:06:48"/>
        <d v="1899-12-30T16:10:28"/>
        <d v="1899-12-30T16:23:53"/>
        <d v="1899-12-30T16:28:16"/>
        <d v="1899-12-30T17:34:27"/>
        <d v="1899-12-30T17:44:49"/>
        <d v="1899-12-30T18:23:38"/>
        <d v="1899-12-30T18:55:05"/>
        <d v="1899-12-30T20:30:07"/>
        <d v="1899-12-30T11:17:06"/>
        <d v="1899-12-30T11:42:11"/>
        <d v="1899-12-30T12:07:01"/>
        <d v="1899-12-30T12:13:26"/>
        <d v="1899-12-30T12:17:20"/>
        <d v="1899-12-30T12:32:00"/>
        <d v="1899-12-30T12:46:09"/>
        <d v="1899-12-30T12:46:11"/>
        <d v="1899-12-30T12:55:14"/>
        <d v="1899-12-30T12:57:44"/>
        <d v="1899-12-30T13:35:10"/>
        <d v="1899-12-30T13:39:52"/>
        <d v="1899-12-30T14:41:29"/>
        <d v="1899-12-30T14:58:56"/>
        <d v="1899-12-30T15:11:01"/>
        <d v="1899-12-30T15:12:18"/>
        <d v="1899-12-30T16:13:54"/>
        <d v="1899-12-30T16:25:02"/>
        <d v="1899-12-30T16:25:54"/>
        <d v="1899-12-30T17:23:17"/>
        <d v="1899-12-30T17:34:22"/>
        <d v="1899-12-30T17:56:07"/>
        <d v="1899-12-30T18:05:33"/>
        <d v="1899-12-30T18:16:13"/>
        <d v="1899-12-30T19:06:29"/>
        <d v="1899-12-30T19:23:19"/>
        <d v="1899-12-30T19:49:32"/>
        <d v="1899-12-30T20:27:58"/>
        <d v="1899-12-30T11:37:27"/>
        <d v="1899-12-30T11:53:01"/>
        <d v="1899-12-30T12:14:05"/>
        <d v="1899-12-30T12:41:56"/>
        <d v="1899-12-30T12:52:00"/>
        <d v="1899-12-30T12:57:59"/>
        <d v="1899-12-30T13:01:17"/>
        <d v="1899-12-30T13:01:37"/>
        <d v="1899-12-30T13:16:43"/>
        <d v="1899-12-30T14:57:11"/>
        <d v="1899-12-30T15:25:51"/>
        <d v="1899-12-30T15:26:14"/>
        <d v="1899-12-30T15:28:26"/>
        <d v="1899-12-30T15:45:57"/>
        <d v="1899-12-30T16:25:44"/>
        <d v="1899-12-30T16:27:44"/>
        <d v="1899-12-30T16:33:08"/>
        <d v="1899-12-30T17:17:20"/>
        <d v="1899-12-30T17:48:05"/>
        <d v="1899-12-30T17:57:40"/>
        <d v="1899-12-30T18:06:43"/>
        <d v="1899-12-30T18:15:08"/>
        <d v="1899-12-30T18:27:22"/>
        <d v="1899-12-30T19:19:54"/>
        <d v="1899-12-30T20:04:13"/>
        <d v="1899-12-30T20:52:41"/>
        <d v="1899-12-30T21:04:03"/>
        <d v="1899-12-30T22:15:45"/>
        <d v="1899-12-30T11:22:06"/>
        <d v="1899-12-30T11:40:05"/>
        <d v="1899-12-30T11:44:44"/>
        <d v="1899-12-30T12:02:33"/>
        <d v="1899-12-30T12:09:00"/>
        <d v="1899-12-30T12:43:38"/>
        <d v="1899-12-30T12:59:05"/>
        <d v="1899-12-30T13:03:41"/>
        <d v="1899-12-30T13:24:51"/>
        <d v="1899-12-30T13:39:40"/>
        <d v="1899-12-30T13:46:06"/>
        <d v="1899-12-30T13:46:32"/>
        <d v="1899-12-30T14:56:00"/>
        <d v="1899-12-30T15:19:53"/>
        <d v="1899-12-30T15:31:12"/>
        <d v="1899-12-30T16:23:57"/>
        <d v="1899-12-30T18:01:29"/>
        <d v="1899-12-30T18:44:00"/>
        <d v="1899-12-30T18:48:12"/>
        <d v="1899-12-30T19:04:14"/>
        <d v="1899-12-30T19:05:13"/>
        <d v="1899-12-30T19:26:13"/>
        <d v="1899-12-30T19:27:22"/>
        <d v="1899-12-30T19:30:34"/>
        <d v="1899-12-30T20:15:25"/>
        <d v="1899-12-30T20:28:49"/>
        <d v="1899-12-30T21:05:38"/>
        <d v="1899-12-30T21:48:03"/>
        <d v="1899-12-30T21:55:15"/>
        <d v="1899-12-30T22:08:55"/>
        <d v="1899-12-30T22:12:28"/>
        <d v="1899-12-30T22:40:27"/>
        <d v="1899-12-30T10:43:04"/>
        <d v="1899-12-30T12:20:36"/>
        <d v="1899-12-30T13:29:09"/>
        <d v="1899-12-30T13:38:23"/>
        <d v="1899-12-30T13:45:41"/>
        <d v="1899-12-30T13:56:42"/>
        <d v="1899-12-30T14:04:05"/>
        <d v="1899-12-30T14:09:08"/>
        <d v="1899-12-30T14:32:19"/>
        <d v="1899-12-30T14:49:49"/>
        <d v="1899-12-30T15:30:04"/>
        <d v="1899-12-30T15:38:51"/>
        <d v="1899-12-30T16:00:38"/>
        <d v="1899-12-30T16:18:37"/>
        <d v="1899-12-30T16:18:40"/>
        <d v="1899-12-30T16:44:53"/>
        <d v="1899-12-30T17:23:24"/>
        <d v="1899-12-30T18:14:44"/>
        <d v="1899-12-30T18:16:51"/>
        <d v="1899-12-30T18:17:10"/>
        <d v="1899-12-30T18:19:49"/>
        <d v="1899-12-30T18:49:41"/>
        <d v="1899-12-30T19:25:28"/>
        <d v="1899-12-30T19:32:03"/>
        <d v="1899-12-30T19:36:07"/>
        <d v="1899-12-30T19:46:39"/>
        <d v="1899-12-30T20:01:53"/>
        <d v="1899-12-30T20:31:44"/>
        <d v="1899-12-30T20:35:00"/>
        <d v="1899-12-30T20:37:20"/>
        <d v="1899-12-30T20:54:38"/>
        <d v="1899-12-30T20:55:21"/>
        <d v="1899-12-30T20:58:16"/>
        <d v="1899-12-30T21:11:37"/>
        <d v="1899-12-30T21:43:08"/>
        <d v="1899-12-30T21:50:27"/>
        <d v="1899-12-30T22:07:55"/>
        <d v="1899-12-30T22:39:46"/>
        <d v="1899-12-30T11:40:31"/>
        <d v="1899-12-30T12:35:42"/>
        <d v="1899-12-30T13:04:21"/>
        <d v="1899-12-30T13:10:26"/>
        <d v="1899-12-30T13:10:49"/>
        <d v="1899-12-30T13:15:51"/>
        <d v="1899-12-30T16:01:33"/>
        <d v="1899-12-30T16:04:16"/>
        <d v="1899-12-30T16:08:55"/>
        <d v="1899-12-30T16:18:13"/>
        <d v="1899-12-30T16:26:41"/>
        <d v="1899-12-30T17:14:11"/>
        <d v="1899-12-30T17:23:13"/>
        <d v="1899-12-30T17:29:12"/>
        <d v="1899-12-30T18:13:07"/>
        <d v="1899-12-30T18:41:43"/>
        <d v="1899-12-30T18:55:38"/>
        <d v="1899-12-30T19:02:15"/>
        <d v="1899-12-30T19:04:56"/>
        <d v="1899-12-30T19:14:15"/>
        <d v="1899-12-30T19:49:10"/>
        <d v="1899-12-30T12:24:21"/>
        <d v="1899-12-30T12:28:28"/>
        <d v="1899-12-30T12:35:24"/>
        <d v="1899-12-30T12:37:11"/>
        <d v="1899-12-30T12:37:49"/>
        <d v="1899-12-30T13:09:04"/>
        <d v="1899-12-30T13:14:37"/>
        <d v="1899-12-30T13:18:50"/>
        <d v="1899-12-30T13:25:16"/>
        <d v="1899-12-30T13:54:31"/>
        <d v="1899-12-30T14:29:49"/>
        <d v="1899-12-30T14:59:10"/>
        <d v="1899-12-30T15:20:28"/>
        <d v="1899-12-30T15:33:14"/>
        <d v="1899-12-30T15:56:17"/>
        <d v="1899-12-30T16:08:24"/>
        <d v="1899-12-30T16:52:56"/>
        <d v="1899-12-30T17:12:17"/>
        <d v="1899-12-30T17:22:00"/>
        <d v="1899-12-30T17:31:03"/>
        <d v="1899-12-30T17:34:39"/>
        <d v="1899-12-30T17:36:25"/>
        <d v="1899-12-30T18:25:13"/>
        <d v="1899-12-30T18:35:58"/>
        <d v="1899-12-30T18:40:21"/>
        <d v="1899-12-30T18:59:17"/>
        <d v="1899-12-30T19:05:51"/>
        <d v="1899-12-30T19:12:00"/>
        <d v="1899-12-30T19:21:19"/>
        <d v="1899-12-30T19:37:46"/>
        <d v="1899-12-30T20:08:50"/>
        <d v="1899-12-30T21:12:12"/>
        <d v="1899-12-30T21:15:42"/>
        <d v="1899-12-30T21:38:52"/>
        <d v="1899-12-30T12:38:22"/>
        <d v="1899-12-30T12:38:50"/>
        <d v="1899-12-30T12:46:04"/>
        <d v="1899-12-30T12:48:42"/>
        <d v="1899-12-30T12:51:50"/>
        <d v="1899-12-30T12:55:04"/>
        <d v="1899-12-30T13:00:25"/>
        <d v="1899-12-30T13:21:46"/>
        <d v="1899-12-30T13:34:08"/>
        <d v="1899-12-30T13:55:21"/>
        <d v="1899-12-30T14:11:29"/>
        <d v="1899-12-30T14:29:55"/>
        <d v="1899-12-30T14:37:43"/>
        <d v="1899-12-30T14:51:02"/>
        <d v="1899-12-30T15:32:57"/>
        <d v="1899-12-30T17:22:22"/>
        <d v="1899-12-30T17:28:34"/>
        <d v="1899-12-30T18:19:40"/>
        <d v="1899-12-30T18:23:39"/>
        <d v="1899-12-30T18:42:32"/>
        <d v="1899-12-30T18:54:29"/>
        <d v="1899-12-30T19:03:46"/>
        <d v="1899-12-30T21:21:33"/>
        <d v="1899-12-30T22:12:53"/>
        <d v="1899-12-30T22:19:54"/>
        <d v="1899-12-30T22:45:55"/>
        <d v="1899-12-30T11:29:19"/>
        <d v="1899-12-30T11:48:16"/>
        <d v="1899-12-30T12:02:59"/>
        <d v="1899-12-30T13:09:08"/>
        <d v="1899-12-30T13:09:22"/>
        <d v="1899-12-30T13:21:49"/>
        <d v="1899-12-30T13:28:52"/>
        <d v="1899-12-30T13:51:43"/>
        <d v="1899-12-30T15:06:11"/>
        <d v="1899-12-30T15:07:05"/>
        <d v="1899-12-30T15:48:10"/>
        <d v="1899-12-30T16:24:23"/>
        <d v="1899-12-30T17:02:23"/>
        <d v="1899-12-30T17:06:25"/>
        <d v="1899-12-30T17:20:27"/>
        <d v="1899-12-30T17:26:47"/>
        <d v="1899-12-30T17:28:26"/>
        <d v="1899-12-30T17:34:25"/>
        <d v="1899-12-30T17:52:51"/>
        <d v="1899-12-30T18:05:09"/>
        <d v="1899-12-30T18:12:41"/>
        <d v="1899-12-30T18:13:18"/>
        <d v="1899-12-30T18:15:13"/>
        <d v="1899-12-30T18:56:59"/>
        <d v="1899-12-30T19:20:06"/>
        <d v="1899-12-30T19:20:09"/>
        <d v="1899-12-30T19:53:47"/>
        <d v="1899-12-30T19:56:04"/>
        <d v="1899-12-30T21:04:10"/>
        <d v="1899-12-30T21:10:21"/>
        <d v="1899-12-30T22:15:29"/>
        <d v="1899-12-30T11:28:53"/>
        <d v="1899-12-30T11:46:08"/>
        <d v="1899-12-30T12:35:29"/>
        <d v="1899-12-30T12:43:36"/>
        <d v="1899-12-30T13:43:54"/>
        <d v="1899-12-30T14:08:57"/>
        <d v="1899-12-30T14:31:22"/>
        <d v="1899-12-30T15:15:22"/>
        <d v="1899-12-30T16:19:05"/>
        <d v="1899-12-30T16:27:39"/>
        <d v="1899-12-30T16:47:58"/>
        <d v="1899-12-30T16:52:15"/>
        <d v="1899-12-30T16:55:07"/>
        <d v="1899-12-30T17:03:47"/>
        <d v="1899-12-30T17:35:32"/>
        <d v="1899-12-30T17:56:22"/>
        <d v="1899-12-30T17:59:58"/>
        <d v="1899-12-30T18:08:04"/>
        <d v="1899-12-30T18:09:08"/>
        <d v="1899-12-30T18:13:22"/>
        <d v="1899-12-30T18:48:15"/>
        <d v="1899-12-30T19:34:36"/>
        <d v="1899-12-30T20:11:35"/>
        <d v="1899-12-30T20:22:02"/>
        <d v="1899-12-30T20:30:30"/>
        <d v="1899-12-30T22:51:13"/>
        <d v="1899-12-30T11:16:11"/>
        <d v="1899-12-30T11:59:30"/>
        <d v="1899-12-30T12:42:18"/>
        <d v="1899-12-30T13:33:15"/>
        <d v="1899-12-30T14:02:08"/>
        <d v="1899-12-30T14:07:18"/>
        <d v="1899-12-30T15:52:10"/>
        <d v="1899-12-30T16:03:39"/>
        <d v="1899-12-30T17:39:50"/>
        <d v="1899-12-30T17:40:18"/>
        <d v="1899-12-30T17:40:25"/>
        <d v="1899-12-30T17:47:43"/>
        <d v="1899-12-30T17:56:11"/>
        <d v="1899-12-30T18:31:17"/>
        <d v="1899-12-30T20:02:50"/>
        <d v="1899-12-30T20:44:30"/>
        <d v="1899-12-30T20:44:46"/>
        <d v="1899-12-30T20:46:24"/>
        <d v="1899-12-30T20:48:13"/>
        <d v="1899-12-30T20:54:55"/>
        <d v="1899-12-30T21:27:13"/>
        <d v="1899-12-30T22:13:32"/>
        <d v="1899-12-30T11:58:01"/>
        <d v="1899-12-30T12:12:14"/>
        <d v="1899-12-30T12:19:49"/>
        <d v="1899-12-30T13:07:51"/>
        <d v="1899-12-30T13:08:43"/>
        <d v="1899-12-30T13:33:39"/>
        <d v="1899-12-30T14:10:29"/>
        <d v="1899-12-30T14:23:12"/>
        <d v="1899-12-30T14:29:47"/>
        <d v="1899-12-30T15:38:07"/>
        <d v="1899-12-30T15:47:31"/>
        <d v="1899-12-30T15:55:54"/>
        <d v="1899-12-30T15:56:32"/>
        <d v="1899-12-30T16:11:14"/>
        <d v="1899-12-30T16:12:05"/>
        <d v="1899-12-30T16:19:00"/>
        <d v="1899-12-30T16:25:01"/>
        <d v="1899-12-30T16:29:38"/>
        <d v="1899-12-30T16:31:58"/>
        <d v="1899-12-30T17:02:26"/>
        <d v="1899-12-30T17:19:57"/>
        <d v="1899-12-30T17:51:56"/>
        <d v="1899-12-30T19:09:37"/>
        <d v="1899-12-30T19:11:32"/>
        <d v="1899-12-30T19:48:39"/>
        <d v="1899-12-30T20:10:16"/>
        <d v="1899-12-30T20:10:58"/>
        <d v="1899-12-30T20:14:07"/>
        <d v="1899-12-30T20:20:40"/>
        <d v="1899-12-30T20:48:57"/>
        <d v="1899-12-30T20:52:58"/>
        <d v="1899-12-30T21:40:13"/>
        <d v="1899-12-30T21:54:53"/>
        <d v="1899-12-30T22:07:54"/>
        <d v="1899-12-30T22:43:36"/>
        <d v="1899-12-30T22:44:27"/>
        <d v="1899-12-30T11:35:56"/>
        <d v="1899-12-30T11:51:07"/>
        <d v="1899-12-30T11:58:58"/>
        <d v="1899-12-30T12:02:01"/>
        <d v="1899-12-30T12:15:07"/>
        <d v="1899-12-30T13:07:43"/>
        <d v="1899-12-30T14:44:11"/>
        <d v="1899-12-30T14:48:07"/>
        <d v="1899-12-30T15:10:44"/>
        <d v="1899-12-30T15:55:20"/>
        <d v="1899-12-30T17:02:05"/>
        <d v="1899-12-30T17:15:21"/>
        <d v="1899-12-30T17:21:30"/>
        <d v="1899-12-30T17:35:05"/>
        <d v="1899-12-30T17:55:24"/>
        <d v="1899-12-30T18:43:51"/>
        <d v="1899-12-30T19:29:35"/>
        <d v="1899-12-30T19:51:55"/>
        <d v="1899-12-30T22:14:54"/>
        <d v="1899-12-30T11:43:37"/>
        <d v="1899-12-30T11:51:22"/>
        <d v="1899-12-30T12:04:42"/>
        <d v="1899-12-30T12:32:20"/>
        <d v="1899-12-30T13:20:37"/>
        <d v="1899-12-30T13:28:45"/>
        <d v="1899-12-30T14:27:42"/>
        <d v="1899-12-30T14:48:25"/>
        <d v="1899-12-30T15:54:56"/>
        <d v="1899-12-30T16:00:41"/>
        <d v="1899-12-30T16:18:54"/>
        <d v="1899-12-30T16:23:11"/>
        <d v="1899-12-30T16:40:51"/>
        <d v="1899-12-30T17:06:34"/>
        <d v="1899-12-30T17:29:28"/>
        <d v="1899-12-30T18:00:53"/>
        <d v="1899-12-30T18:24:36"/>
        <d v="1899-12-30T18:33:45"/>
        <d v="1899-12-30T19:24:32"/>
        <d v="1899-12-30T19:26:31"/>
        <d v="1899-12-30T19:28:53"/>
        <d v="1899-12-30T20:24:39"/>
        <d v="1899-12-30T20:30:40"/>
        <d v="1899-12-30T20:49:02"/>
        <d v="1899-12-30T21:05:51"/>
        <d v="1899-12-30T21:26:43"/>
        <d v="1899-12-30T22:24:45"/>
        <d v="1899-12-30T11:55:58"/>
        <d v="1899-12-30T12:02:29"/>
        <d v="1899-12-30T12:27:56"/>
        <d v="1899-12-30T12:40:41"/>
        <d v="1899-12-30T13:47:54"/>
        <d v="1899-12-30T14:46:28"/>
        <d v="1899-12-30T15:07:36"/>
        <d v="1899-12-30T16:07:20"/>
        <d v="1899-12-30T16:58:13"/>
        <d v="1899-12-30T17:03:08"/>
        <d v="1899-12-30T17:11:29"/>
        <d v="1899-12-30T17:38:38"/>
        <d v="1899-12-30T18:16:12"/>
        <d v="1899-12-30T18:31:45"/>
        <d v="1899-12-30T18:42:09"/>
        <d v="1899-12-30T19:03:03"/>
        <d v="1899-12-30T19:41:09"/>
        <d v="1899-12-30T19:54:45"/>
        <d v="1899-12-30T20:04:14"/>
        <d v="1899-12-30T20:48:56"/>
        <d v="1899-12-30T20:52:53"/>
        <d v="1899-12-30T21:19:28"/>
        <d v="1899-12-30T21:52:06"/>
        <d v="1899-12-30T12:05:29"/>
        <d v="1899-12-30T12:31:18"/>
        <d v="1899-12-30T12:31:50"/>
        <d v="1899-12-30T13:49:05"/>
        <d v="1899-12-30T13:51:06"/>
        <d v="1899-12-30T14:28:53"/>
        <d v="1899-12-30T14:33:35"/>
        <d v="1899-12-30T14:42:06"/>
        <d v="1899-12-30T16:13:57"/>
        <d v="1899-12-30T16:16:22"/>
        <d v="1899-12-30T16:24:15"/>
        <d v="1899-12-30T16:38:23"/>
        <d v="1899-12-30T16:45:19"/>
        <d v="1899-12-30T17:12:40"/>
        <d v="1899-12-30T17:22:12"/>
        <d v="1899-12-30T17:51:25"/>
        <d v="1899-12-30T19:21:48"/>
        <d v="1899-12-30T19:37:04"/>
        <d v="1899-12-30T19:50:04"/>
        <d v="1899-12-30T20:04:47"/>
        <d v="1899-12-30T21:19:31"/>
        <d v="1899-12-30T22:33:31"/>
        <d v="1899-12-30T11:41:11"/>
        <d v="1899-12-30T12:07:44"/>
        <d v="1899-12-30T12:32:47"/>
        <d v="1899-12-30T12:49:12"/>
        <d v="1899-12-30T12:56:09"/>
        <d v="1899-12-30T13:09:36"/>
        <d v="1899-12-30T13:12:28"/>
        <d v="1899-12-30T13:21:45"/>
        <d v="1899-12-30T13:28:19"/>
        <d v="1899-12-30T13:28:44"/>
        <d v="1899-12-30T14:17:50"/>
        <d v="1899-12-30T14:17:55"/>
        <d v="1899-12-30T14:36:30"/>
        <d v="1899-12-30T14:58:48"/>
        <d v="1899-12-30T16:10:48"/>
        <d v="1899-12-30T16:11:04"/>
        <d v="1899-12-30T16:55:46"/>
        <d v="1899-12-30T17:05:00"/>
        <d v="1899-12-30T17:05:58"/>
        <d v="1899-12-30T17:18:09"/>
        <d v="1899-12-30T18:12:46"/>
        <d v="1899-12-30T18:44:26"/>
        <d v="1899-12-30T18:59:55"/>
        <d v="1899-12-30T19:27:34"/>
        <d v="1899-12-30T19:44:10"/>
        <d v="1899-12-30T19:47:30"/>
        <d v="1899-12-30T20:57:26"/>
        <d v="1899-12-30T21:40:20"/>
        <d v="1899-12-30T11:53:46"/>
        <d v="1899-12-30T12:40:43"/>
        <d v="1899-12-30T13:05:37"/>
        <d v="1899-12-30T13:10:00"/>
        <d v="1899-12-30T13:18:31"/>
        <d v="1899-12-30T14:10:13"/>
        <d v="1899-12-30T14:11:39"/>
        <d v="1899-12-30T16:11:09"/>
        <d v="1899-12-30T16:20:20"/>
        <d v="1899-12-30T16:33:03"/>
        <d v="1899-12-30T17:01:58"/>
        <d v="1899-12-30T17:09:42"/>
        <d v="1899-12-30T17:44:55"/>
        <d v="1899-12-30T17:59:16"/>
        <d v="1899-12-30T18:36:04"/>
        <d v="1899-12-30T19:53:27"/>
        <d v="1899-12-30T20:01:59"/>
        <d v="1899-12-30T20:14:52"/>
        <d v="1899-12-30T20:15:55"/>
        <d v="1899-12-30T12:01:13"/>
        <d v="1899-12-30T12:22:14"/>
        <d v="1899-12-30T12:51:42"/>
        <d v="1899-12-30T12:55:23"/>
        <d v="1899-12-30T13:22:01"/>
        <d v="1899-12-30T13:33:13"/>
        <d v="1899-12-30T15:07:46"/>
        <d v="1899-12-30T15:34:14"/>
        <d v="1899-12-30T15:50:40"/>
        <d v="1899-12-30T16:11:51"/>
        <d v="1899-12-30T16:24:57"/>
        <d v="1899-12-30T17:39:18"/>
        <d v="1899-12-30T17:45:50"/>
        <d v="1899-12-30T17:53:38"/>
        <d v="1899-12-30T18:05:38"/>
        <d v="1899-12-30T18:28:02"/>
        <d v="1899-12-30T18:56:24"/>
        <d v="1899-12-30T19:25:37"/>
        <d v="1899-12-30T20:20:27"/>
        <d v="1899-12-30T21:13:29"/>
        <d v="1899-12-30T21:22:02"/>
        <d v="1899-12-30T21:59:10"/>
        <d v="1899-12-30T11:46:37"/>
        <d v="1899-12-30T11:55:19"/>
        <d v="1899-12-30T12:45:58"/>
        <d v="1899-12-30T12:54:11"/>
        <d v="1899-12-30T13:10:47"/>
        <d v="1899-12-30T13:20:39"/>
        <d v="1899-12-30T13:25:30"/>
        <d v="1899-12-30T15:51:55"/>
        <d v="1899-12-30T16:34:18"/>
        <d v="1899-12-30T16:36:36"/>
        <d v="1899-12-30T16:36:41"/>
        <d v="1899-12-30T16:58:22"/>
        <d v="1899-12-30T17:10:12"/>
        <d v="1899-12-30T17:13:06"/>
        <d v="1899-12-30T17:48:36"/>
        <d v="1899-12-30T17:50:15"/>
        <d v="1899-12-30T17:51:22"/>
        <d v="1899-12-30T18:04:26"/>
        <d v="1899-12-30T18:23:04"/>
        <d v="1899-12-30T18:26:58"/>
        <d v="1899-12-30T19:22:51"/>
        <d v="1899-12-30T19:41:59"/>
        <d v="1899-12-30T19:44:03"/>
        <d v="1899-12-30T20:09:05"/>
        <d v="1899-12-30T20:18:38"/>
        <d v="1899-12-30T20:51:04"/>
        <d v="1899-12-30T21:02:26"/>
        <d v="1899-12-30T22:05:04"/>
        <d v="1899-12-30T11:36:54"/>
        <d v="1899-12-30T11:45:03"/>
        <d v="1899-12-30T12:01:19"/>
        <d v="1899-12-30T12:08:43"/>
        <d v="1899-12-30T12:28:02"/>
        <d v="1899-12-30T12:32:04"/>
        <d v="1899-12-30T12:42:43"/>
        <d v="1899-12-30T13:24:28"/>
        <d v="1899-12-30T13:27:35"/>
        <d v="1899-12-30T13:34:16"/>
        <d v="1899-12-30T13:59:35"/>
        <d v="1899-12-30T15:20:36"/>
        <d v="1899-12-30T16:24:35"/>
        <d v="1899-12-30T16:27:05"/>
        <d v="1899-12-30T16:32:57"/>
        <d v="1899-12-30T16:54:59"/>
        <d v="1899-12-30T16:56:38"/>
        <d v="1899-12-30T17:07:15"/>
        <d v="1899-12-30T17:21:38"/>
        <d v="1899-12-30T17:46:27"/>
        <d v="1899-12-30T17:57:47"/>
        <d v="1899-12-30T18:00:56"/>
        <d v="1899-12-30T18:15:12"/>
        <d v="1899-12-30T18:39:29"/>
        <d v="1899-12-30T18:48:03"/>
        <d v="1899-12-30T18:48:23"/>
        <d v="1899-12-30T19:01:14"/>
        <d v="1899-12-30T19:05:52"/>
        <d v="1899-12-30T19:37:48"/>
        <d v="1899-12-30T19:51:05"/>
        <d v="1899-12-30T19:59:59"/>
        <d v="1899-12-30T20:01:46"/>
        <d v="1899-12-30T20:33:38"/>
        <d v="1899-12-30T20:47:09"/>
        <d v="1899-12-30T21:04:25"/>
        <d v="1899-12-30T21:25:47"/>
        <d v="1899-12-30T21:42:05"/>
        <d v="1899-12-30T21:42:13"/>
        <d v="1899-12-30T21:45:30"/>
        <d v="1899-12-30T21:49:15"/>
        <d v="1899-12-30T21:57:28"/>
        <d v="1899-12-30T21:58:47"/>
        <d v="1899-12-30T11:38:49"/>
        <d v="1899-12-30T12:08:50"/>
        <d v="1899-12-30T12:10:30"/>
        <d v="1899-12-30T13:10:51"/>
        <d v="1899-12-30T13:13:16"/>
        <d v="1899-12-30T13:18:40"/>
        <d v="1899-12-30T15:43:57"/>
        <d v="1899-12-30T16:04:13"/>
        <d v="1899-12-30T16:17:47"/>
        <d v="1899-12-30T17:02:13"/>
        <d v="1899-12-30T17:28:10"/>
        <d v="1899-12-30T17:28:55"/>
        <d v="1899-12-30T17:40:13"/>
        <d v="1899-12-30T17:44:20"/>
        <d v="1899-12-30T18:10:49"/>
        <d v="1899-12-30T18:26:40"/>
        <d v="1899-12-30T18:39:13"/>
        <d v="1899-12-30T19:33:32"/>
        <d v="1899-12-30T19:42:43"/>
        <d v="1899-12-30T19:54:19"/>
        <d v="1899-12-30T20:15:43"/>
        <d v="1899-12-30T20:31:17"/>
        <d v="1899-12-30T20:35:01"/>
        <d v="1899-12-30T20:42:39"/>
        <d v="1899-12-30T20:42:57"/>
        <d v="1899-12-30T20:46:07"/>
        <d v="1899-12-30T20:51:56"/>
        <d v="1899-12-30T21:08:58"/>
        <d v="1899-12-30T22:18:53"/>
        <d v="1899-12-30T11:55:09"/>
        <d v="1899-12-30T12:04:45"/>
        <d v="1899-12-30T12:48:38"/>
        <d v="1899-12-30T12:49:43"/>
        <d v="1899-12-30T12:59:35"/>
        <d v="1899-12-30T13:12:25"/>
        <d v="1899-12-30T14:09:19"/>
        <d v="1899-12-30T14:30:53"/>
        <d v="1899-12-30T15:23:04"/>
        <d v="1899-12-30T15:27:54"/>
        <d v="1899-12-30T15:28:38"/>
        <d v="1899-12-30T15:45:52"/>
        <d v="1899-12-30T15:50:36"/>
        <d v="1899-12-30T16:38:32"/>
        <d v="1899-12-30T16:51:35"/>
        <d v="1899-12-30T17:11:33"/>
        <d v="1899-12-30T17:17:17"/>
        <d v="1899-12-30T17:17:49"/>
        <d v="1899-12-30T17:22:15"/>
        <d v="1899-12-30T17:45:17"/>
        <d v="1899-12-30T17:46:56"/>
        <d v="1899-12-30T17:48:48"/>
        <d v="1899-12-30T17:49:23"/>
        <d v="1899-12-30T17:50:11"/>
        <d v="1899-12-30T18:14:10"/>
        <d v="1899-12-30T18:34:12"/>
        <d v="1899-12-30T18:45:47"/>
        <d v="1899-12-30T19:50:56"/>
        <d v="1899-12-30T20:58:31"/>
        <d v="1899-12-30T21:21:44"/>
        <d v="1899-12-30T21:46:59"/>
        <d v="1899-12-30T22:16:49"/>
        <d v="1899-12-30T12:09:12"/>
        <d v="1899-12-30T13:11:20"/>
        <d v="1899-12-30T13:20:19"/>
        <d v="1899-12-30T14:21:17"/>
        <d v="1899-12-30T14:21:58"/>
        <d v="1899-12-30T14:26:31"/>
        <d v="1899-12-30T14:34:10"/>
        <d v="1899-12-30T15:08:44"/>
        <d v="1899-12-30T16:04:29"/>
        <d v="1899-12-30T16:38:46"/>
        <d v="1899-12-30T17:15:09"/>
        <d v="1899-12-30T17:28:36"/>
        <d v="1899-12-30T17:39:42"/>
        <d v="1899-12-30T17:40:01"/>
        <d v="1899-12-30T17:49:16"/>
        <d v="1899-12-30T17:59:12"/>
        <d v="1899-12-30T18:05:56"/>
        <d v="1899-12-30T18:58:55"/>
        <d v="1899-12-30T19:02:18"/>
        <d v="1899-12-30T19:09:14"/>
        <d v="1899-12-30T19:17:30"/>
        <d v="1899-12-30T19:29:22"/>
        <d v="1899-12-30T19:34:35"/>
        <d v="1899-12-30T19:38:14"/>
        <d v="1899-12-30T19:45:00"/>
        <d v="1899-12-30T19:45:13"/>
        <d v="1899-12-30T21:27:27"/>
        <d v="1899-12-30T11:38:16"/>
        <d v="1899-12-30T11:51:13"/>
        <d v="1899-12-30T12:05:03"/>
        <d v="1899-12-30T12:20:56"/>
        <d v="1899-12-30T12:22:07"/>
        <d v="1899-12-30T12:30:13"/>
        <d v="1899-12-30T12:39:37"/>
        <d v="1899-12-30T13:11:04"/>
        <d v="1899-12-30T13:12:30"/>
        <d v="1899-12-30T13:34:52"/>
        <d v="1899-12-30T13:50:13"/>
        <d v="1899-12-30T14:01:39"/>
        <d v="1899-12-30T14:13:00"/>
        <d v="1899-12-30T14:59:06"/>
        <d v="1899-12-30T14:59:26"/>
        <d v="1899-12-30T15:00:45"/>
        <d v="1899-12-30T15:33:50"/>
        <d v="1899-12-30T16:05:09"/>
        <d v="1899-12-30T16:14:24"/>
        <d v="1899-12-30T16:58:36"/>
        <d v="1899-12-30T17:01:28"/>
        <d v="1899-12-30T17:11:21"/>
        <d v="1899-12-30T17:23:22"/>
        <d v="1899-12-30T17:25:32"/>
        <d v="1899-12-30T17:26:24"/>
        <d v="1899-12-30T17:33:44"/>
        <d v="1899-12-30T18:21:29"/>
        <d v="1899-12-30T19:28:52"/>
        <d v="1899-12-30T21:01:48"/>
        <d v="1899-12-30T21:21:29"/>
        <d v="1899-12-30T21:30:02"/>
        <d v="1899-12-30T22:16:03"/>
        <d v="1899-12-30T11:29:05"/>
        <d v="1899-12-30T11:30:49"/>
        <d v="1899-12-30T11:37:40"/>
        <d v="1899-12-30T11:38:29"/>
        <d v="1899-12-30T12:05:44"/>
        <d v="1899-12-30T12:08:28"/>
        <d v="1899-12-30T12:14:31"/>
        <d v="1899-12-30T12:18:44"/>
        <d v="1899-12-30T12:20:31"/>
        <d v="1899-12-30T12:42:32"/>
        <d v="1899-12-30T12:55:58"/>
        <d v="1899-12-30T14:26:15"/>
        <d v="1899-12-30T14:31:16"/>
        <d v="1899-12-30T14:41:05"/>
        <d v="1899-12-30T15:03:46"/>
        <d v="1899-12-30T15:14:50"/>
        <d v="1899-12-30T15:34:12"/>
        <d v="1899-12-30T15:36:04"/>
        <d v="1899-12-30T15:52:27"/>
        <d v="1899-12-30T15:56:47"/>
        <d v="1899-12-30T16:05:20"/>
        <d v="1899-12-30T16:20:16"/>
        <d v="1899-12-30T16:57:45"/>
        <d v="1899-12-30T17:52:02"/>
        <d v="1899-12-30T17:57:11"/>
        <d v="1899-12-30T18:08:51"/>
        <d v="1899-12-30T18:39:07"/>
        <d v="1899-12-30T19:11:01"/>
        <d v="1899-12-30T19:16:51"/>
        <d v="1899-12-30T19:42:36"/>
        <d v="1899-12-30T11:20:08"/>
        <d v="1899-12-30T11:35:40"/>
        <d v="1899-12-30T12:11:55"/>
        <d v="1899-12-30T12:14:18"/>
        <d v="1899-12-30T12:40:58"/>
        <d v="1899-12-30T12:53:14"/>
        <d v="1899-12-30T12:59:12"/>
        <d v="1899-12-30T13:08:59"/>
        <d v="1899-12-30T13:26:24"/>
        <d v="1899-12-30T14:29:32"/>
        <d v="1899-12-30T14:34:49"/>
        <d v="1899-12-30T14:35:47"/>
        <d v="1899-12-30T15:07:42"/>
        <d v="1899-12-30T15:49:22"/>
        <d v="1899-12-30T16:08:43"/>
        <d v="1899-12-30T17:00:38"/>
        <d v="1899-12-30T17:20:38"/>
        <d v="1899-12-30T17:51:17"/>
        <d v="1899-12-30T17:57:09"/>
        <d v="1899-12-30T18:24:41"/>
        <d v="1899-12-30T19:06:19"/>
        <d v="1899-12-30T19:11:46"/>
        <d v="1899-12-30T19:14:13"/>
        <d v="1899-12-30T19:30:07"/>
        <d v="1899-12-30T21:17:24"/>
        <d v="1899-12-30T12:09:32"/>
        <d v="1899-12-30T12:49:18"/>
        <d v="1899-12-30T12:57:40"/>
        <d v="1899-12-30T13:02:21"/>
        <d v="1899-12-30T13:33:08"/>
        <d v="1899-12-30T13:35:59"/>
        <d v="1899-12-30T14:34:27"/>
        <d v="1899-12-30T14:45:43"/>
        <d v="1899-12-30T15:24:07"/>
        <d v="1899-12-30T15:34:23"/>
        <d v="1899-12-30T16:03:29"/>
        <d v="1899-12-30T16:18:15"/>
        <d v="1899-12-30T16:50:18"/>
        <d v="1899-12-30T17:17:33"/>
        <d v="1899-12-30T17:42:34"/>
        <d v="1899-12-30T19:02:28"/>
        <d v="1899-12-30T20:34:36"/>
        <d v="1899-12-30T20:46:32"/>
        <d v="1899-12-30T21:29:08"/>
        <d v="1899-12-30T11:21:04"/>
        <d v="1899-12-30T12:09:28"/>
        <d v="1899-12-30T12:13:24"/>
        <d v="1899-12-30T12:16:41"/>
        <d v="1899-12-30T12:41:23"/>
        <d v="1899-12-30T12:41:43"/>
        <d v="1899-12-30T13:01:28"/>
        <d v="1899-12-30T13:11:50"/>
        <d v="1899-12-30T13:20:14"/>
        <d v="1899-12-30T13:29:46"/>
        <d v="1899-12-30T13:48:34"/>
        <d v="1899-12-30T13:54:36"/>
        <d v="1899-12-30T14:20:50"/>
        <d v="1899-12-30T14:53:25"/>
        <d v="1899-12-30T15:03:34"/>
        <d v="1899-12-30T15:19:18"/>
        <d v="1899-12-30T15:35:02"/>
        <d v="1899-12-30T16:15:19"/>
        <d v="1899-12-30T16:24:14"/>
        <d v="1899-12-30T16:26:56"/>
        <d v="1899-12-30T16:54:16"/>
        <d v="1899-12-30T18:04:49"/>
        <d v="1899-12-30T18:21:45"/>
        <d v="1899-12-30T18:32:46"/>
        <d v="1899-12-30T19:00:17"/>
        <d v="1899-12-30T19:28:14"/>
        <d v="1899-12-30T19:34:34"/>
        <d v="1899-12-30T21:51:14"/>
        <d v="1899-12-30T11:51:06"/>
        <d v="1899-12-30T12:00:20"/>
        <d v="1899-12-30T12:01:03"/>
        <d v="1899-12-30T14:04:21"/>
        <d v="1899-12-30T14:12:37"/>
        <d v="1899-12-30T15:12:34"/>
        <d v="1899-12-30T15:15:15"/>
        <d v="1899-12-30T15:53:40"/>
        <d v="1899-12-30T17:22:35"/>
        <d v="1899-12-30T17:35:01"/>
        <d v="1899-12-30T17:35:30"/>
        <d v="1899-12-30T18:05:03"/>
        <d v="1899-12-30T18:10:11"/>
        <d v="1899-12-30T18:11:29"/>
        <d v="1899-12-30T18:27:52"/>
        <d v="1899-12-30T18:47:56"/>
        <d v="1899-12-30T18:49:04"/>
        <d v="1899-12-30T18:53:32"/>
        <d v="1899-12-30T19:25:56"/>
        <d v="1899-12-30T19:37:05"/>
        <d v="1899-12-30T19:37:58"/>
        <d v="1899-12-30T19:39:37"/>
        <d v="1899-12-30T21:01:50"/>
        <d v="1899-12-30T21:46:10"/>
        <d v="1899-12-30T12:40:05"/>
        <d v="1899-12-30T12:51:31"/>
        <d v="1899-12-30T13:07:10"/>
        <d v="1899-12-30T13:15:34"/>
        <d v="1899-12-30T13:19:30"/>
        <d v="1899-12-30T13:41:44"/>
        <d v="1899-12-30T14:12:23"/>
        <d v="1899-12-30T15:19:33"/>
        <d v="1899-12-30T15:43:34"/>
        <d v="1899-12-30T16:18:05"/>
        <d v="1899-12-30T16:50:05"/>
        <d v="1899-12-30T16:59:08"/>
        <d v="1899-12-30T17:06:41"/>
        <d v="1899-12-30T17:39:19"/>
        <d v="1899-12-30T17:52:06"/>
        <d v="1899-12-30T17:53:10"/>
        <d v="1899-12-30T18:12:21"/>
        <d v="1899-12-30T19:06:55"/>
        <d v="1899-12-30T19:19:13"/>
        <d v="1899-12-30T19:22:48"/>
        <d v="1899-12-30T19:29:25"/>
        <d v="1899-12-30T19:45:32"/>
        <d v="1899-12-30T20:04:26"/>
        <d v="1899-12-30T20:08:10"/>
        <d v="1899-12-30T20:55:53"/>
        <d v="1899-12-30T21:10:51"/>
        <d v="1899-12-30T22:02:50"/>
        <d v="1899-12-30T22:55:29"/>
        <d v="1899-12-30T11:53:59"/>
        <d v="1899-12-30T12:44:38"/>
        <d v="1899-12-30T12:45:42"/>
        <d v="1899-12-30T13:11:23"/>
        <d v="1899-12-30T14:05:54"/>
        <d v="1899-12-30T15:48:12"/>
        <d v="1899-12-30T15:51:41"/>
        <d v="1899-12-30T16:06:31"/>
        <d v="1899-12-30T16:28:28"/>
        <d v="1899-12-30T16:32:18"/>
        <d v="1899-12-30T16:50:20"/>
        <d v="1899-12-30T17:39:43"/>
        <d v="1899-12-30T17:41:11"/>
        <d v="1899-12-30T17:46:01"/>
        <d v="1899-12-30T17:53:40"/>
        <d v="1899-12-30T18:02:14"/>
        <d v="1899-12-30T18:04:32"/>
        <d v="1899-12-30T18:29:40"/>
        <d v="1899-12-30T18:46:17"/>
        <d v="1899-12-30T19:11:36"/>
        <d v="1899-12-30T19:25:32"/>
        <d v="1899-12-30T19:43:41"/>
        <d v="1899-12-30T20:28:24"/>
        <d v="1899-12-30T21:07:28"/>
        <d v="1899-12-30T21:31:49"/>
        <d v="1899-12-30T11:40:54"/>
        <d v="1899-12-30T11:55:57"/>
        <d v="1899-12-30T11:59:07"/>
        <d v="1899-12-30T12:11:20"/>
        <d v="1899-12-30T12:28:43"/>
        <d v="1899-12-30T13:26:34"/>
        <d v="1899-12-30T13:26:37"/>
        <d v="1899-12-30T13:59:54"/>
        <d v="1899-12-30T14:25:49"/>
        <d v="1899-12-30T14:44:15"/>
        <d v="1899-12-30T16:09:26"/>
        <d v="1899-12-30T16:20:45"/>
        <d v="1899-12-30T16:48:08"/>
        <d v="1899-12-30T17:08:53"/>
        <d v="1899-12-30T17:36:57"/>
        <d v="1899-12-30T17:56:13"/>
        <d v="1899-12-30T18:00:24"/>
        <d v="1899-12-30T18:03:51"/>
        <d v="1899-12-30T18:38:39"/>
        <d v="1899-12-30T18:48:31"/>
        <d v="1899-12-30T18:59:40"/>
        <d v="1899-12-30T19:24:02"/>
        <d v="1899-12-30T19:53:37"/>
        <d v="1899-12-30T20:23:58"/>
        <d v="1899-12-30T20:35:11"/>
        <d v="1899-12-30T21:06:29"/>
        <d v="1899-12-30T11:55:15"/>
        <d v="1899-12-30T12:06:20"/>
        <d v="1899-12-30T12:43:48"/>
        <d v="1899-12-30T13:25:32"/>
        <d v="1899-12-30T13:48:24"/>
        <d v="1899-12-30T14:23:35"/>
        <d v="1899-12-30T14:43:18"/>
        <d v="1899-12-30T14:59:23"/>
        <d v="1899-12-30T15:15:45"/>
        <d v="1899-12-30T16:06:53"/>
        <d v="1899-12-30T16:27:25"/>
        <d v="1899-12-30T16:46:56"/>
        <d v="1899-12-30T17:08:20"/>
        <d v="1899-12-30T17:14:17"/>
        <d v="1899-12-30T17:20:30"/>
        <d v="1899-12-30T17:29:10"/>
        <d v="1899-12-30T17:47:42"/>
        <d v="1899-12-30T18:21:43"/>
        <d v="1899-12-30T18:59:04"/>
        <d v="1899-12-30T19:19:31"/>
        <d v="1899-12-30T19:27:17"/>
        <d v="1899-12-30T20:42:21"/>
        <d v="1899-12-30T20:53:24"/>
        <d v="1899-12-30T20:58:15"/>
        <d v="1899-12-30T21:03:53"/>
        <d v="1899-12-30T12:06:00"/>
        <d v="1899-12-30T12:20:23"/>
        <d v="1899-12-30T13:09:37"/>
        <d v="1899-12-30T13:19:56"/>
        <d v="1899-12-30T13:34:03"/>
        <d v="1899-12-30T14:19:49"/>
        <d v="1899-12-30T15:33:02"/>
        <d v="1899-12-30T15:55:45"/>
        <d v="1899-12-30T16:05:13"/>
        <d v="1899-12-30T16:28:19"/>
        <d v="1899-12-30T17:03:57"/>
        <d v="1899-12-30T17:15:36"/>
        <d v="1899-12-30T17:34:14"/>
        <d v="1899-12-30T18:00:23"/>
        <d v="1899-12-30T18:18:42"/>
        <d v="1899-12-30T18:49:11"/>
        <d v="1899-12-30T18:56:45"/>
        <d v="1899-12-30T19:44:27"/>
        <d v="1899-12-30T20:26:35"/>
        <d v="1899-12-30T11:25:26"/>
        <d v="1899-12-30T11:58:25"/>
        <d v="1899-12-30T12:12:58"/>
        <d v="1899-12-30T12:18:23"/>
        <d v="1899-12-30T12:26:10"/>
        <d v="1899-12-30T12:59:19"/>
        <d v="1899-12-30T13:06:58"/>
        <d v="1899-12-30T13:11:46"/>
        <d v="1899-12-30T13:13:03"/>
        <d v="1899-12-30T13:24:09"/>
        <d v="1899-12-30T13:24:50"/>
        <d v="1899-12-30T13:56:49"/>
        <d v="1899-12-30T14:25:16"/>
        <d v="1899-12-30T14:26:07"/>
        <d v="1899-12-30T14:53:12"/>
        <d v="1899-12-30T15:25:11"/>
        <d v="1899-12-30T15:57:56"/>
        <d v="1899-12-30T16:33:54"/>
        <d v="1899-12-30T17:15:03"/>
        <d v="1899-12-30T17:26:40"/>
        <d v="1899-12-30T17:28:39"/>
        <d v="1899-12-30T17:33:45"/>
        <d v="1899-12-30T17:35:20"/>
        <d v="1899-12-30T17:47:35"/>
        <d v="1899-12-30T18:05:41"/>
        <d v="1899-12-30T18:14:01"/>
        <d v="1899-12-30T18:21:54"/>
        <d v="1899-12-30T18:30:26"/>
        <d v="1899-12-30T18:42:40"/>
        <d v="1899-12-30T19:14:04"/>
        <d v="1899-12-30T19:31:08"/>
        <d v="1899-12-30T20:04:43"/>
        <d v="1899-12-30T21:03:42"/>
        <d v="1899-12-30T21:15:19"/>
        <d v="1899-12-30T21:23:36"/>
        <d v="1899-12-30T21:43:38"/>
        <d v="1899-12-30T12:14:32"/>
        <d v="1899-12-30T12:28:13"/>
        <d v="1899-12-30T12:31:47"/>
        <d v="1899-12-30T12:58:48"/>
        <d v="1899-12-30T13:08:40"/>
        <d v="1899-12-30T13:28:13"/>
        <d v="1899-12-30T14:34:06"/>
        <d v="1899-12-30T15:29:38"/>
        <d v="1899-12-30T15:37:01"/>
        <d v="1899-12-30T15:39:41"/>
        <d v="1899-12-30T15:40:15"/>
        <d v="1899-12-30T15:52:38"/>
        <d v="1899-12-30T16:55:31"/>
        <d v="1899-12-30T17:08:22"/>
        <d v="1899-12-30T17:12:23"/>
        <d v="1899-12-30T17:13:43"/>
        <d v="1899-12-30T17:39:20"/>
        <d v="1899-12-30T17:59:29"/>
        <d v="1899-12-30T18:08:14"/>
        <d v="1899-12-30T18:18:37"/>
        <d v="1899-12-30T18:43:49"/>
        <d v="1899-12-30T18:53:08"/>
        <d v="1899-12-30T19:07:21"/>
        <d v="1899-12-30T19:20:18"/>
        <d v="1899-12-30T19:20:22"/>
        <d v="1899-12-30T20:15:45"/>
        <d v="1899-12-30T20:19:07"/>
        <d v="1899-12-30T21:32:06"/>
        <d v="1899-12-30T21:32:54"/>
        <d v="1899-12-30T22:26:52"/>
        <d v="1899-12-30T11:16:34"/>
        <d v="1899-12-30T12:37:35"/>
        <d v="1899-12-30T13:01:25"/>
        <d v="1899-12-30T13:19:18"/>
        <d v="1899-12-30T13:25:51"/>
        <d v="1899-12-30T13:33:35"/>
        <d v="1899-12-30T13:51:05"/>
        <d v="1899-12-30T15:11:34"/>
        <d v="1899-12-30T16:02:50"/>
        <d v="1899-12-30T16:18:22"/>
        <d v="1899-12-30T16:56:57"/>
        <d v="1899-12-30T17:10:15"/>
        <d v="1899-12-30T17:22:31"/>
        <d v="1899-12-30T17:25:19"/>
        <d v="1899-12-30T17:34:47"/>
        <d v="1899-12-30T17:49:14"/>
        <d v="1899-12-30T17:55:00"/>
        <d v="1899-12-30T18:03:41"/>
        <d v="1899-12-30T18:16:14"/>
        <d v="1899-12-30T18:36:08"/>
        <d v="1899-12-30T18:40:09"/>
        <d v="1899-12-30T19:36:54"/>
        <d v="1899-12-30T19:37:55"/>
        <d v="1899-12-30T19:59:06"/>
        <d v="1899-12-30T20:22:52"/>
        <d v="1899-12-30T20:43:29"/>
        <d v="1899-12-30T11:44:51"/>
        <d v="1899-12-30T11:53:54"/>
        <d v="1899-12-30T12:00:00"/>
        <d v="1899-12-30T12:02:31"/>
        <d v="1899-12-30T12:29:43"/>
        <d v="1899-12-30T12:36:44"/>
        <d v="1899-12-30T13:06:40"/>
        <d v="1899-12-30T13:11:03"/>
        <d v="1899-12-30T13:31:13"/>
        <d v="1899-12-30T13:43:16"/>
        <d v="1899-12-30T13:44:12"/>
        <d v="1899-12-30T16:25:50"/>
        <d v="1899-12-30T16:29:44"/>
        <d v="1899-12-30T16:48:15"/>
        <d v="1899-12-30T16:55:42"/>
        <d v="1899-12-30T17:02:55"/>
        <d v="1899-12-30T17:03:29"/>
        <d v="1899-12-30T17:24:24"/>
        <d v="1899-12-30T17:24:58"/>
        <d v="1899-12-30T17:29:22"/>
        <d v="1899-12-30T17:32:27"/>
        <d v="1899-12-30T17:33:34"/>
        <d v="1899-12-30T17:37:47"/>
        <d v="1899-12-30T17:55:01"/>
        <d v="1899-12-30T18:21:27"/>
        <d v="1899-12-30T18:35:48"/>
        <d v="1899-12-30T19:06:51"/>
        <d v="1899-12-30T19:15:58"/>
        <d v="1899-12-30T21:24:03"/>
        <d v="1899-12-30T11:19:05"/>
        <d v="1899-12-30T11:36:17"/>
        <d v="1899-12-30T11:46:22"/>
        <d v="1899-12-30T11:50:27"/>
        <d v="1899-12-30T12:02:43"/>
        <d v="1899-12-30T12:03:51"/>
        <d v="1899-12-30T12:05:52"/>
        <d v="1899-12-30T12:11:00"/>
        <d v="1899-12-30T12:41:25"/>
        <d v="1899-12-30T13:08:24"/>
        <d v="1899-12-30T13:27:46"/>
        <d v="1899-12-30T13:36:20"/>
        <d v="1899-12-30T14:17:43"/>
        <d v="1899-12-30T14:25:36"/>
        <d v="1899-12-30T15:01:45"/>
        <d v="1899-12-30T15:04:41"/>
        <d v="1899-12-30T16:58:27"/>
        <d v="1899-12-30T17:13:01"/>
        <d v="1899-12-30T17:44:35"/>
        <d v="1899-12-30T17:55:59"/>
        <d v="1899-12-30T18:03:46"/>
        <d v="1899-12-30T18:05:44"/>
        <d v="1899-12-30T18:07:03"/>
        <d v="1899-12-30T18:32:49"/>
        <d v="1899-12-30T18:37:20"/>
        <d v="1899-12-30T18:42:19"/>
        <d v="1899-12-30T19:10:52"/>
        <d v="1899-12-30T19:18:59"/>
        <d v="1899-12-30T19:27:07"/>
        <d v="1899-12-30T19:27:28"/>
        <d v="1899-12-30T20:03:12"/>
        <d v="1899-12-30T20:09:50"/>
        <d v="1899-12-30T20:16:40"/>
        <d v="1899-12-30T20:23:43"/>
        <d v="1899-12-30T20:38:31"/>
        <d v="1899-12-30T20:47:25"/>
        <d v="1899-12-30T20:49:09"/>
        <d v="1899-12-30T20:56:11"/>
        <d v="1899-12-30T20:59:02"/>
        <d v="1899-12-30T21:02:40"/>
        <d v="1899-12-30T21:25:42"/>
        <d v="1899-12-30T21:41:41"/>
        <d v="1899-12-30T21:43:57"/>
        <d v="1899-12-30T22:24:06"/>
        <d v="1899-12-30T22:30:29"/>
        <d v="1899-12-30T22:37:27"/>
        <d v="1899-12-30T12:20:55"/>
        <d v="1899-12-30T12:38:25"/>
        <d v="1899-12-30T12:38:35"/>
        <d v="1899-12-30T12:39:59"/>
        <d v="1899-12-30T13:01:04"/>
        <d v="1899-12-30T13:38:48"/>
        <d v="1899-12-30T13:59:43"/>
        <d v="1899-12-30T14:41:20"/>
        <d v="1899-12-30T15:01:15"/>
        <d v="1899-12-30T15:19:58"/>
        <d v="1899-12-30T16:11:25"/>
        <d v="1899-12-30T16:28:56"/>
        <d v="1899-12-30T16:51:18"/>
        <d v="1899-12-30T16:58:53"/>
        <d v="1899-12-30T17:18:23"/>
        <d v="1899-12-30T17:41:52"/>
        <d v="1899-12-30T17:44:37"/>
        <d v="1899-12-30T17:52:57"/>
        <d v="1899-12-30T17:56:29"/>
        <d v="1899-12-30T18:27:29"/>
        <d v="1899-12-30T18:43:33"/>
        <d v="1899-12-30T18:55:33"/>
        <d v="1899-12-30T19:01:23"/>
        <d v="1899-12-30T19:07:29"/>
        <d v="1899-12-30T19:15:28"/>
        <d v="1899-12-30T19:17:09"/>
        <d v="1899-12-30T19:41:02"/>
        <d v="1899-12-30T19:48:32"/>
        <d v="1899-12-30T19:49:56"/>
        <d v="1899-12-30T19:56:12"/>
        <d v="1899-12-30T20:13:23"/>
        <d v="1899-12-30T20:14:26"/>
        <d v="1899-12-30T20:16:03"/>
        <d v="1899-12-30T20:17:11"/>
        <d v="1899-12-30T20:26:22"/>
        <d v="1899-12-30T20:43:30"/>
        <d v="1899-12-30T21:18:58"/>
        <d v="1899-12-30T21:22:34"/>
        <d v="1899-12-30T21:24:45"/>
        <d v="1899-12-30T21:26:10"/>
        <d v="1899-12-30T21:29:18"/>
        <d v="1899-12-30T21:58:28"/>
        <d v="1899-12-30T22:02:12"/>
        <d v="1899-12-30T22:06:04"/>
        <d v="1899-12-30T22:26:50"/>
        <d v="1899-12-30T22:34:36"/>
        <d v="1899-12-30T12:21:50"/>
        <d v="1899-12-30T12:39:01"/>
        <d v="1899-12-30T12:49:09"/>
        <d v="1899-12-30T12:49:22"/>
        <d v="1899-12-30T13:01:23"/>
        <d v="1899-12-30T13:01:41"/>
        <d v="1899-12-30T13:14:40"/>
        <d v="1899-12-30T14:20:04"/>
        <d v="1899-12-30T14:28:44"/>
        <d v="1899-12-30T15:00:21"/>
        <d v="1899-12-30T15:39:38"/>
        <d v="1899-12-30T15:51:42"/>
        <d v="1899-12-30T16:23:19"/>
        <d v="1899-12-30T16:48:26"/>
        <d v="1899-12-30T17:05:09"/>
        <d v="1899-12-30T18:13:42"/>
        <d v="1899-12-30T18:28:43"/>
        <d v="1899-12-30T18:59:20"/>
        <d v="1899-12-30T19:37:22"/>
        <d v="1899-12-30T19:46:43"/>
        <d v="1899-12-30T20:00:50"/>
        <d v="1899-12-30T20:02:47"/>
        <d v="1899-12-30T20:07:01"/>
        <d v="1899-12-30T20:07:13"/>
        <d v="1899-12-30T20:26:56"/>
        <d v="1899-12-30T21:26:18"/>
        <d v="1899-12-30T12:12:03"/>
        <d v="1899-12-30T12:12:21"/>
        <d v="1899-12-30T12:37:39"/>
        <d v="1899-12-30T12:42:44"/>
        <d v="1899-12-30T12:53:16"/>
        <d v="1899-12-30T13:28:32"/>
        <d v="1899-12-30T13:30:06"/>
        <d v="1899-12-30T13:51:10"/>
        <d v="1899-12-30T14:22:05"/>
        <d v="1899-12-30T15:35:46"/>
        <d v="1899-12-30T17:30:10"/>
        <d v="1899-12-30T17:32:02"/>
        <d v="1899-12-30T17:45:28"/>
        <d v="1899-12-30T17:48:19"/>
        <d v="1899-12-30T18:08:46"/>
        <d v="1899-12-30T18:18:11"/>
        <d v="1899-12-30T18:25:45"/>
        <d v="1899-12-30T18:36:01"/>
        <d v="1899-12-30T18:40:51"/>
        <d v="1899-12-30T18:56:03"/>
        <d v="1899-12-30T19:39:18"/>
        <d v="1899-12-30T19:47:41"/>
        <d v="1899-12-30T19:55:47"/>
        <d v="1899-12-30T20:01:33"/>
        <d v="1899-12-30T22:16:53"/>
        <d v="1899-12-30T11:51:23"/>
        <d v="1899-12-30T12:02:28"/>
        <d v="1899-12-30T12:07:49"/>
        <d v="1899-12-30T12:28:41"/>
        <d v="1899-12-30T12:36:02"/>
        <d v="1899-12-30T13:11:54"/>
        <d v="1899-12-30T13:15:15"/>
        <d v="1899-12-30T13:15:45"/>
        <d v="1899-12-30T15:54:43"/>
        <d v="1899-12-30T15:57:17"/>
        <d v="1899-12-30T16:35:24"/>
        <d v="1899-12-30T16:41:56"/>
        <d v="1899-12-30T17:06:40"/>
        <d v="1899-12-30T17:26:26"/>
        <d v="1899-12-30T17:33:05"/>
        <d v="1899-12-30T17:34:01"/>
        <d v="1899-12-30T17:40:41"/>
        <d v="1899-12-30T17:52:46"/>
        <d v="1899-12-30T17:56:25"/>
        <d v="1899-12-30T18:19:31"/>
        <d v="1899-12-30T18:49:36"/>
        <d v="1899-12-30T19:49:28"/>
        <d v="1899-12-30T19:52:53"/>
        <d v="1899-12-30T20:22:37"/>
        <d v="1899-12-30T20:23:23"/>
        <d v="1899-12-30T20:23:31"/>
        <d v="1899-12-30T11:21:06"/>
        <d v="1899-12-30T11:30:03"/>
        <d v="1899-12-30T11:31:22"/>
        <d v="1899-12-30T11:47:42"/>
        <d v="1899-12-30T11:53:27"/>
        <d v="1899-12-30T12:07:10"/>
        <d v="1899-12-30T12:21:02"/>
        <d v="1899-12-30T12:30:39"/>
        <d v="1899-12-30T12:44:24"/>
        <d v="1899-12-30T12:54:45"/>
        <d v="1899-12-30T13:12:23"/>
        <d v="1899-12-30T13:12:39"/>
        <d v="1899-12-30T13:48:58"/>
        <d v="1899-12-30T14:08:21"/>
        <d v="1899-12-30T14:56:16"/>
        <d v="1899-12-30T15:17:28"/>
        <d v="1899-12-30T15:22:26"/>
        <d v="1899-12-30T16:02:26"/>
        <d v="1899-12-30T17:46:05"/>
        <d v="1899-12-30T18:04:21"/>
        <d v="1899-12-30T18:40:06"/>
        <d v="1899-12-30T19:09:57"/>
        <d v="1899-12-30T19:21:35"/>
        <d v="1899-12-30T19:36:02"/>
        <d v="1899-12-30T20:20:00"/>
        <d v="1899-12-30T22:07:13"/>
        <d v="1899-12-30T22:22:44"/>
        <d v="1899-12-30T11:27:22"/>
        <d v="1899-12-30T12:00:10"/>
        <d v="1899-12-30T12:01:11"/>
        <d v="1899-12-30T12:15:51"/>
        <d v="1899-12-30T12:17:11"/>
        <d v="1899-12-30T12:30:34"/>
        <d v="1899-12-30T12:49:07"/>
        <d v="1899-12-30T13:04:50"/>
        <d v="1899-12-30T13:08:20"/>
        <d v="1899-12-30T13:55:24"/>
        <d v="1899-12-30T14:34:54"/>
        <d v="1899-12-30T16:39:34"/>
        <d v="1899-12-30T16:46:48"/>
        <d v="1899-12-30T16:56:48"/>
        <d v="1899-12-30T17:28:44"/>
        <d v="1899-12-30T17:31:13"/>
        <d v="1899-12-30T18:42:17"/>
        <d v="1899-12-30T18:45:14"/>
        <d v="1899-12-30T19:02:53"/>
        <d v="1899-12-30T19:27:00"/>
        <d v="1899-12-30T19:38:47"/>
        <d v="1899-12-30T19:40:15"/>
        <d v="1899-12-30T20:25:22"/>
        <d v="1899-12-30T21:58:38"/>
        <d v="1899-12-30T11:42:14"/>
        <d v="1899-12-30T12:10:35"/>
        <d v="1899-12-30T12:18:21"/>
        <d v="1899-12-30T12:24:30"/>
        <d v="1899-12-30T12:54:04"/>
        <d v="1899-12-30T13:20:10"/>
        <d v="1899-12-30T13:27:58"/>
        <d v="1899-12-30T13:29:30"/>
        <d v="1899-12-30T14:14:28"/>
        <d v="1899-12-30T15:05:32"/>
        <d v="1899-12-30T15:19:48"/>
        <d v="1899-12-30T15:39:20"/>
        <d v="1899-12-30T15:46:06"/>
        <d v="1899-12-30T15:53:42"/>
        <d v="1899-12-30T16:10:32"/>
        <d v="1899-12-30T16:19:49"/>
        <d v="1899-12-30T17:45:54"/>
        <d v="1899-12-30T18:12:15"/>
        <d v="1899-12-30T18:24:56"/>
        <d v="1899-12-30T18:46:25"/>
        <d v="1899-12-30T18:54:46"/>
        <d v="1899-12-30T19:10:44"/>
        <d v="1899-12-30T19:13:49"/>
        <d v="1899-12-30T19:59:19"/>
        <d v="1899-12-30T20:20:01"/>
        <d v="1899-12-30T20:26:49"/>
        <d v="1899-12-30T20:44:16"/>
        <d v="1899-12-30T21:50:39"/>
        <d v="1899-12-30T22:30:44"/>
        <d v="1899-12-30T22:37:56"/>
        <d v="1899-12-30T22:48:03"/>
        <d v="1899-12-30T12:23:19"/>
        <d v="1899-12-30T12:43:12"/>
        <d v="1899-12-30T12:44:23"/>
        <d v="1899-12-30T13:03:45"/>
        <d v="1899-12-30T13:48:39"/>
        <d v="1899-12-30T14:14:23"/>
        <d v="1899-12-30T14:56:29"/>
        <d v="1899-12-30T15:50:27"/>
        <d v="1899-12-30T16:03:30"/>
        <d v="1899-12-30T16:34:02"/>
        <d v="1899-12-30T17:32:59"/>
        <d v="1899-12-30T18:04:40"/>
        <d v="1899-12-30T18:10:42"/>
        <d v="1899-12-30T18:51:59"/>
        <d v="1899-12-30T19:15:47"/>
        <d v="1899-12-30T19:41:07"/>
        <d v="1899-12-30T19:51:12"/>
        <d v="1899-12-30T19:58:13"/>
        <d v="1899-12-30T20:12:53"/>
        <d v="1899-12-30T20:37:29"/>
        <d v="1899-12-30T20:39:51"/>
        <d v="1899-12-30T20:43:19"/>
        <d v="1899-12-30T20:55:04"/>
        <d v="1899-12-30T21:46:41"/>
        <d v="1899-12-30T21:53:57"/>
        <d v="1899-12-30T22:18:23"/>
        <d v="1899-12-30T11:42:17"/>
        <d v="1899-12-30T11:52:33"/>
        <d v="1899-12-30T13:22:39"/>
        <d v="1899-12-30T13:27:45"/>
        <d v="1899-12-30T14:06:00"/>
        <d v="1899-12-30T14:17:07"/>
        <d v="1899-12-30T17:03:03"/>
        <d v="1899-12-30T17:04:28"/>
        <d v="1899-12-30T17:48:25"/>
        <d v="1899-12-30T17:58:46"/>
        <d v="1899-12-30T18:31:48"/>
        <d v="1899-12-30T18:35:39"/>
        <d v="1899-12-30T18:38:47"/>
        <d v="1899-12-30T18:41:14"/>
        <d v="1899-12-30T18:43:52"/>
        <d v="1899-12-30T18:45:05"/>
        <d v="1899-12-30T19:15:20"/>
        <d v="1899-12-30T20:08:13"/>
        <d v="1899-12-30T20:44:19"/>
        <d v="1899-12-30T21:08:50"/>
        <d v="1899-12-30T21:19:17"/>
        <d v="1899-12-30T21:30:10"/>
        <d v="1899-12-30T22:09:09"/>
        <d v="1899-12-30T22:17:01"/>
        <d v="1899-12-30T11:36:22"/>
        <d v="1899-12-30T12:46:39"/>
        <d v="1899-12-30T13:05:27"/>
        <d v="1899-12-30T13:30:00"/>
        <d v="1899-12-30T13:44:10"/>
        <d v="1899-12-30T13:45:01"/>
        <d v="1899-12-30T14:23:25"/>
        <d v="1899-12-30T14:30:06"/>
        <d v="1899-12-30T14:34:34"/>
        <d v="1899-12-30T14:49:59"/>
        <d v="1899-12-30T14:54:24"/>
        <d v="1899-12-30T15:54:05"/>
        <d v="1899-12-30T16:04:46"/>
        <d v="1899-12-30T16:09:09"/>
        <d v="1899-12-30T16:33:32"/>
        <d v="1899-12-30T16:58:59"/>
        <d v="1899-12-30T17:04:42"/>
        <d v="1899-12-30T17:05:40"/>
        <d v="1899-12-30T17:39:56"/>
        <d v="1899-12-30T18:28:49"/>
        <d v="1899-12-30T18:29:22"/>
        <d v="1899-12-30T18:40:35"/>
        <d v="1899-12-30T19:36:21"/>
        <d v="1899-12-30T19:58:11"/>
        <d v="1899-12-30T20:09:37"/>
        <d v="1899-12-30T20:21:04"/>
        <d v="1899-12-30T20:35:08"/>
        <d v="1899-12-30T21:05:18"/>
        <d v="1899-12-30T21:20:33"/>
        <d v="1899-12-30T21:32:30"/>
        <d v="1899-12-30T22:48:43"/>
        <d v="1899-12-30T12:01:58"/>
        <d v="1899-12-30T12:47:25"/>
        <d v="1899-12-30T13:46:36"/>
        <d v="1899-12-30T13:48:55"/>
        <d v="1899-12-30T13:59:39"/>
        <d v="1899-12-30T14:36:24"/>
        <d v="1899-12-30T15:18:42"/>
        <d v="1899-12-30T16:46:54"/>
        <d v="1899-12-30T16:48:34"/>
        <d v="1899-12-30T17:17:39"/>
        <d v="1899-12-30T17:19:02"/>
        <d v="1899-12-30T17:20:00"/>
        <d v="1899-12-30T17:21:25"/>
        <d v="1899-12-30T17:39:54"/>
        <d v="1899-12-30T17:47:01"/>
        <d v="1899-12-30T18:25:01"/>
        <d v="1899-12-30T20:28:56"/>
        <d v="1899-12-30T20:52:19"/>
        <d v="1899-12-30T21:07:36"/>
        <d v="1899-12-30T21:50:16"/>
        <d v="1899-12-30T22:00:05"/>
        <d v="1899-12-30T11:33:38"/>
        <d v="1899-12-30T12:11:47"/>
        <d v="1899-12-30T12:14:45"/>
        <d v="1899-12-30T12:23:48"/>
        <d v="1899-12-30T13:13:44"/>
        <d v="1899-12-30T13:33:16"/>
        <d v="1899-12-30T13:54:30"/>
        <d v="1899-12-30T14:04:26"/>
        <d v="1899-12-30T14:24:54"/>
        <d v="1899-12-30T14:32:07"/>
        <d v="1899-12-30T14:34:57"/>
        <d v="1899-12-30T14:36:51"/>
        <d v="1899-12-30T14:40:01"/>
        <d v="1899-12-30T15:20:15"/>
        <d v="1899-12-30T15:23:21"/>
        <d v="1899-12-30T16:27:07"/>
        <d v="1899-12-30T16:33:23"/>
        <d v="1899-12-30T17:17:13"/>
        <d v="1899-12-30T18:10:31"/>
        <d v="1899-12-30T18:32:23"/>
        <d v="1899-12-30T19:04:35"/>
        <d v="1899-12-30T19:42:25"/>
        <d v="1899-12-30T20:05:21"/>
        <d v="1899-12-30T20:35:07"/>
        <d v="1899-12-30T11:49:48"/>
        <d v="1899-12-30T12:38:38"/>
        <d v="1899-12-30T12:49:34"/>
        <d v="1899-12-30T13:17:21"/>
        <d v="1899-12-30T13:41:11"/>
        <d v="1899-12-30T13:42:39"/>
        <d v="1899-12-30T13:52:32"/>
        <d v="1899-12-30T14:19:50"/>
        <d v="1899-12-30T14:55:02"/>
        <d v="1899-12-30T15:04:07"/>
        <d v="1899-12-30T15:15:23"/>
        <d v="1899-12-30T16:34:47"/>
        <d v="1899-12-30T16:35:16"/>
        <d v="1899-12-30T16:36:00"/>
        <d v="1899-12-30T16:39:01"/>
        <d v="1899-12-30T16:49:41"/>
        <d v="1899-12-30T17:27:31"/>
        <d v="1899-12-30T18:10:25"/>
        <d v="1899-12-30T18:16:39"/>
        <d v="1899-12-30T18:34:54"/>
        <d v="1899-12-30T18:38:33"/>
        <d v="1899-12-30T21:03:20"/>
        <d v="1899-12-30T21:14:08"/>
        <d v="1899-12-30T21:56:35"/>
        <d v="1899-12-30T11:37:22"/>
        <d v="1899-12-30T11:41:55"/>
        <d v="1899-12-30T11:44:39"/>
        <d v="1899-12-30T11:52:27"/>
        <d v="1899-12-30T11:55:07"/>
        <d v="1899-12-30T12:26:46"/>
        <d v="1899-12-30T12:39:42"/>
        <d v="1899-12-30T12:40:21"/>
        <d v="1899-12-30T13:06:32"/>
        <d v="1899-12-30T13:26:46"/>
        <d v="1899-12-30T13:45:58"/>
        <d v="1899-12-30T14:53:02"/>
        <d v="1899-12-30T15:00:32"/>
        <d v="1899-12-30T15:08:52"/>
        <d v="1899-12-30T15:50:11"/>
        <d v="1899-12-30T15:56:56"/>
        <d v="1899-12-30T16:58:30"/>
        <d v="1899-12-30T18:00:16"/>
        <d v="1899-12-30T18:07:15"/>
        <d v="1899-12-30T18:27:10"/>
        <d v="1899-12-30T18:38:00"/>
        <d v="1899-12-30T19:00:33"/>
        <d v="1899-12-30T19:25:39"/>
        <d v="1899-12-30T19:33:34"/>
        <d v="1899-12-30T19:57:33"/>
        <d v="1899-12-30T20:11:12"/>
        <d v="1899-12-30T21:47:37"/>
        <d v="1899-12-30T22:24:09"/>
        <d v="1899-12-30T11:32:47"/>
        <d v="1899-12-30T11:39:44"/>
        <d v="1899-12-30T11:53:16"/>
        <d v="1899-12-30T11:59:09"/>
        <d v="1899-12-30T12:03:55"/>
        <d v="1899-12-30T12:05:51"/>
        <d v="1899-12-30T12:28:08"/>
        <d v="1899-12-30T12:41:47"/>
        <d v="1899-12-30T12:43:59"/>
        <d v="1899-12-30T13:11:15"/>
        <d v="1899-12-30T13:17:45"/>
        <d v="1899-12-30T13:22:31"/>
        <d v="1899-12-30T13:33:17"/>
        <d v="1899-12-30T14:03:15"/>
        <d v="1899-12-30T14:07:20"/>
        <d v="1899-12-30T14:52:04"/>
        <d v="1899-12-30T14:54:55"/>
        <d v="1899-12-30T15:46:01"/>
        <d v="1899-12-30T17:44:40"/>
        <d v="1899-12-30T17:47:05"/>
        <d v="1899-12-30T17:52:43"/>
        <d v="1899-12-30T17:54:15"/>
        <d v="1899-12-30T18:10:59"/>
        <d v="1899-12-30T18:31:39"/>
        <d v="1899-12-30T18:42:45"/>
        <d v="1899-12-30T19:07:01"/>
        <d v="1899-12-30T19:18:14"/>
        <d v="1899-12-30T19:59:15"/>
        <d v="1899-12-30T20:59:13"/>
        <d v="1899-12-30T11:21:44"/>
        <d v="1899-12-30T11:31:35"/>
        <d v="1899-12-30T12:24:05"/>
        <d v="1899-12-30T12:31:36"/>
        <d v="1899-12-30T12:50:43"/>
        <d v="1899-12-30T12:53:47"/>
        <d v="1899-12-30T12:55:36"/>
        <d v="1899-12-30T13:29:19"/>
        <d v="1899-12-30T14:09:10"/>
        <d v="1899-12-30T14:34:33"/>
        <d v="1899-12-30T14:43:27"/>
        <d v="1899-12-30T14:53:42"/>
        <d v="1899-12-30T15:19:52"/>
        <d v="1899-12-30T15:23:54"/>
        <d v="1899-12-30T15:46:34"/>
        <d v="1899-12-30T17:24:27"/>
        <d v="1899-12-30T17:35:12"/>
        <d v="1899-12-30T17:41:08"/>
        <d v="1899-12-30T17:56:39"/>
        <d v="1899-12-30T18:42:24"/>
        <d v="1899-12-30T18:58:09"/>
        <d v="1899-12-30T18:59:58"/>
        <d v="1899-12-30T19:03:39"/>
        <d v="1899-12-30T19:39:03"/>
        <d v="1899-12-30T19:54:59"/>
        <d v="1899-12-30T20:55:08"/>
        <d v="1899-12-30T21:01:27"/>
        <d v="1899-12-30T21:17:54"/>
        <d v="1899-12-30T21:27:01"/>
        <d v="1899-12-30T21:34:29"/>
        <d v="1899-12-30T21:53:15"/>
        <d v="1899-12-30T21:54:14"/>
        <d v="1899-12-30T22:11:05"/>
        <d v="1899-12-30T22:20:35"/>
        <d v="1899-12-30T22:56:16"/>
        <d v="1899-12-30T12:34:12"/>
        <d v="1899-12-30T13:13:06"/>
        <d v="1899-12-30T14:44:07"/>
        <d v="1899-12-30T14:56:46"/>
        <d v="1899-12-30T15:26:20"/>
        <d v="1899-12-30T16:12:47"/>
        <d v="1899-12-30T16:20:23"/>
        <d v="1899-12-30T16:31:04"/>
        <d v="1899-12-30T16:31:59"/>
        <d v="1899-12-30T16:32:51"/>
        <d v="1899-12-30T16:36:23"/>
        <d v="1899-12-30T17:09:17"/>
        <d v="1899-12-30T17:42:19"/>
        <d v="1899-12-30T18:07:29"/>
        <d v="1899-12-30T18:24:32"/>
        <d v="1899-12-30T19:18:48"/>
        <d v="1899-12-30T19:40:25"/>
        <d v="1899-12-30T20:11:37"/>
        <d v="1899-12-30T20:21:05"/>
        <d v="1899-12-30T21:11:16"/>
        <d v="1899-12-30T21:22:11"/>
        <d v="1899-12-30T21:31:59"/>
        <d v="1899-12-30T21:37:48"/>
        <d v="1899-12-30T22:02:27"/>
        <d v="1899-12-30T22:09:31"/>
        <d v="1899-12-30T22:19:02"/>
        <d v="1899-12-30T11:54:21"/>
        <d v="1899-12-30T12:53:09"/>
        <d v="1899-12-30T13:14:54"/>
        <d v="1899-12-30T13:43:22"/>
        <d v="1899-12-30T14:12:12"/>
        <d v="1899-12-30T15:05:17"/>
        <d v="1899-12-30T15:13:32"/>
        <d v="1899-12-30T16:20:13"/>
        <d v="1899-12-30T16:29:46"/>
        <d v="1899-12-30T17:04:33"/>
        <d v="1899-12-30T17:49:48"/>
        <d v="1899-12-30T18:01:17"/>
        <d v="1899-12-30T19:08:09"/>
        <d v="1899-12-30T19:31:39"/>
        <d v="1899-12-30T19:33:00"/>
        <d v="1899-12-30T20:28:41"/>
        <d v="1899-12-30T21:16:58"/>
        <d v="1899-12-30T21:28:04"/>
        <d v="1899-12-30T21:36:20"/>
        <d v="1899-12-30T21:36:49"/>
        <d v="1899-12-30T21:38:57"/>
        <d v="1899-12-30T22:39:26"/>
        <d v="1899-12-30T11:25:35"/>
        <d v="1899-12-30T12:05:04"/>
        <d v="1899-12-30T12:08:30"/>
        <d v="1899-12-30T12:52:07"/>
        <d v="1899-12-30T13:20:02"/>
        <d v="1899-12-30T14:12:46"/>
        <d v="1899-12-30T14:22:59"/>
        <d v="1899-12-30T15:30:15"/>
        <d v="1899-12-30T16:11:26"/>
        <d v="1899-12-30T16:16:00"/>
        <d v="1899-12-30T16:37:17"/>
        <d v="1899-12-30T18:02:55"/>
        <d v="1899-12-30T18:16:52"/>
        <d v="1899-12-30T18:34:06"/>
        <d v="1899-12-30T18:48:44"/>
        <d v="1899-12-30T18:54:26"/>
        <d v="1899-12-30T19:13:13"/>
        <d v="1899-12-30T19:41:10"/>
        <d v="1899-12-30T20:47:07"/>
        <d v="1899-12-30T21:18:14"/>
        <d v="1899-12-30T11:51:24"/>
        <d v="1899-12-30T12:27:55"/>
        <d v="1899-12-30T12:30:43"/>
        <d v="1899-12-30T12:43:06"/>
        <d v="1899-12-30T12:51:26"/>
        <d v="1899-12-30T13:16:20"/>
        <d v="1899-12-30T13:44:18"/>
        <d v="1899-12-30T14:03:56"/>
        <d v="1899-12-30T15:16:37"/>
        <d v="1899-12-30T15:27:29"/>
        <d v="1899-12-30T16:07:05"/>
        <d v="1899-12-30T16:28:52"/>
        <d v="1899-12-30T16:43:22"/>
        <d v="1899-12-30T17:27:01"/>
        <d v="1899-12-30T17:39:07"/>
        <d v="1899-12-30T18:35:05"/>
        <d v="1899-12-30T18:44:27"/>
        <d v="1899-12-30T18:45:29"/>
        <d v="1899-12-30T18:46:03"/>
        <d v="1899-12-30T19:31:18"/>
        <d v="1899-12-30T20:04:00"/>
        <d v="1899-12-30T20:08:28"/>
        <d v="1899-12-30T20:41:08"/>
        <d v="1899-12-30T21:07:14"/>
        <d v="1899-12-30T21:23:27"/>
        <d v="1899-12-30T21:53:18"/>
        <d v="1899-12-30T22:28:52"/>
        <d v="1899-12-30T11:44:20"/>
        <d v="1899-12-30T11:50:03"/>
        <d v="1899-12-30T11:50:33"/>
        <d v="1899-12-30T11:53:49"/>
        <d v="1899-12-30T12:16:31"/>
        <d v="1899-12-30T12:31:16"/>
        <d v="1899-12-30T12:42:45"/>
        <d v="1899-12-30T13:12:10"/>
        <d v="1899-12-30T13:33:59"/>
        <d v="1899-12-30T13:57:07"/>
        <d v="1899-12-30T14:50:44"/>
        <d v="1899-12-30T15:42:50"/>
        <d v="1899-12-30T15:47:32"/>
        <d v="1899-12-30T15:54:33"/>
        <d v="1899-12-30T16:14:02"/>
        <d v="1899-12-30T16:17:33"/>
        <d v="1899-12-30T16:40:17"/>
        <d v="1899-12-30T17:38:39"/>
        <d v="1899-12-30T17:42:21"/>
        <d v="1899-12-30T17:46:00"/>
        <d v="1899-12-30T17:55:52"/>
        <d v="1899-12-30T18:03:58"/>
        <d v="1899-12-30T18:14:06"/>
        <d v="1899-12-30T18:39:22"/>
        <d v="1899-12-30T19:23:42"/>
        <d v="1899-12-30T19:28:28"/>
        <d v="1899-12-30T19:30:37"/>
        <d v="1899-12-30T19:53:30"/>
        <d v="1899-12-30T21:33:56"/>
      </sharedItems>
      <fieldGroup par="15" base="7">
        <rangePr groupBy="seconds" startDate="1899-12-30T10:43:04" endDate="1899-12-30T23:02:35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unit_price" numFmtId="0">
      <sharedItems containsSemiMixedTypes="0" containsString="0" containsNumber="1" minValue="9.75" maxValue="35.950000000000003"/>
    </cacheField>
    <cacheField name="total_price" numFmtId="0">
      <sharedItems containsSemiMixedTypes="0" containsString="0" containsNumber="1" minValue="9.75" maxValue="51"/>
    </cacheField>
    <cacheField name="pizza_size" numFmtId="0">
      <sharedItems count="5">
        <s v="Medium"/>
        <s v="Regular"/>
        <s v="Large"/>
        <s v="X-Large"/>
        <s v="XX-Large"/>
      </sharedItems>
    </cacheField>
    <cacheField name="pizza_category" numFmtId="0">
      <sharedItems count="3">
        <s v="Classic"/>
        <s v="Veggie"/>
        <s v="Supreme"/>
      </sharedItems>
    </cacheField>
    <cacheField name="pizza_ingredients" numFmtId="0">
      <sharedItems/>
    </cacheField>
    <cacheField name="pizza_name" numFmtId="0">
      <sharedItems count="9">
        <s v="The Hawaiian Pizza"/>
        <s v="The Mexicana Pizza"/>
        <s v="The Greek Pizza"/>
        <s v="The Pepperoni Pizza"/>
        <s v="The Big Meat Pizza"/>
        <s v="The Napolitana Pizza"/>
        <s v="The Calabrese Pizza"/>
        <s v="The Sicilian Pizza"/>
        <s v="The Brie Carre Pizza"/>
      </sharedItems>
    </cacheField>
    <cacheField name="Minutes" numFmtId="0" databaseField="0">
      <fieldGroup base="7">
        <rangePr groupBy="minutes" startDate="1899-12-30T10:43:04" endDate="1899-12-30T23:02:35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" numFmtId="0" databaseField="0">
      <fieldGroup base="7">
        <rangePr groupBy="hours" startDate="1899-12-30T10:43:04" endDate="1899-12-30T23:02:35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 pivotCacheId="609527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61">
  <r>
    <n v="1"/>
    <n v="1"/>
    <n v="1"/>
    <s v="hawaiian_m"/>
    <n v="1"/>
    <x v="0"/>
    <x v="0"/>
    <x v="0"/>
    <n v="13.25"/>
    <n v="13.25"/>
    <x v="0"/>
    <x v="0"/>
    <s v="Sliced Ham, Pineapple, Mozzarella Cheese"/>
    <x v="0"/>
  </r>
  <r>
    <n v="5"/>
    <n v="2"/>
    <n v="1"/>
    <s v="mexicana_m"/>
    <n v="1"/>
    <x v="0"/>
    <x v="0"/>
    <x v="1"/>
    <n v="16"/>
    <n v="16"/>
    <x v="0"/>
    <x v="1"/>
    <s v="Tomatoes, Red Peppers, Jalapeno Peppers, Red Onions, Cilantro, Corn, Chipotle Sauce, Garlic"/>
    <x v="1"/>
  </r>
  <r>
    <n v="12"/>
    <n v="6"/>
    <n v="1"/>
    <s v="the_greek_s"/>
    <n v="1"/>
    <x v="0"/>
    <x v="0"/>
    <x v="2"/>
    <n v="12"/>
    <n v="12"/>
    <x v="1"/>
    <x v="0"/>
    <s v="Kalamata Olives, Feta Cheese, Tomatoes, Garlic, Beef Chuck Roast, Red Onions"/>
    <x v="2"/>
  </r>
  <r>
    <n v="20"/>
    <n v="9"/>
    <n v="1"/>
    <s v="mexicana_s"/>
    <n v="1"/>
    <x v="0"/>
    <x v="0"/>
    <x v="3"/>
    <n v="12"/>
    <n v="12"/>
    <x v="1"/>
    <x v="1"/>
    <s v="Tomatoes, Red Peppers, Jalapeno Peppers, Red Onions, Cilantro, Corn, Chipotle Sauce, Garlic"/>
    <x v="1"/>
  </r>
  <r>
    <n v="24"/>
    <n v="10"/>
    <n v="1"/>
    <s v="mexicana_l"/>
    <n v="1"/>
    <x v="0"/>
    <x v="0"/>
    <x v="4"/>
    <n v="20.25"/>
    <n v="20.25"/>
    <x v="2"/>
    <x v="1"/>
    <s v="Tomatoes, Red Peppers, Jalapeno Peppers, Red Onions, Cilantro, Corn, Chipotle Sauce, Garlic"/>
    <x v="1"/>
  </r>
  <r>
    <n v="29"/>
    <n v="11"/>
    <n v="1"/>
    <s v="pepperoni_l"/>
    <n v="1"/>
    <x v="0"/>
    <x v="0"/>
    <x v="5"/>
    <n v="15.25"/>
    <n v="15.25"/>
    <x v="2"/>
    <x v="0"/>
    <s v="Mozzarella Cheese, Pepperoni"/>
    <x v="3"/>
  </r>
  <r>
    <n v="34"/>
    <n v="13"/>
    <n v="1"/>
    <s v="mexicana_l"/>
    <n v="1"/>
    <x v="0"/>
    <x v="0"/>
    <x v="6"/>
    <n v="20.25"/>
    <n v="20.25"/>
    <x v="2"/>
    <x v="1"/>
    <s v="Tomatoes, Red Peppers, Jalapeno Peppers, Red Onions, Cilantro, Corn, Chipotle Sauce, Garlic"/>
    <x v="1"/>
  </r>
  <r>
    <n v="35"/>
    <n v="14"/>
    <n v="1"/>
    <s v="the_greek_s"/>
    <n v="1"/>
    <x v="0"/>
    <x v="0"/>
    <x v="7"/>
    <n v="12"/>
    <n v="12"/>
    <x v="1"/>
    <x v="0"/>
    <s v="Kalamata Olives, Feta Cheese, Tomatoes, Garlic, Beef Chuck Roast, Red Onions"/>
    <x v="2"/>
  </r>
  <r>
    <n v="36"/>
    <n v="15"/>
    <n v="0.5"/>
    <s v="big_meat_s"/>
    <n v="1"/>
    <x v="0"/>
    <x v="0"/>
    <x v="8"/>
    <n v="12"/>
    <n v="12"/>
    <x v="1"/>
    <x v="0"/>
    <s v="Bacon, Pepperoni, Italian Sausage, Chorizo Sausage"/>
    <x v="4"/>
  </r>
  <r>
    <n v="39"/>
    <n v="15"/>
    <n v="0.5"/>
    <s v="the_greek_s"/>
    <n v="1"/>
    <x v="0"/>
    <x v="0"/>
    <x v="8"/>
    <n v="12"/>
    <n v="12"/>
    <x v="1"/>
    <x v="0"/>
    <s v="Kalamata Olives, Feta Cheese, Tomatoes, Garlic, Beef Chuck Roast, Red Onions"/>
    <x v="2"/>
  </r>
  <r>
    <n v="41"/>
    <n v="16"/>
    <n v="1"/>
    <s v="napolitana_s"/>
    <n v="1"/>
    <x v="0"/>
    <x v="0"/>
    <x v="9"/>
    <n v="12"/>
    <n v="12"/>
    <x v="1"/>
    <x v="0"/>
    <s v="Tomatoes, Anchovies, Green Olives, Red Onions, Garlic"/>
    <x v="5"/>
  </r>
  <r>
    <n v="44"/>
    <n v="17"/>
    <n v="0.5"/>
    <s v="calabrese_m"/>
    <n v="1"/>
    <x v="0"/>
    <x v="0"/>
    <x v="10"/>
    <n v="16.25"/>
    <n v="16.25"/>
    <x v="0"/>
    <x v="2"/>
    <s v="?duja Salami, Pancetta, Tomatoes, Red Onions, Friggitello Peppers, Garlic"/>
    <x v="6"/>
  </r>
  <r>
    <n v="50"/>
    <n v="17"/>
    <n v="0.5"/>
    <s v="mexicana_l"/>
    <n v="1"/>
    <x v="0"/>
    <x v="0"/>
    <x v="10"/>
    <n v="20.25"/>
    <n v="20.25"/>
    <x v="2"/>
    <x v="1"/>
    <s v="Tomatoes, Red Peppers, Jalapeno Peppers, Red Onions, Cilantro, Corn, Chipotle Sauce, Garlic"/>
    <x v="1"/>
  </r>
  <r>
    <n v="53"/>
    <n v="18"/>
    <n v="1"/>
    <s v="napolitana_l"/>
    <n v="1"/>
    <x v="0"/>
    <x v="0"/>
    <x v="11"/>
    <n v="20.5"/>
    <n v="20.5"/>
    <x v="2"/>
    <x v="0"/>
    <s v="Tomatoes, Anchovies, Green Olives, Red Onions, Garlic"/>
    <x v="5"/>
  </r>
  <r>
    <n v="55"/>
    <n v="19"/>
    <n v="1"/>
    <s v="sicilian_l"/>
    <n v="1"/>
    <x v="0"/>
    <x v="0"/>
    <x v="12"/>
    <n v="20.25"/>
    <n v="20.25"/>
    <x v="2"/>
    <x v="2"/>
    <s v="Coarse Sicilian Salami, Tomatoes, Green Olives, Luganega Sausage, Onions, Garlic"/>
    <x v="7"/>
  </r>
  <r>
    <n v="56"/>
    <n v="20"/>
    <n v="1"/>
    <s v="big_meat_s"/>
    <n v="1"/>
    <x v="0"/>
    <x v="0"/>
    <x v="13"/>
    <n v="12"/>
    <n v="12"/>
    <x v="1"/>
    <x v="0"/>
    <s v="Bacon, Pepperoni, Italian Sausage, Chorizo Sausage"/>
    <x v="4"/>
  </r>
  <r>
    <n v="65"/>
    <n v="24"/>
    <n v="1"/>
    <s v="pepperoni_m"/>
    <n v="1"/>
    <x v="0"/>
    <x v="0"/>
    <x v="14"/>
    <n v="12.5"/>
    <n v="12.5"/>
    <x v="0"/>
    <x v="0"/>
    <s v="Mozzarella Cheese, Pepperoni"/>
    <x v="3"/>
  </r>
  <r>
    <n v="67"/>
    <n v="25"/>
    <n v="1"/>
    <s v="sicilian_m"/>
    <n v="1"/>
    <x v="0"/>
    <x v="0"/>
    <x v="15"/>
    <n v="16.25"/>
    <n v="16.25"/>
    <x v="0"/>
    <x v="2"/>
    <s v="Coarse Sicilian Salami, Tomatoes, Green Olives, Luganega Sausage, Onions, Garlic"/>
    <x v="7"/>
  </r>
  <r>
    <n v="77"/>
    <n v="31"/>
    <n v="0.5"/>
    <s v="mexicana_m"/>
    <n v="1"/>
    <x v="0"/>
    <x v="0"/>
    <x v="16"/>
    <n v="16"/>
    <n v="16"/>
    <x v="0"/>
    <x v="1"/>
    <s v="Tomatoes, Red Peppers, Jalapeno Peppers, Red Onions, Cilantro, Corn, Chipotle Sauce, Garlic"/>
    <x v="1"/>
  </r>
  <r>
    <n v="78"/>
    <n v="31"/>
    <n v="0.5"/>
    <s v="pepperoni_s"/>
    <n v="1"/>
    <x v="0"/>
    <x v="0"/>
    <x v="16"/>
    <n v="9.75"/>
    <n v="9.75"/>
    <x v="1"/>
    <x v="0"/>
    <s v="Mozzarella Cheese, Pepperoni"/>
    <x v="3"/>
  </r>
  <r>
    <n v="79"/>
    <n v="32"/>
    <n v="1"/>
    <s v="big_meat_s"/>
    <n v="1"/>
    <x v="0"/>
    <x v="0"/>
    <x v="17"/>
    <n v="12"/>
    <n v="12"/>
    <x v="1"/>
    <x v="0"/>
    <s v="Bacon, Pepperoni, Italian Sausage, Chorizo Sausage"/>
    <x v="4"/>
  </r>
  <r>
    <n v="85"/>
    <n v="34"/>
    <n v="1"/>
    <s v="the_greek_s"/>
    <n v="1"/>
    <x v="0"/>
    <x v="0"/>
    <x v="18"/>
    <n v="12"/>
    <n v="12"/>
    <x v="1"/>
    <x v="0"/>
    <s v="Kalamata Olives, Feta Cheese, Tomatoes, Garlic, Beef Chuck Roast, Red Onions"/>
    <x v="2"/>
  </r>
  <r>
    <n v="88"/>
    <n v="35"/>
    <n v="1"/>
    <s v="pepperoni_m"/>
    <n v="1"/>
    <x v="0"/>
    <x v="0"/>
    <x v="19"/>
    <n v="12.5"/>
    <n v="12.5"/>
    <x v="0"/>
    <x v="0"/>
    <s v="Mozzarella Cheese, Pepperoni"/>
    <x v="3"/>
  </r>
  <r>
    <n v="93"/>
    <n v="37"/>
    <n v="1"/>
    <s v="mexicana_l"/>
    <n v="1"/>
    <x v="0"/>
    <x v="0"/>
    <x v="20"/>
    <n v="20.25"/>
    <n v="20.25"/>
    <x v="2"/>
    <x v="1"/>
    <s v="Tomatoes, Red Peppers, Jalapeno Peppers, Red Onions, Cilantro, Corn, Chipotle Sauce, Garlic"/>
    <x v="1"/>
  </r>
  <r>
    <n v="94"/>
    <n v="38"/>
    <n v="1"/>
    <s v="hawaiian_s"/>
    <n v="1"/>
    <x v="0"/>
    <x v="0"/>
    <x v="21"/>
    <n v="10.5"/>
    <n v="10.5"/>
    <x v="1"/>
    <x v="0"/>
    <s v="Sliced Ham, Pineapple, Mozzarella Cheese"/>
    <x v="0"/>
  </r>
  <r>
    <n v="101"/>
    <n v="42"/>
    <n v="0.5"/>
    <s v="big_meat_s"/>
    <n v="1"/>
    <x v="0"/>
    <x v="0"/>
    <x v="22"/>
    <n v="12"/>
    <n v="12"/>
    <x v="1"/>
    <x v="0"/>
    <s v="Bacon, Pepperoni, Italian Sausage, Chorizo Sausage"/>
    <x v="4"/>
  </r>
  <r>
    <n v="103"/>
    <n v="42"/>
    <n v="0.5"/>
    <s v="mexicana_l"/>
    <n v="1"/>
    <x v="0"/>
    <x v="0"/>
    <x v="22"/>
    <n v="20.25"/>
    <n v="20.25"/>
    <x v="2"/>
    <x v="1"/>
    <s v="Tomatoes, Red Peppers, Jalapeno Peppers, Red Onions, Cilantro, Corn, Chipotle Sauce, Garlic"/>
    <x v="1"/>
  </r>
  <r>
    <n v="110"/>
    <n v="45"/>
    <n v="1"/>
    <s v="hawaiian_s"/>
    <n v="1"/>
    <x v="0"/>
    <x v="0"/>
    <x v="23"/>
    <n v="10.5"/>
    <n v="10.5"/>
    <x v="1"/>
    <x v="0"/>
    <s v="Sliced Ham, Pineapple, Mozzarella Cheese"/>
    <x v="0"/>
  </r>
  <r>
    <n v="121"/>
    <n v="49"/>
    <n v="1"/>
    <s v="sicilian_l"/>
    <n v="1"/>
    <x v="0"/>
    <x v="0"/>
    <x v="24"/>
    <n v="20.25"/>
    <n v="20.25"/>
    <x v="2"/>
    <x v="2"/>
    <s v="Coarse Sicilian Salami, Tomatoes, Green Olives, Luganega Sausage, Onions, Garlic"/>
    <x v="7"/>
  </r>
  <r>
    <n v="122"/>
    <n v="50"/>
    <n v="1"/>
    <s v="the_greek_xl"/>
    <n v="1"/>
    <x v="0"/>
    <x v="0"/>
    <x v="25"/>
    <n v="25.5"/>
    <n v="25.5"/>
    <x v="3"/>
    <x v="0"/>
    <s v="Kalamata Olives, Feta Cheese, Tomatoes, Garlic, Beef Chuck Roast, Red Onions"/>
    <x v="2"/>
  </r>
  <r>
    <n v="125"/>
    <n v="52"/>
    <n v="0.5"/>
    <s v="hawaiian_l"/>
    <n v="1"/>
    <x v="0"/>
    <x v="0"/>
    <x v="26"/>
    <n v="16.5"/>
    <n v="16.5"/>
    <x v="2"/>
    <x v="0"/>
    <s v="Sliced Ham, Pineapple, Mozzarella Cheese"/>
    <x v="0"/>
  </r>
  <r>
    <n v="126"/>
    <n v="52"/>
    <n v="0.5"/>
    <s v="mexicana_l"/>
    <n v="1"/>
    <x v="0"/>
    <x v="0"/>
    <x v="26"/>
    <n v="20.25"/>
    <n v="20.25"/>
    <x v="2"/>
    <x v="1"/>
    <s v="Tomatoes, Red Peppers, Jalapeno Peppers, Red Onions, Cilantro, Corn, Chipotle Sauce, Garlic"/>
    <x v="1"/>
  </r>
  <r>
    <n v="139"/>
    <n v="58"/>
    <n v="1"/>
    <s v="pepperoni_m"/>
    <n v="1"/>
    <x v="0"/>
    <x v="0"/>
    <x v="27"/>
    <n v="12.5"/>
    <n v="12.5"/>
    <x v="0"/>
    <x v="0"/>
    <s v="Mozzarella Cheese, Pepperoni"/>
    <x v="3"/>
  </r>
  <r>
    <n v="142"/>
    <n v="59"/>
    <n v="1"/>
    <s v="pepperoni_l"/>
    <n v="1"/>
    <x v="0"/>
    <x v="0"/>
    <x v="28"/>
    <n v="15.25"/>
    <n v="15.25"/>
    <x v="2"/>
    <x v="0"/>
    <s v="Mozzarella Cheese, Pepperoni"/>
    <x v="3"/>
  </r>
  <r>
    <n v="150"/>
    <n v="64"/>
    <n v="1"/>
    <s v="big_meat_s"/>
    <n v="1"/>
    <x v="0"/>
    <x v="0"/>
    <x v="29"/>
    <n v="12"/>
    <n v="12"/>
    <x v="1"/>
    <x v="0"/>
    <s v="Bacon, Pepperoni, Italian Sausage, Chorizo Sausage"/>
    <x v="4"/>
  </r>
  <r>
    <n v="152"/>
    <n v="65"/>
    <n v="1"/>
    <s v="sicilian_s"/>
    <n v="1"/>
    <x v="0"/>
    <x v="0"/>
    <x v="30"/>
    <n v="12.25"/>
    <n v="12.25"/>
    <x v="1"/>
    <x v="2"/>
    <s v="Coarse Sicilian Salami, Tomatoes, Green Olives, Luganega Sausage, Onions, Garlic"/>
    <x v="7"/>
  </r>
  <r>
    <n v="168"/>
    <n v="74"/>
    <n v="1"/>
    <s v="mexicana_l"/>
    <n v="1"/>
    <x v="1"/>
    <x v="1"/>
    <x v="31"/>
    <n v="20.25"/>
    <n v="20.25"/>
    <x v="2"/>
    <x v="1"/>
    <s v="Tomatoes, Red Peppers, Jalapeno Peppers, Red Onions, Cilantro, Corn, Chipotle Sauce, Garlic"/>
    <x v="1"/>
  </r>
  <r>
    <n v="173"/>
    <n v="75"/>
    <n v="1"/>
    <s v="napolitana_l"/>
    <n v="1"/>
    <x v="1"/>
    <x v="1"/>
    <x v="32"/>
    <n v="20.5"/>
    <n v="20.5"/>
    <x v="2"/>
    <x v="0"/>
    <s v="Tomatoes, Anchovies, Green Olives, Red Onions, Garlic"/>
    <x v="5"/>
  </r>
  <r>
    <n v="174"/>
    <n v="76"/>
    <n v="0.5"/>
    <s v="big_meat_s"/>
    <n v="1"/>
    <x v="1"/>
    <x v="1"/>
    <x v="33"/>
    <n v="12"/>
    <n v="12"/>
    <x v="1"/>
    <x v="0"/>
    <s v="Bacon, Pepperoni, Italian Sausage, Chorizo Sausage"/>
    <x v="4"/>
  </r>
  <r>
    <n v="175"/>
    <n v="76"/>
    <n v="0.5"/>
    <s v="hawaiian_l"/>
    <n v="1"/>
    <x v="1"/>
    <x v="1"/>
    <x v="33"/>
    <n v="16.5"/>
    <n v="16.5"/>
    <x v="2"/>
    <x v="0"/>
    <s v="Sliced Ham, Pineapple, Mozzarella Cheese"/>
    <x v="0"/>
  </r>
  <r>
    <n v="179"/>
    <n v="77"/>
    <n v="1"/>
    <s v="hawaiian_m"/>
    <n v="1"/>
    <x v="1"/>
    <x v="1"/>
    <x v="34"/>
    <n v="13.25"/>
    <n v="13.25"/>
    <x v="0"/>
    <x v="0"/>
    <s v="Sliced Ham, Pineapple, Mozzarella Cheese"/>
    <x v="0"/>
  </r>
  <r>
    <n v="180"/>
    <n v="78"/>
    <n v="1"/>
    <s v="big_meat_s"/>
    <n v="1"/>
    <x v="1"/>
    <x v="1"/>
    <x v="35"/>
    <n v="12"/>
    <n v="12"/>
    <x v="1"/>
    <x v="0"/>
    <s v="Bacon, Pepperoni, Italian Sausage, Chorizo Sausage"/>
    <x v="4"/>
  </r>
  <r>
    <n v="189"/>
    <n v="80"/>
    <n v="1"/>
    <s v="pepperoni_s"/>
    <n v="1"/>
    <x v="1"/>
    <x v="1"/>
    <x v="36"/>
    <n v="9.75"/>
    <n v="9.75"/>
    <x v="1"/>
    <x v="0"/>
    <s v="Mozzarella Cheese, Pepperoni"/>
    <x v="3"/>
  </r>
  <r>
    <n v="192"/>
    <n v="82"/>
    <n v="1"/>
    <s v="big_meat_s"/>
    <n v="1"/>
    <x v="1"/>
    <x v="1"/>
    <x v="37"/>
    <n v="12"/>
    <n v="12"/>
    <x v="1"/>
    <x v="0"/>
    <s v="Bacon, Pepperoni, Italian Sausage, Chorizo Sausage"/>
    <x v="4"/>
  </r>
  <r>
    <n v="197"/>
    <n v="84"/>
    <n v="1"/>
    <s v="pepperoni_l"/>
    <n v="1"/>
    <x v="1"/>
    <x v="1"/>
    <x v="38"/>
    <n v="15.25"/>
    <n v="15.25"/>
    <x v="2"/>
    <x v="0"/>
    <s v="Mozzarella Cheese, Pepperoni"/>
    <x v="3"/>
  </r>
  <r>
    <n v="201"/>
    <n v="85"/>
    <n v="1"/>
    <s v="the_greek_m"/>
    <n v="1"/>
    <x v="1"/>
    <x v="1"/>
    <x v="39"/>
    <n v="16"/>
    <n v="16"/>
    <x v="0"/>
    <x v="0"/>
    <s v="Kalamata Olives, Feta Cheese, Tomatoes, Garlic, Beef Chuck Roast, Red Onions"/>
    <x v="2"/>
  </r>
  <r>
    <n v="202"/>
    <n v="86"/>
    <n v="1"/>
    <s v="hawaiian_l"/>
    <n v="1"/>
    <x v="1"/>
    <x v="1"/>
    <x v="40"/>
    <n v="16.5"/>
    <n v="16.5"/>
    <x v="2"/>
    <x v="0"/>
    <s v="Sliced Ham, Pineapple, Mozzarella Cheese"/>
    <x v="0"/>
  </r>
  <r>
    <n v="204"/>
    <n v="87"/>
    <n v="1"/>
    <s v="mexicana_m"/>
    <n v="1"/>
    <x v="1"/>
    <x v="1"/>
    <x v="41"/>
    <n v="16"/>
    <n v="16"/>
    <x v="0"/>
    <x v="1"/>
    <s v="Tomatoes, Red Peppers, Jalapeno Peppers, Red Onions, Cilantro, Corn, Chipotle Sauce, Garlic"/>
    <x v="1"/>
  </r>
  <r>
    <n v="210"/>
    <n v="90"/>
    <n v="1"/>
    <s v="sicilian_l"/>
    <n v="1"/>
    <x v="1"/>
    <x v="1"/>
    <x v="42"/>
    <n v="20.25"/>
    <n v="20.25"/>
    <x v="2"/>
    <x v="2"/>
    <s v="Coarse Sicilian Salami, Tomatoes, Green Olives, Luganega Sausage, Onions, Garlic"/>
    <x v="7"/>
  </r>
  <r>
    <n v="214"/>
    <n v="91"/>
    <n v="1"/>
    <s v="pepperoni_s"/>
    <n v="1"/>
    <x v="1"/>
    <x v="1"/>
    <x v="43"/>
    <n v="9.75"/>
    <n v="9.75"/>
    <x v="1"/>
    <x v="0"/>
    <s v="Mozzarella Cheese, Pepperoni"/>
    <x v="3"/>
  </r>
  <r>
    <n v="219"/>
    <n v="92"/>
    <n v="0.5"/>
    <s v="pepperoni_m"/>
    <n v="1"/>
    <x v="1"/>
    <x v="1"/>
    <x v="44"/>
    <n v="12.5"/>
    <n v="12.5"/>
    <x v="0"/>
    <x v="0"/>
    <s v="Mozzarella Cheese, Pepperoni"/>
    <x v="3"/>
  </r>
  <r>
    <n v="223"/>
    <n v="92"/>
    <n v="0.5"/>
    <s v="the_greek_m"/>
    <n v="2"/>
    <x v="1"/>
    <x v="1"/>
    <x v="44"/>
    <n v="16"/>
    <n v="32"/>
    <x v="0"/>
    <x v="0"/>
    <s v="Kalamata Olives, Feta Cheese, Tomatoes, Garlic, Beef Chuck Roast, Red Onions"/>
    <x v="2"/>
  </r>
  <r>
    <n v="224"/>
    <n v="93"/>
    <n v="1"/>
    <s v="sicilian_m"/>
    <n v="1"/>
    <x v="1"/>
    <x v="1"/>
    <x v="45"/>
    <n v="16.25"/>
    <n v="16.25"/>
    <x v="0"/>
    <x v="2"/>
    <s v="Coarse Sicilian Salami, Tomatoes, Green Olives, Luganega Sausage, Onions, Garlic"/>
    <x v="7"/>
  </r>
  <r>
    <n v="227"/>
    <n v="95"/>
    <n v="1"/>
    <s v="napolitana_s"/>
    <n v="1"/>
    <x v="1"/>
    <x v="1"/>
    <x v="46"/>
    <n v="12"/>
    <n v="12"/>
    <x v="1"/>
    <x v="0"/>
    <s v="Tomatoes, Anchovies, Green Olives, Red Onions, Garlic"/>
    <x v="5"/>
  </r>
  <r>
    <n v="229"/>
    <n v="96"/>
    <n v="1"/>
    <s v="napolitana_s"/>
    <n v="1"/>
    <x v="1"/>
    <x v="1"/>
    <x v="47"/>
    <n v="12"/>
    <n v="12"/>
    <x v="1"/>
    <x v="0"/>
    <s v="Tomatoes, Anchovies, Green Olives, Red Onions, Garlic"/>
    <x v="5"/>
  </r>
  <r>
    <n v="230"/>
    <n v="97"/>
    <n v="1"/>
    <s v="big_meat_s"/>
    <n v="1"/>
    <x v="1"/>
    <x v="1"/>
    <x v="48"/>
    <n v="12"/>
    <n v="12"/>
    <x v="1"/>
    <x v="0"/>
    <s v="Bacon, Pepperoni, Italian Sausage, Chorizo Sausage"/>
    <x v="4"/>
  </r>
  <r>
    <n v="232"/>
    <n v="98"/>
    <n v="1"/>
    <s v="napolitana_l"/>
    <n v="1"/>
    <x v="1"/>
    <x v="1"/>
    <x v="49"/>
    <n v="20.5"/>
    <n v="20.5"/>
    <x v="2"/>
    <x v="0"/>
    <s v="Tomatoes, Anchovies, Green Olives, Red Onions, Garlic"/>
    <x v="5"/>
  </r>
  <r>
    <n v="234"/>
    <n v="100"/>
    <n v="1"/>
    <s v="hawaiian_l"/>
    <n v="1"/>
    <x v="1"/>
    <x v="1"/>
    <x v="50"/>
    <n v="16.5"/>
    <n v="16.5"/>
    <x v="2"/>
    <x v="0"/>
    <s v="Sliced Ham, Pineapple, Mozzarella Cheese"/>
    <x v="0"/>
  </r>
  <r>
    <n v="236"/>
    <n v="101"/>
    <n v="1"/>
    <s v="pepperoni_l"/>
    <n v="1"/>
    <x v="1"/>
    <x v="1"/>
    <x v="51"/>
    <n v="15.25"/>
    <n v="15.25"/>
    <x v="2"/>
    <x v="0"/>
    <s v="Mozzarella Cheese, Pepperoni"/>
    <x v="3"/>
  </r>
  <r>
    <n v="246"/>
    <n v="105"/>
    <n v="0.5"/>
    <s v="hawaiian_s"/>
    <n v="2"/>
    <x v="1"/>
    <x v="1"/>
    <x v="52"/>
    <n v="10.5"/>
    <n v="21"/>
    <x v="1"/>
    <x v="0"/>
    <s v="Sliced Ham, Pineapple, Mozzarella Cheese"/>
    <x v="0"/>
  </r>
  <r>
    <n v="247"/>
    <n v="105"/>
    <n v="0.5"/>
    <s v="pepperoni_l"/>
    <n v="1"/>
    <x v="1"/>
    <x v="1"/>
    <x v="52"/>
    <n v="15.25"/>
    <n v="15.25"/>
    <x v="2"/>
    <x v="0"/>
    <s v="Mozzarella Cheese, Pepperoni"/>
    <x v="3"/>
  </r>
  <r>
    <n v="249"/>
    <n v="106"/>
    <n v="1"/>
    <s v="mexicana_l"/>
    <n v="1"/>
    <x v="1"/>
    <x v="1"/>
    <x v="53"/>
    <n v="20.25"/>
    <n v="20.25"/>
    <x v="2"/>
    <x v="1"/>
    <s v="Tomatoes, Red Peppers, Jalapeno Peppers, Red Onions, Cilantro, Corn, Chipotle Sauce, Garlic"/>
    <x v="1"/>
  </r>
  <r>
    <n v="256"/>
    <n v="108"/>
    <n v="1"/>
    <s v="hawaiian_l"/>
    <n v="1"/>
    <x v="1"/>
    <x v="1"/>
    <x v="54"/>
    <n v="16.5"/>
    <n v="16.5"/>
    <x v="2"/>
    <x v="0"/>
    <s v="Sliced Ham, Pineapple, Mozzarella Cheese"/>
    <x v="0"/>
  </r>
  <r>
    <n v="260"/>
    <n v="109"/>
    <n v="1"/>
    <s v="pepperoni_m"/>
    <n v="1"/>
    <x v="1"/>
    <x v="1"/>
    <x v="55"/>
    <n v="12.5"/>
    <n v="12.5"/>
    <x v="0"/>
    <x v="0"/>
    <s v="Mozzarella Cheese, Pepperoni"/>
    <x v="3"/>
  </r>
  <r>
    <n v="262"/>
    <n v="110"/>
    <n v="0.5"/>
    <s v="big_meat_s"/>
    <n v="1"/>
    <x v="1"/>
    <x v="1"/>
    <x v="56"/>
    <n v="12"/>
    <n v="12"/>
    <x v="1"/>
    <x v="0"/>
    <s v="Bacon, Pepperoni, Italian Sausage, Chorizo Sausage"/>
    <x v="4"/>
  </r>
  <r>
    <n v="263"/>
    <n v="110"/>
    <n v="0.5"/>
    <s v="napolitana_l"/>
    <n v="1"/>
    <x v="1"/>
    <x v="1"/>
    <x v="56"/>
    <n v="20.5"/>
    <n v="20.5"/>
    <x v="2"/>
    <x v="0"/>
    <s v="Tomatoes, Anchovies, Green Olives, Red Onions, Garlic"/>
    <x v="5"/>
  </r>
  <r>
    <n v="268"/>
    <n v="111"/>
    <n v="1"/>
    <s v="pepperoni_m"/>
    <n v="1"/>
    <x v="1"/>
    <x v="1"/>
    <x v="57"/>
    <n v="12.5"/>
    <n v="12.5"/>
    <x v="0"/>
    <x v="0"/>
    <s v="Mozzarella Cheese, Pepperoni"/>
    <x v="3"/>
  </r>
  <r>
    <n v="270"/>
    <n v="112"/>
    <n v="1"/>
    <s v="pepperoni_s"/>
    <n v="1"/>
    <x v="1"/>
    <x v="1"/>
    <x v="58"/>
    <n v="9.75"/>
    <n v="9.75"/>
    <x v="1"/>
    <x v="0"/>
    <s v="Mozzarella Cheese, Pepperoni"/>
    <x v="3"/>
  </r>
  <r>
    <n v="272"/>
    <n v="113"/>
    <n v="1"/>
    <s v="mexicana_l"/>
    <n v="1"/>
    <x v="1"/>
    <x v="1"/>
    <x v="59"/>
    <n v="20.25"/>
    <n v="20.25"/>
    <x v="2"/>
    <x v="1"/>
    <s v="Tomatoes, Red Peppers, Jalapeno Peppers, Red Onions, Cilantro, Corn, Chipotle Sauce, Garlic"/>
    <x v="1"/>
  </r>
  <r>
    <n v="274"/>
    <n v="114"/>
    <n v="0.5"/>
    <s v="pepperoni_l"/>
    <n v="1"/>
    <x v="1"/>
    <x v="1"/>
    <x v="60"/>
    <n v="15.25"/>
    <n v="15.25"/>
    <x v="2"/>
    <x v="0"/>
    <s v="Mozzarella Cheese, Pepperoni"/>
    <x v="3"/>
  </r>
  <r>
    <n v="275"/>
    <n v="114"/>
    <n v="0.5"/>
    <s v="sicilian_s"/>
    <n v="1"/>
    <x v="1"/>
    <x v="1"/>
    <x v="60"/>
    <n v="12.25"/>
    <n v="12.25"/>
    <x v="1"/>
    <x v="2"/>
    <s v="Coarse Sicilian Salami, Tomatoes, Green Olives, Luganega Sausage, Onions, Garlic"/>
    <x v="7"/>
  </r>
  <r>
    <n v="276"/>
    <n v="115"/>
    <n v="0.5"/>
    <s v="big_meat_s"/>
    <n v="1"/>
    <x v="1"/>
    <x v="1"/>
    <x v="61"/>
    <n v="12"/>
    <n v="12"/>
    <x v="1"/>
    <x v="0"/>
    <s v="Bacon, Pepperoni, Italian Sausage, Chorizo Sausage"/>
    <x v="4"/>
  </r>
  <r>
    <n v="277"/>
    <n v="115"/>
    <n v="0.5"/>
    <s v="napolitana_l"/>
    <n v="1"/>
    <x v="1"/>
    <x v="1"/>
    <x v="61"/>
    <n v="20.5"/>
    <n v="20.5"/>
    <x v="2"/>
    <x v="0"/>
    <s v="Tomatoes, Anchovies, Green Olives, Red Onions, Garlic"/>
    <x v="5"/>
  </r>
  <r>
    <n v="281"/>
    <n v="117"/>
    <n v="1"/>
    <s v="sicilian_l"/>
    <n v="1"/>
    <x v="1"/>
    <x v="1"/>
    <x v="62"/>
    <n v="20.25"/>
    <n v="20.25"/>
    <x v="2"/>
    <x v="2"/>
    <s v="Coarse Sicilian Salami, Tomatoes, Green Olives, Luganega Sausage, Onions, Garlic"/>
    <x v="7"/>
  </r>
  <r>
    <n v="286"/>
    <n v="120"/>
    <n v="1"/>
    <s v="hawaiian_s"/>
    <n v="1"/>
    <x v="1"/>
    <x v="1"/>
    <x v="63"/>
    <n v="10.5"/>
    <n v="10.5"/>
    <x v="1"/>
    <x v="0"/>
    <s v="Sliced Ham, Pineapple, Mozzarella Cheese"/>
    <x v="0"/>
  </r>
  <r>
    <n v="290"/>
    <n v="121"/>
    <n v="1"/>
    <s v="sicilian_l"/>
    <n v="1"/>
    <x v="1"/>
    <x v="1"/>
    <x v="64"/>
    <n v="20.25"/>
    <n v="20.25"/>
    <x v="2"/>
    <x v="2"/>
    <s v="Coarse Sicilian Salami, Tomatoes, Green Olives, Luganega Sausage, Onions, Garlic"/>
    <x v="7"/>
  </r>
  <r>
    <n v="295"/>
    <n v="124"/>
    <n v="0.5"/>
    <s v="sicilian_l"/>
    <n v="1"/>
    <x v="1"/>
    <x v="1"/>
    <x v="65"/>
    <n v="20.25"/>
    <n v="20.25"/>
    <x v="2"/>
    <x v="2"/>
    <s v="Coarse Sicilian Salami, Tomatoes, Green Olives, Luganega Sausage, Onions, Garlic"/>
    <x v="7"/>
  </r>
  <r>
    <n v="297"/>
    <n v="124"/>
    <n v="0.5"/>
    <s v="the_greek_s"/>
    <n v="1"/>
    <x v="1"/>
    <x v="1"/>
    <x v="65"/>
    <n v="12"/>
    <n v="12"/>
    <x v="1"/>
    <x v="0"/>
    <s v="Kalamata Olives, Feta Cheese, Tomatoes, Garlic, Beef Chuck Roast, Red Onions"/>
    <x v="2"/>
  </r>
  <r>
    <n v="298"/>
    <n v="125"/>
    <n v="1"/>
    <s v="the_greek_xl"/>
    <n v="1"/>
    <x v="1"/>
    <x v="1"/>
    <x v="66"/>
    <n v="25.5"/>
    <n v="25.5"/>
    <x v="3"/>
    <x v="0"/>
    <s v="Kalamata Olives, Feta Cheese, Tomatoes, Garlic, Beef Chuck Roast, Red Onions"/>
    <x v="2"/>
  </r>
  <r>
    <n v="300"/>
    <n v="127"/>
    <n v="1"/>
    <s v="pepperoni_m"/>
    <n v="1"/>
    <x v="1"/>
    <x v="1"/>
    <x v="67"/>
    <n v="12.5"/>
    <n v="12.5"/>
    <x v="0"/>
    <x v="0"/>
    <s v="Mozzarella Cheese, Pepperoni"/>
    <x v="3"/>
  </r>
  <r>
    <n v="302"/>
    <n v="129"/>
    <n v="0.5"/>
    <s v="big_meat_s"/>
    <n v="1"/>
    <x v="1"/>
    <x v="1"/>
    <x v="68"/>
    <n v="12"/>
    <n v="12"/>
    <x v="1"/>
    <x v="0"/>
    <s v="Bacon, Pepperoni, Italian Sausage, Chorizo Sausage"/>
    <x v="4"/>
  </r>
  <r>
    <n v="303"/>
    <n v="129"/>
    <n v="0.5"/>
    <s v="the_greek_m"/>
    <n v="1"/>
    <x v="1"/>
    <x v="1"/>
    <x v="68"/>
    <n v="16"/>
    <n v="16"/>
    <x v="0"/>
    <x v="0"/>
    <s v="Kalamata Olives, Feta Cheese, Tomatoes, Garlic, Beef Chuck Roast, Red Onions"/>
    <x v="2"/>
  </r>
  <r>
    <n v="304"/>
    <n v="130"/>
    <n v="0.5"/>
    <s v="hawaiian_s"/>
    <n v="1"/>
    <x v="1"/>
    <x v="1"/>
    <x v="69"/>
    <n v="10.5"/>
    <n v="10.5"/>
    <x v="1"/>
    <x v="0"/>
    <s v="Sliced Ham, Pineapple, Mozzarella Cheese"/>
    <x v="0"/>
  </r>
  <r>
    <n v="306"/>
    <n v="130"/>
    <n v="0.5"/>
    <s v="mexicana_m"/>
    <n v="1"/>
    <x v="1"/>
    <x v="1"/>
    <x v="69"/>
    <n v="16"/>
    <n v="16"/>
    <x v="0"/>
    <x v="1"/>
    <s v="Tomatoes, Red Peppers, Jalapeno Peppers, Red Onions, Cilantro, Corn, Chipotle Sauce, Garlic"/>
    <x v="1"/>
  </r>
  <r>
    <n v="312"/>
    <n v="132"/>
    <n v="1"/>
    <s v="pepperoni_s"/>
    <n v="1"/>
    <x v="1"/>
    <x v="1"/>
    <x v="70"/>
    <n v="9.75"/>
    <n v="9.75"/>
    <x v="1"/>
    <x v="0"/>
    <s v="Mozzarella Cheese, Pepperoni"/>
    <x v="3"/>
  </r>
  <r>
    <n v="314"/>
    <n v="133"/>
    <n v="0.5"/>
    <s v="hawaiian_l"/>
    <n v="1"/>
    <x v="1"/>
    <x v="1"/>
    <x v="71"/>
    <n v="16.5"/>
    <n v="16.5"/>
    <x v="2"/>
    <x v="0"/>
    <s v="Sliced Ham, Pineapple, Mozzarella Cheese"/>
    <x v="0"/>
  </r>
  <r>
    <n v="315"/>
    <n v="133"/>
    <n v="0.5"/>
    <s v="the_greek_s"/>
    <n v="1"/>
    <x v="1"/>
    <x v="1"/>
    <x v="71"/>
    <n v="12"/>
    <n v="12"/>
    <x v="1"/>
    <x v="0"/>
    <s v="Kalamata Olives, Feta Cheese, Tomatoes, Garlic, Beef Chuck Roast, Red Onions"/>
    <x v="2"/>
  </r>
  <r>
    <n v="316"/>
    <n v="134"/>
    <n v="1"/>
    <s v="big_meat_s"/>
    <n v="1"/>
    <x v="1"/>
    <x v="1"/>
    <x v="72"/>
    <n v="12"/>
    <n v="12"/>
    <x v="1"/>
    <x v="0"/>
    <s v="Bacon, Pepperoni, Italian Sausage, Chorizo Sausage"/>
    <x v="4"/>
  </r>
  <r>
    <n v="323"/>
    <n v="137"/>
    <n v="1"/>
    <s v="pepperoni_s"/>
    <n v="1"/>
    <x v="2"/>
    <x v="1"/>
    <x v="73"/>
    <n v="9.75"/>
    <n v="9.75"/>
    <x v="1"/>
    <x v="0"/>
    <s v="Mozzarella Cheese, Pepperoni"/>
    <x v="3"/>
  </r>
  <r>
    <n v="328"/>
    <n v="138"/>
    <n v="1"/>
    <s v="sicilian_m"/>
    <n v="1"/>
    <x v="2"/>
    <x v="1"/>
    <x v="74"/>
    <n v="16.25"/>
    <n v="16.25"/>
    <x v="0"/>
    <x v="2"/>
    <s v="Coarse Sicilian Salami, Tomatoes, Green Olives, Luganega Sausage, Onions, Garlic"/>
    <x v="7"/>
  </r>
  <r>
    <n v="336"/>
    <n v="143"/>
    <n v="0.33333333333333331"/>
    <s v="hawaiian_l"/>
    <n v="1"/>
    <x v="2"/>
    <x v="1"/>
    <x v="75"/>
    <n v="16.5"/>
    <n v="16.5"/>
    <x v="2"/>
    <x v="0"/>
    <s v="Sliced Ham, Pineapple, Mozzarella Cheese"/>
    <x v="0"/>
  </r>
  <r>
    <n v="337"/>
    <n v="143"/>
    <n v="0.33333333333333331"/>
    <s v="mexicana_m"/>
    <n v="1"/>
    <x v="2"/>
    <x v="1"/>
    <x v="75"/>
    <n v="16"/>
    <n v="16"/>
    <x v="0"/>
    <x v="1"/>
    <s v="Tomatoes, Red Peppers, Jalapeno Peppers, Red Onions, Cilantro, Corn, Chipotle Sauce, Garlic"/>
    <x v="1"/>
  </r>
  <r>
    <n v="338"/>
    <n v="143"/>
    <n v="0.33333333333333331"/>
    <s v="pepperoni_l"/>
    <n v="1"/>
    <x v="2"/>
    <x v="1"/>
    <x v="75"/>
    <n v="15.25"/>
    <n v="15.25"/>
    <x v="2"/>
    <x v="0"/>
    <s v="Mozzarella Cheese, Pepperoni"/>
    <x v="3"/>
  </r>
  <r>
    <n v="343"/>
    <n v="144"/>
    <n v="1"/>
    <s v="big_meat_s"/>
    <n v="1"/>
    <x v="2"/>
    <x v="1"/>
    <x v="76"/>
    <n v="12"/>
    <n v="12"/>
    <x v="1"/>
    <x v="0"/>
    <s v="Bacon, Pepperoni, Italian Sausage, Chorizo Sausage"/>
    <x v="4"/>
  </r>
  <r>
    <n v="354"/>
    <n v="145"/>
    <n v="1"/>
    <s v="the_greek_s"/>
    <n v="1"/>
    <x v="2"/>
    <x v="1"/>
    <x v="77"/>
    <n v="12"/>
    <n v="12"/>
    <x v="1"/>
    <x v="0"/>
    <s v="Kalamata Olives, Feta Cheese, Tomatoes, Garlic, Beef Chuck Roast, Red Onions"/>
    <x v="2"/>
  </r>
  <r>
    <n v="357"/>
    <n v="146"/>
    <n v="1"/>
    <s v="hawaiian_m"/>
    <n v="1"/>
    <x v="2"/>
    <x v="1"/>
    <x v="78"/>
    <n v="13.25"/>
    <n v="13.25"/>
    <x v="0"/>
    <x v="0"/>
    <s v="Sliced Ham, Pineapple, Mozzarella Cheese"/>
    <x v="0"/>
  </r>
  <r>
    <n v="358"/>
    <n v="147"/>
    <n v="1"/>
    <s v="the_greek_xl"/>
    <n v="1"/>
    <x v="2"/>
    <x v="1"/>
    <x v="79"/>
    <n v="25.5"/>
    <n v="25.5"/>
    <x v="3"/>
    <x v="0"/>
    <s v="Kalamata Olives, Feta Cheese, Tomatoes, Garlic, Beef Chuck Roast, Red Onions"/>
    <x v="2"/>
  </r>
  <r>
    <n v="361"/>
    <n v="150"/>
    <n v="1"/>
    <s v="pepperoni_m"/>
    <n v="1"/>
    <x v="2"/>
    <x v="1"/>
    <x v="80"/>
    <n v="12.5"/>
    <n v="12.5"/>
    <x v="0"/>
    <x v="0"/>
    <s v="Mozzarella Cheese, Pepperoni"/>
    <x v="3"/>
  </r>
  <r>
    <n v="364"/>
    <n v="152"/>
    <n v="0.5"/>
    <s v="hawaiian_s"/>
    <n v="1"/>
    <x v="2"/>
    <x v="1"/>
    <x v="81"/>
    <n v="10.5"/>
    <n v="10.5"/>
    <x v="1"/>
    <x v="0"/>
    <s v="Sliced Ham, Pineapple, Mozzarella Cheese"/>
    <x v="0"/>
  </r>
  <r>
    <n v="367"/>
    <n v="152"/>
    <n v="0.5"/>
    <s v="the_greek_m"/>
    <n v="1"/>
    <x v="2"/>
    <x v="1"/>
    <x v="81"/>
    <n v="16"/>
    <n v="16"/>
    <x v="0"/>
    <x v="0"/>
    <s v="Kalamata Olives, Feta Cheese, Tomatoes, Garlic, Beef Chuck Roast, Red Onions"/>
    <x v="2"/>
  </r>
  <r>
    <n v="368"/>
    <n v="153"/>
    <n v="1"/>
    <s v="mexicana_m"/>
    <n v="1"/>
    <x v="2"/>
    <x v="1"/>
    <x v="82"/>
    <n v="16"/>
    <n v="16"/>
    <x v="0"/>
    <x v="1"/>
    <s v="Tomatoes, Red Peppers, Jalapeno Peppers, Red Onions, Cilantro, Corn, Chipotle Sauce, Garlic"/>
    <x v="1"/>
  </r>
  <r>
    <n v="371"/>
    <n v="155"/>
    <n v="0.5"/>
    <s v="napolitana_l"/>
    <n v="1"/>
    <x v="2"/>
    <x v="1"/>
    <x v="83"/>
    <n v="20.5"/>
    <n v="20.5"/>
    <x v="2"/>
    <x v="0"/>
    <s v="Tomatoes, Anchovies, Green Olives, Red Onions, Garlic"/>
    <x v="5"/>
  </r>
  <r>
    <n v="372"/>
    <n v="155"/>
    <n v="0.5"/>
    <s v="pepperoni_l"/>
    <n v="1"/>
    <x v="2"/>
    <x v="1"/>
    <x v="83"/>
    <n v="15.25"/>
    <n v="15.25"/>
    <x v="2"/>
    <x v="0"/>
    <s v="Mozzarella Cheese, Pepperoni"/>
    <x v="3"/>
  </r>
  <r>
    <n v="374"/>
    <n v="156"/>
    <n v="1"/>
    <s v="napolitana_m"/>
    <n v="1"/>
    <x v="2"/>
    <x v="1"/>
    <x v="84"/>
    <n v="16"/>
    <n v="16"/>
    <x v="0"/>
    <x v="0"/>
    <s v="Tomatoes, Anchovies, Green Olives, Red Onions, Garlic"/>
    <x v="5"/>
  </r>
  <r>
    <n v="378"/>
    <n v="157"/>
    <n v="1"/>
    <s v="sicilian_m"/>
    <n v="1"/>
    <x v="2"/>
    <x v="1"/>
    <x v="85"/>
    <n v="16.25"/>
    <n v="16.25"/>
    <x v="0"/>
    <x v="2"/>
    <s v="Coarse Sicilian Salami, Tomatoes, Green Olives, Luganega Sausage, Onions, Garlic"/>
    <x v="7"/>
  </r>
  <r>
    <n v="385"/>
    <n v="161"/>
    <n v="0.5"/>
    <s v="hawaiian_s"/>
    <n v="1"/>
    <x v="2"/>
    <x v="1"/>
    <x v="86"/>
    <n v="10.5"/>
    <n v="10.5"/>
    <x v="1"/>
    <x v="0"/>
    <s v="Sliced Ham, Pineapple, Mozzarella Cheese"/>
    <x v="0"/>
  </r>
  <r>
    <n v="387"/>
    <n v="161"/>
    <n v="0.5"/>
    <s v="the_greek_xl"/>
    <n v="1"/>
    <x v="2"/>
    <x v="1"/>
    <x v="86"/>
    <n v="25.5"/>
    <n v="25.5"/>
    <x v="3"/>
    <x v="0"/>
    <s v="Kalamata Olives, Feta Cheese, Tomatoes, Garlic, Beef Chuck Roast, Red Onions"/>
    <x v="2"/>
  </r>
  <r>
    <n v="388"/>
    <n v="162"/>
    <n v="1"/>
    <s v="big_meat_s"/>
    <n v="1"/>
    <x v="2"/>
    <x v="1"/>
    <x v="87"/>
    <n v="12"/>
    <n v="12"/>
    <x v="1"/>
    <x v="0"/>
    <s v="Bacon, Pepperoni, Italian Sausage, Chorizo Sausage"/>
    <x v="4"/>
  </r>
  <r>
    <n v="389"/>
    <n v="163"/>
    <n v="0.33333333333333331"/>
    <s v="hawaiian_m"/>
    <n v="1"/>
    <x v="2"/>
    <x v="1"/>
    <x v="88"/>
    <n v="13.25"/>
    <n v="13.25"/>
    <x v="0"/>
    <x v="0"/>
    <s v="Sliced Ham, Pineapple, Mozzarella Cheese"/>
    <x v="0"/>
  </r>
  <r>
    <n v="390"/>
    <n v="163"/>
    <n v="0.33333333333333331"/>
    <s v="pepperoni_l"/>
    <n v="1"/>
    <x v="2"/>
    <x v="1"/>
    <x v="88"/>
    <n v="15.25"/>
    <n v="15.25"/>
    <x v="2"/>
    <x v="0"/>
    <s v="Mozzarella Cheese, Pepperoni"/>
    <x v="3"/>
  </r>
  <r>
    <n v="391"/>
    <n v="163"/>
    <n v="0.33333333333333331"/>
    <s v="the_greek_m"/>
    <n v="1"/>
    <x v="2"/>
    <x v="1"/>
    <x v="88"/>
    <n v="16"/>
    <n v="16"/>
    <x v="0"/>
    <x v="0"/>
    <s v="Kalamata Olives, Feta Cheese, Tomatoes, Garlic, Beef Chuck Roast, Red Onions"/>
    <x v="2"/>
  </r>
  <r>
    <n v="393"/>
    <n v="164"/>
    <n v="1"/>
    <s v="pepperoni_m"/>
    <n v="1"/>
    <x v="2"/>
    <x v="1"/>
    <x v="89"/>
    <n v="12.5"/>
    <n v="12.5"/>
    <x v="0"/>
    <x v="0"/>
    <s v="Mozzarella Cheese, Pepperoni"/>
    <x v="3"/>
  </r>
  <r>
    <n v="398"/>
    <n v="167"/>
    <n v="1"/>
    <s v="pepperoni_m"/>
    <n v="1"/>
    <x v="2"/>
    <x v="1"/>
    <x v="90"/>
    <n v="12.5"/>
    <n v="12.5"/>
    <x v="0"/>
    <x v="0"/>
    <s v="Mozzarella Cheese, Pepperoni"/>
    <x v="3"/>
  </r>
  <r>
    <n v="399"/>
    <n v="168"/>
    <n v="1"/>
    <s v="big_meat_s"/>
    <n v="1"/>
    <x v="2"/>
    <x v="1"/>
    <x v="91"/>
    <n v="12"/>
    <n v="12"/>
    <x v="1"/>
    <x v="0"/>
    <s v="Bacon, Pepperoni, Italian Sausage, Chorizo Sausage"/>
    <x v="4"/>
  </r>
  <r>
    <n v="403"/>
    <n v="169"/>
    <n v="1"/>
    <s v="sicilian_m"/>
    <n v="1"/>
    <x v="2"/>
    <x v="1"/>
    <x v="92"/>
    <n v="16.25"/>
    <n v="16.25"/>
    <x v="0"/>
    <x v="2"/>
    <s v="Coarse Sicilian Salami, Tomatoes, Green Olives, Luganega Sausage, Onions, Garlic"/>
    <x v="7"/>
  </r>
  <r>
    <n v="404"/>
    <n v="170"/>
    <n v="1"/>
    <s v="hawaiian_l"/>
    <n v="1"/>
    <x v="2"/>
    <x v="1"/>
    <x v="93"/>
    <n v="16.5"/>
    <n v="16.5"/>
    <x v="2"/>
    <x v="0"/>
    <s v="Sliced Ham, Pineapple, Mozzarella Cheese"/>
    <x v="0"/>
  </r>
  <r>
    <n v="405"/>
    <n v="171"/>
    <n v="1"/>
    <s v="napolitana_m"/>
    <n v="1"/>
    <x v="2"/>
    <x v="1"/>
    <x v="94"/>
    <n v="16"/>
    <n v="16"/>
    <x v="0"/>
    <x v="0"/>
    <s v="Tomatoes, Anchovies, Green Olives, Red Onions, Garlic"/>
    <x v="5"/>
  </r>
  <r>
    <n v="406"/>
    <n v="172"/>
    <n v="1"/>
    <s v="napolitana_s"/>
    <n v="1"/>
    <x v="2"/>
    <x v="1"/>
    <x v="95"/>
    <n v="12"/>
    <n v="12"/>
    <x v="1"/>
    <x v="0"/>
    <s v="Tomatoes, Anchovies, Green Olives, Red Onions, Garlic"/>
    <x v="5"/>
  </r>
  <r>
    <n v="412"/>
    <n v="174"/>
    <n v="1"/>
    <s v="big_meat_s"/>
    <n v="1"/>
    <x v="2"/>
    <x v="1"/>
    <x v="96"/>
    <n v="12"/>
    <n v="12"/>
    <x v="1"/>
    <x v="0"/>
    <s v="Bacon, Pepperoni, Italian Sausage, Chorizo Sausage"/>
    <x v="4"/>
  </r>
  <r>
    <n v="419"/>
    <n v="177"/>
    <n v="1"/>
    <s v="napolitana_s"/>
    <n v="1"/>
    <x v="2"/>
    <x v="1"/>
    <x v="97"/>
    <n v="12"/>
    <n v="12"/>
    <x v="1"/>
    <x v="0"/>
    <s v="Tomatoes, Anchovies, Green Olives, Red Onions, Garlic"/>
    <x v="5"/>
  </r>
  <r>
    <n v="422"/>
    <n v="179"/>
    <n v="0.5"/>
    <s v="hawaiian_l"/>
    <n v="1"/>
    <x v="2"/>
    <x v="1"/>
    <x v="98"/>
    <n v="16.5"/>
    <n v="16.5"/>
    <x v="2"/>
    <x v="0"/>
    <s v="Sliced Ham, Pineapple, Mozzarella Cheese"/>
    <x v="0"/>
  </r>
  <r>
    <n v="423"/>
    <n v="179"/>
    <n v="0.5"/>
    <s v="sicilian_m"/>
    <n v="1"/>
    <x v="2"/>
    <x v="1"/>
    <x v="98"/>
    <n v="16.25"/>
    <n v="16.25"/>
    <x v="0"/>
    <x v="2"/>
    <s v="Coarse Sicilian Salami, Tomatoes, Green Olives, Luganega Sausage, Onions, Garlic"/>
    <x v="7"/>
  </r>
  <r>
    <n v="427"/>
    <n v="181"/>
    <n v="1"/>
    <s v="mexicana_l"/>
    <n v="1"/>
    <x v="2"/>
    <x v="1"/>
    <x v="99"/>
    <n v="20.25"/>
    <n v="20.25"/>
    <x v="2"/>
    <x v="1"/>
    <s v="Tomatoes, Red Peppers, Jalapeno Peppers, Red Onions, Cilantro, Corn, Chipotle Sauce, Garlic"/>
    <x v="1"/>
  </r>
  <r>
    <n v="428"/>
    <n v="182"/>
    <n v="1"/>
    <s v="brie_carre_s"/>
    <n v="1"/>
    <x v="2"/>
    <x v="1"/>
    <x v="100"/>
    <n v="23.65"/>
    <n v="23.65"/>
    <x v="1"/>
    <x v="2"/>
    <s v="Brie Carre Cheese, Prosciutto, Caramelized Onions, Pears, Thyme, Garlic"/>
    <x v="8"/>
  </r>
  <r>
    <n v="430"/>
    <n v="183"/>
    <n v="1"/>
    <s v="napolitana_m"/>
    <n v="1"/>
    <x v="2"/>
    <x v="1"/>
    <x v="101"/>
    <n v="16"/>
    <n v="16"/>
    <x v="0"/>
    <x v="0"/>
    <s v="Tomatoes, Anchovies, Green Olives, Red Onions, Garlic"/>
    <x v="5"/>
  </r>
  <r>
    <n v="433"/>
    <n v="184"/>
    <n v="1"/>
    <s v="hawaiian_l"/>
    <n v="1"/>
    <x v="2"/>
    <x v="1"/>
    <x v="102"/>
    <n v="16.5"/>
    <n v="16.5"/>
    <x v="2"/>
    <x v="0"/>
    <s v="Sliced Ham, Pineapple, Mozzarella Cheese"/>
    <x v="0"/>
  </r>
  <r>
    <n v="434"/>
    <n v="185"/>
    <n v="1"/>
    <s v="sicilian_m"/>
    <n v="1"/>
    <x v="2"/>
    <x v="1"/>
    <x v="103"/>
    <n v="16.25"/>
    <n v="16.25"/>
    <x v="0"/>
    <x v="2"/>
    <s v="Coarse Sicilian Salami, Tomatoes, Green Olives, Luganega Sausage, Onions, Garlic"/>
    <x v="7"/>
  </r>
  <r>
    <n v="436"/>
    <n v="186"/>
    <n v="1"/>
    <s v="mexicana_l"/>
    <n v="1"/>
    <x v="2"/>
    <x v="1"/>
    <x v="104"/>
    <n v="20.25"/>
    <n v="20.25"/>
    <x v="2"/>
    <x v="1"/>
    <s v="Tomatoes, Red Peppers, Jalapeno Peppers, Red Onions, Cilantro, Corn, Chipotle Sauce, Garlic"/>
    <x v="1"/>
  </r>
  <r>
    <n v="443"/>
    <n v="188"/>
    <n v="1"/>
    <s v="pepperoni_s"/>
    <n v="1"/>
    <x v="2"/>
    <x v="1"/>
    <x v="105"/>
    <n v="9.75"/>
    <n v="9.75"/>
    <x v="1"/>
    <x v="0"/>
    <s v="Mozzarella Cheese, Pepperoni"/>
    <x v="3"/>
  </r>
  <r>
    <n v="445"/>
    <n v="189"/>
    <n v="1"/>
    <s v="big_meat_s"/>
    <n v="2"/>
    <x v="2"/>
    <x v="1"/>
    <x v="106"/>
    <n v="12"/>
    <n v="24"/>
    <x v="1"/>
    <x v="0"/>
    <s v="Bacon, Pepperoni, Italian Sausage, Chorizo Sausage"/>
    <x v="4"/>
  </r>
  <r>
    <n v="453"/>
    <n v="192"/>
    <n v="1"/>
    <s v="sicilian_s"/>
    <n v="1"/>
    <x v="2"/>
    <x v="1"/>
    <x v="107"/>
    <n v="12.25"/>
    <n v="12.25"/>
    <x v="1"/>
    <x v="2"/>
    <s v="Coarse Sicilian Salami, Tomatoes, Green Olives, Luganega Sausage, Onions, Garlic"/>
    <x v="7"/>
  </r>
  <r>
    <n v="455"/>
    <n v="193"/>
    <n v="1"/>
    <s v="big_meat_s"/>
    <n v="1"/>
    <x v="2"/>
    <x v="1"/>
    <x v="108"/>
    <n v="12"/>
    <n v="12"/>
    <x v="1"/>
    <x v="0"/>
    <s v="Bacon, Pepperoni, Italian Sausage, Chorizo Sausage"/>
    <x v="4"/>
  </r>
  <r>
    <n v="460"/>
    <n v="196"/>
    <n v="1"/>
    <s v="sicilian_s"/>
    <n v="1"/>
    <x v="2"/>
    <x v="1"/>
    <x v="109"/>
    <n v="12.25"/>
    <n v="12.25"/>
    <x v="1"/>
    <x v="2"/>
    <s v="Coarse Sicilian Salami, Tomatoes, Green Olives, Luganega Sausage, Onions, Garlic"/>
    <x v="7"/>
  </r>
  <r>
    <n v="467"/>
    <n v="198"/>
    <n v="1"/>
    <s v="big_meat_s"/>
    <n v="1"/>
    <x v="2"/>
    <x v="1"/>
    <x v="110"/>
    <n v="12"/>
    <n v="12"/>
    <x v="1"/>
    <x v="0"/>
    <s v="Bacon, Pepperoni, Italian Sausage, Chorizo Sausage"/>
    <x v="4"/>
  </r>
  <r>
    <n v="470"/>
    <n v="200"/>
    <n v="1"/>
    <s v="the_greek_xl"/>
    <n v="1"/>
    <x v="2"/>
    <x v="1"/>
    <x v="111"/>
    <n v="25.5"/>
    <n v="25.5"/>
    <x v="3"/>
    <x v="0"/>
    <s v="Kalamata Olives, Feta Cheese, Tomatoes, Garlic, Beef Chuck Roast, Red Onions"/>
    <x v="2"/>
  </r>
  <r>
    <n v="471"/>
    <n v="201"/>
    <n v="0.5"/>
    <s v="calabrese_m"/>
    <n v="1"/>
    <x v="2"/>
    <x v="1"/>
    <x v="112"/>
    <n v="16.25"/>
    <n v="16.25"/>
    <x v="0"/>
    <x v="2"/>
    <s v="?duja Salami, Pancetta, Tomatoes, Red Onions, Friggitello Peppers, Garlic"/>
    <x v="6"/>
  </r>
  <r>
    <n v="474"/>
    <n v="201"/>
    <n v="0.5"/>
    <s v="the_greek_xl"/>
    <n v="1"/>
    <x v="2"/>
    <x v="1"/>
    <x v="112"/>
    <n v="25.5"/>
    <n v="25.5"/>
    <x v="3"/>
    <x v="0"/>
    <s v="Kalamata Olives, Feta Cheese, Tomatoes, Garlic, Beef Chuck Roast, Red Onions"/>
    <x v="2"/>
  </r>
  <r>
    <n v="479"/>
    <n v="203"/>
    <n v="1"/>
    <s v="the_greek_s"/>
    <n v="1"/>
    <x v="3"/>
    <x v="2"/>
    <x v="113"/>
    <n v="12"/>
    <n v="12"/>
    <x v="1"/>
    <x v="0"/>
    <s v="Kalamata Olives, Feta Cheese, Tomatoes, Garlic, Beef Chuck Roast, Red Onions"/>
    <x v="2"/>
  </r>
  <r>
    <n v="484"/>
    <n v="206"/>
    <n v="0.5"/>
    <s v="napolitana_m"/>
    <n v="1"/>
    <x v="3"/>
    <x v="2"/>
    <x v="114"/>
    <n v="16"/>
    <n v="16"/>
    <x v="0"/>
    <x v="0"/>
    <s v="Tomatoes, Anchovies, Green Olives, Red Onions, Garlic"/>
    <x v="5"/>
  </r>
  <r>
    <n v="485"/>
    <n v="206"/>
    <n v="0.5"/>
    <s v="pepperoni_s"/>
    <n v="1"/>
    <x v="3"/>
    <x v="2"/>
    <x v="114"/>
    <n v="9.75"/>
    <n v="9.75"/>
    <x v="1"/>
    <x v="0"/>
    <s v="Mozzarella Cheese, Pepperoni"/>
    <x v="3"/>
  </r>
  <r>
    <n v="491"/>
    <n v="208"/>
    <n v="0.5"/>
    <s v="pepperoni_m"/>
    <n v="1"/>
    <x v="3"/>
    <x v="2"/>
    <x v="115"/>
    <n v="12.5"/>
    <n v="12.5"/>
    <x v="0"/>
    <x v="0"/>
    <s v="Mozzarella Cheese, Pepperoni"/>
    <x v="3"/>
  </r>
  <r>
    <n v="492"/>
    <n v="208"/>
    <n v="0.5"/>
    <s v="the_greek_m"/>
    <n v="1"/>
    <x v="3"/>
    <x v="2"/>
    <x v="115"/>
    <n v="16"/>
    <n v="16"/>
    <x v="0"/>
    <x v="0"/>
    <s v="Kalamata Olives, Feta Cheese, Tomatoes, Garlic, Beef Chuck Roast, Red Onions"/>
    <x v="2"/>
  </r>
  <r>
    <n v="495"/>
    <n v="211"/>
    <n v="1"/>
    <s v="pepperoni_s"/>
    <n v="1"/>
    <x v="3"/>
    <x v="2"/>
    <x v="116"/>
    <n v="9.75"/>
    <n v="9.75"/>
    <x v="1"/>
    <x v="0"/>
    <s v="Mozzarella Cheese, Pepperoni"/>
    <x v="3"/>
  </r>
  <r>
    <n v="500"/>
    <n v="214"/>
    <n v="1"/>
    <s v="mexicana_s"/>
    <n v="1"/>
    <x v="3"/>
    <x v="2"/>
    <x v="117"/>
    <n v="12"/>
    <n v="12"/>
    <x v="1"/>
    <x v="1"/>
    <s v="Tomatoes, Red Peppers, Jalapeno Peppers, Red Onions, Cilantro, Corn, Chipotle Sauce, Garlic"/>
    <x v="1"/>
  </r>
  <r>
    <n v="505"/>
    <n v="216"/>
    <n v="1"/>
    <s v="hawaiian_l"/>
    <n v="1"/>
    <x v="3"/>
    <x v="2"/>
    <x v="118"/>
    <n v="16.5"/>
    <n v="16.5"/>
    <x v="2"/>
    <x v="0"/>
    <s v="Sliced Ham, Pineapple, Mozzarella Cheese"/>
    <x v="0"/>
  </r>
  <r>
    <n v="513"/>
    <n v="220"/>
    <n v="0.5"/>
    <s v="hawaiian_s"/>
    <n v="1"/>
    <x v="3"/>
    <x v="2"/>
    <x v="119"/>
    <n v="10.5"/>
    <n v="10.5"/>
    <x v="1"/>
    <x v="0"/>
    <s v="Sliced Ham, Pineapple, Mozzarella Cheese"/>
    <x v="0"/>
  </r>
  <r>
    <n v="515"/>
    <n v="220"/>
    <n v="0.5"/>
    <s v="napolitana_l"/>
    <n v="1"/>
    <x v="3"/>
    <x v="2"/>
    <x v="119"/>
    <n v="20.5"/>
    <n v="20.5"/>
    <x v="2"/>
    <x v="0"/>
    <s v="Tomatoes, Anchovies, Green Olives, Red Onions, Garlic"/>
    <x v="5"/>
  </r>
  <r>
    <n v="519"/>
    <n v="221"/>
    <n v="1"/>
    <s v="the_greek_s"/>
    <n v="1"/>
    <x v="3"/>
    <x v="2"/>
    <x v="120"/>
    <n v="12"/>
    <n v="12"/>
    <x v="1"/>
    <x v="0"/>
    <s v="Kalamata Olives, Feta Cheese, Tomatoes, Garlic, Beef Chuck Roast, Red Onions"/>
    <x v="2"/>
  </r>
  <r>
    <n v="521"/>
    <n v="222"/>
    <n v="1"/>
    <s v="sicilian_s"/>
    <n v="1"/>
    <x v="3"/>
    <x v="2"/>
    <x v="121"/>
    <n v="12.25"/>
    <n v="12.25"/>
    <x v="1"/>
    <x v="2"/>
    <s v="Coarse Sicilian Salami, Tomatoes, Green Olives, Luganega Sausage, Onions, Garlic"/>
    <x v="7"/>
  </r>
  <r>
    <n v="525"/>
    <n v="224"/>
    <n v="1"/>
    <s v="napolitana_m"/>
    <n v="1"/>
    <x v="3"/>
    <x v="2"/>
    <x v="122"/>
    <n v="16"/>
    <n v="16"/>
    <x v="0"/>
    <x v="0"/>
    <s v="Tomatoes, Anchovies, Green Olives, Red Onions, Garlic"/>
    <x v="5"/>
  </r>
  <r>
    <n v="532"/>
    <n v="227"/>
    <n v="1"/>
    <s v="the_greek_m"/>
    <n v="1"/>
    <x v="3"/>
    <x v="2"/>
    <x v="123"/>
    <n v="16"/>
    <n v="16"/>
    <x v="0"/>
    <x v="0"/>
    <s v="Kalamata Olives, Feta Cheese, Tomatoes, Garlic, Beef Chuck Roast, Red Onions"/>
    <x v="2"/>
  </r>
  <r>
    <n v="539"/>
    <n v="231"/>
    <n v="1"/>
    <s v="napolitana_s"/>
    <n v="1"/>
    <x v="3"/>
    <x v="2"/>
    <x v="124"/>
    <n v="12"/>
    <n v="12"/>
    <x v="1"/>
    <x v="0"/>
    <s v="Tomatoes, Anchovies, Green Olives, Red Onions, Garlic"/>
    <x v="5"/>
  </r>
  <r>
    <n v="546"/>
    <n v="234"/>
    <n v="1"/>
    <s v="napolitana_m"/>
    <n v="1"/>
    <x v="3"/>
    <x v="2"/>
    <x v="125"/>
    <n v="16"/>
    <n v="16"/>
    <x v="0"/>
    <x v="0"/>
    <s v="Tomatoes, Anchovies, Green Olives, Red Onions, Garlic"/>
    <x v="5"/>
  </r>
  <r>
    <n v="555"/>
    <n v="241"/>
    <n v="1"/>
    <s v="sicilian_m"/>
    <n v="1"/>
    <x v="3"/>
    <x v="2"/>
    <x v="126"/>
    <n v="16.25"/>
    <n v="16.25"/>
    <x v="0"/>
    <x v="2"/>
    <s v="Coarse Sicilian Salami, Tomatoes, Green Olives, Luganega Sausage, Onions, Garlic"/>
    <x v="7"/>
  </r>
  <r>
    <n v="557"/>
    <n v="242"/>
    <n v="1"/>
    <s v="calabrese_m"/>
    <n v="1"/>
    <x v="3"/>
    <x v="2"/>
    <x v="127"/>
    <n v="16.25"/>
    <n v="16.25"/>
    <x v="0"/>
    <x v="2"/>
    <s v="?duja Salami, Pancetta, Tomatoes, Red Onions, Friggitello Peppers, Garlic"/>
    <x v="6"/>
  </r>
  <r>
    <n v="567"/>
    <n v="246"/>
    <n v="1"/>
    <s v="pepperoni_l"/>
    <n v="1"/>
    <x v="3"/>
    <x v="2"/>
    <x v="128"/>
    <n v="15.25"/>
    <n v="15.25"/>
    <x v="2"/>
    <x v="0"/>
    <s v="Mozzarella Cheese, Pepperoni"/>
    <x v="3"/>
  </r>
  <r>
    <n v="568"/>
    <n v="247"/>
    <n v="0.5"/>
    <s v="hawaiian_m"/>
    <n v="1"/>
    <x v="3"/>
    <x v="2"/>
    <x v="129"/>
    <n v="13.25"/>
    <n v="13.25"/>
    <x v="0"/>
    <x v="0"/>
    <s v="Sliced Ham, Pineapple, Mozzarella Cheese"/>
    <x v="0"/>
  </r>
  <r>
    <n v="569"/>
    <n v="247"/>
    <n v="0.5"/>
    <s v="sicilian_m"/>
    <n v="1"/>
    <x v="3"/>
    <x v="2"/>
    <x v="129"/>
    <n v="16.25"/>
    <n v="16.25"/>
    <x v="0"/>
    <x v="2"/>
    <s v="Coarse Sicilian Salami, Tomatoes, Green Olives, Luganega Sausage, Onions, Garlic"/>
    <x v="7"/>
  </r>
  <r>
    <n v="571"/>
    <n v="248"/>
    <n v="1"/>
    <s v="hawaiian_s"/>
    <n v="1"/>
    <x v="3"/>
    <x v="2"/>
    <x v="130"/>
    <n v="10.5"/>
    <n v="10.5"/>
    <x v="1"/>
    <x v="0"/>
    <s v="Sliced Ham, Pineapple, Mozzarella Cheese"/>
    <x v="0"/>
  </r>
  <r>
    <n v="574"/>
    <n v="249"/>
    <n v="1"/>
    <s v="calabrese_s"/>
    <n v="1"/>
    <x v="3"/>
    <x v="2"/>
    <x v="131"/>
    <n v="12.25"/>
    <n v="12.25"/>
    <x v="1"/>
    <x v="2"/>
    <s v="?duja Salami, Pancetta, Tomatoes, Red Onions, Friggitello Peppers, Garlic"/>
    <x v="6"/>
  </r>
  <r>
    <n v="576"/>
    <n v="251"/>
    <n v="1"/>
    <s v="mexicana_m"/>
    <n v="1"/>
    <x v="3"/>
    <x v="2"/>
    <x v="132"/>
    <n v="16"/>
    <n v="16"/>
    <x v="0"/>
    <x v="1"/>
    <s v="Tomatoes, Red Peppers, Jalapeno Peppers, Red Onions, Cilantro, Corn, Chipotle Sauce, Garlic"/>
    <x v="1"/>
  </r>
  <r>
    <n v="578"/>
    <n v="253"/>
    <n v="1"/>
    <s v="brie_carre_s"/>
    <n v="1"/>
    <x v="3"/>
    <x v="2"/>
    <x v="133"/>
    <n v="23.65"/>
    <n v="23.65"/>
    <x v="1"/>
    <x v="2"/>
    <s v="Brie Carre Cheese, Prosciutto, Caramelized Onions, Pears, Thyme, Garlic"/>
    <x v="8"/>
  </r>
  <r>
    <n v="580"/>
    <n v="254"/>
    <n v="1"/>
    <s v="brie_carre_s"/>
    <n v="1"/>
    <x v="3"/>
    <x v="2"/>
    <x v="134"/>
    <n v="23.65"/>
    <n v="23.65"/>
    <x v="1"/>
    <x v="2"/>
    <s v="Brie Carre Cheese, Prosciutto, Caramelized Onions, Pears, Thyme, Garlic"/>
    <x v="8"/>
  </r>
  <r>
    <n v="584"/>
    <n v="255"/>
    <n v="1"/>
    <s v="hawaiian_l"/>
    <n v="1"/>
    <x v="4"/>
    <x v="3"/>
    <x v="135"/>
    <n v="16.5"/>
    <n v="16.5"/>
    <x v="2"/>
    <x v="0"/>
    <s v="Sliced Ham, Pineapple, Mozzarella Cheese"/>
    <x v="0"/>
  </r>
  <r>
    <n v="590"/>
    <n v="259"/>
    <n v="1"/>
    <s v="pepperoni_l"/>
    <n v="1"/>
    <x v="4"/>
    <x v="3"/>
    <x v="136"/>
    <n v="15.25"/>
    <n v="15.25"/>
    <x v="2"/>
    <x v="0"/>
    <s v="Mozzarella Cheese, Pepperoni"/>
    <x v="3"/>
  </r>
  <r>
    <n v="592"/>
    <n v="260"/>
    <n v="1"/>
    <s v="the_greek_l"/>
    <n v="1"/>
    <x v="4"/>
    <x v="3"/>
    <x v="137"/>
    <n v="20.5"/>
    <n v="20.5"/>
    <x v="2"/>
    <x v="0"/>
    <s v="Kalamata Olives, Feta Cheese, Tomatoes, Garlic, Beef Chuck Roast, Red Onions"/>
    <x v="2"/>
  </r>
  <r>
    <n v="593"/>
    <n v="261"/>
    <n v="1"/>
    <s v="brie_carre_s"/>
    <n v="1"/>
    <x v="4"/>
    <x v="3"/>
    <x v="138"/>
    <n v="23.65"/>
    <n v="23.65"/>
    <x v="1"/>
    <x v="2"/>
    <s v="Brie Carre Cheese, Prosciutto, Caramelized Onions, Pears, Thyme, Garlic"/>
    <x v="8"/>
  </r>
  <r>
    <n v="596"/>
    <n v="264"/>
    <n v="1"/>
    <s v="mexicana_m"/>
    <n v="1"/>
    <x v="4"/>
    <x v="3"/>
    <x v="139"/>
    <n v="16"/>
    <n v="16"/>
    <x v="0"/>
    <x v="1"/>
    <s v="Tomatoes, Red Peppers, Jalapeno Peppers, Red Onions, Cilantro, Corn, Chipotle Sauce, Garlic"/>
    <x v="1"/>
  </r>
  <r>
    <n v="598"/>
    <n v="265"/>
    <n v="0.5"/>
    <s v="mexicana_l"/>
    <n v="1"/>
    <x v="4"/>
    <x v="3"/>
    <x v="140"/>
    <n v="20.25"/>
    <n v="20.25"/>
    <x v="2"/>
    <x v="1"/>
    <s v="Tomatoes, Red Peppers, Jalapeno Peppers, Red Onions, Cilantro, Corn, Chipotle Sauce, Garlic"/>
    <x v="1"/>
  </r>
  <r>
    <n v="599"/>
    <n v="265"/>
    <n v="0.5"/>
    <s v="sicilian_m"/>
    <n v="1"/>
    <x v="4"/>
    <x v="3"/>
    <x v="140"/>
    <n v="16.25"/>
    <n v="16.25"/>
    <x v="0"/>
    <x v="2"/>
    <s v="Coarse Sicilian Salami, Tomatoes, Green Olives, Luganega Sausage, Onions, Garlic"/>
    <x v="7"/>
  </r>
  <r>
    <n v="604"/>
    <n v="267"/>
    <n v="1"/>
    <s v="napolitana_s"/>
    <n v="1"/>
    <x v="4"/>
    <x v="3"/>
    <x v="141"/>
    <n v="12"/>
    <n v="12"/>
    <x v="1"/>
    <x v="0"/>
    <s v="Tomatoes, Anchovies, Green Olives, Red Onions, Garlic"/>
    <x v="5"/>
  </r>
  <r>
    <n v="606"/>
    <n v="268"/>
    <n v="1"/>
    <s v="pepperoni_s"/>
    <n v="1"/>
    <x v="4"/>
    <x v="3"/>
    <x v="142"/>
    <n v="9.75"/>
    <n v="9.75"/>
    <x v="1"/>
    <x v="0"/>
    <s v="Mozzarella Cheese, Pepperoni"/>
    <x v="3"/>
  </r>
  <r>
    <n v="611"/>
    <n v="271"/>
    <n v="0.33333333333333331"/>
    <s v="big_meat_s"/>
    <n v="1"/>
    <x v="4"/>
    <x v="3"/>
    <x v="143"/>
    <n v="12"/>
    <n v="12"/>
    <x v="1"/>
    <x v="0"/>
    <s v="Bacon, Pepperoni, Italian Sausage, Chorizo Sausage"/>
    <x v="4"/>
  </r>
  <r>
    <n v="617"/>
    <n v="271"/>
    <n v="0.33333333333333331"/>
    <s v="sicilian_s"/>
    <n v="1"/>
    <x v="4"/>
    <x v="3"/>
    <x v="143"/>
    <n v="12.25"/>
    <n v="12.25"/>
    <x v="1"/>
    <x v="2"/>
    <s v="Coarse Sicilian Salami, Tomatoes, Green Olives, Luganega Sausage, Onions, Garlic"/>
    <x v="7"/>
  </r>
  <r>
    <n v="620"/>
    <n v="271"/>
    <n v="0.33333333333333331"/>
    <s v="the_greek_s"/>
    <n v="1"/>
    <x v="4"/>
    <x v="3"/>
    <x v="143"/>
    <n v="12"/>
    <n v="12"/>
    <x v="1"/>
    <x v="0"/>
    <s v="Kalamata Olives, Feta Cheese, Tomatoes, Garlic, Beef Chuck Roast, Red Onions"/>
    <x v="2"/>
  </r>
  <r>
    <n v="627"/>
    <n v="275"/>
    <n v="0.5"/>
    <s v="pepperoni_s"/>
    <n v="1"/>
    <x v="4"/>
    <x v="3"/>
    <x v="144"/>
    <n v="9.75"/>
    <n v="9.75"/>
    <x v="1"/>
    <x v="0"/>
    <s v="Mozzarella Cheese, Pepperoni"/>
    <x v="3"/>
  </r>
  <r>
    <n v="628"/>
    <n v="275"/>
    <n v="0.5"/>
    <s v="sicilian_m"/>
    <n v="1"/>
    <x v="4"/>
    <x v="3"/>
    <x v="144"/>
    <n v="16.25"/>
    <n v="16.25"/>
    <x v="0"/>
    <x v="2"/>
    <s v="Coarse Sicilian Salami, Tomatoes, Green Olives, Luganega Sausage, Onions, Garlic"/>
    <x v="7"/>
  </r>
  <r>
    <n v="638"/>
    <n v="281"/>
    <n v="1"/>
    <s v="sicilian_s"/>
    <n v="1"/>
    <x v="4"/>
    <x v="3"/>
    <x v="145"/>
    <n v="12.25"/>
    <n v="12.25"/>
    <x v="1"/>
    <x v="2"/>
    <s v="Coarse Sicilian Salami, Tomatoes, Green Olives, Luganega Sausage, Onions, Garlic"/>
    <x v="7"/>
  </r>
  <r>
    <n v="643"/>
    <n v="283"/>
    <n v="1"/>
    <s v="napolitana_m"/>
    <n v="1"/>
    <x v="4"/>
    <x v="3"/>
    <x v="146"/>
    <n v="16"/>
    <n v="16"/>
    <x v="0"/>
    <x v="0"/>
    <s v="Tomatoes, Anchovies, Green Olives, Red Onions, Garlic"/>
    <x v="5"/>
  </r>
  <r>
    <n v="645"/>
    <n v="284"/>
    <n v="0.5"/>
    <s v="hawaiian_s"/>
    <n v="1"/>
    <x v="4"/>
    <x v="3"/>
    <x v="147"/>
    <n v="10.5"/>
    <n v="10.5"/>
    <x v="1"/>
    <x v="0"/>
    <s v="Sliced Ham, Pineapple, Mozzarella Cheese"/>
    <x v="0"/>
  </r>
  <r>
    <n v="646"/>
    <n v="284"/>
    <n v="0.5"/>
    <s v="napolitana_m"/>
    <n v="1"/>
    <x v="4"/>
    <x v="3"/>
    <x v="147"/>
    <n v="16"/>
    <n v="16"/>
    <x v="0"/>
    <x v="0"/>
    <s v="Tomatoes, Anchovies, Green Olives, Red Onions, Garlic"/>
    <x v="5"/>
  </r>
  <r>
    <n v="652"/>
    <n v="287"/>
    <n v="0.5"/>
    <s v="pepperoni_m"/>
    <n v="1"/>
    <x v="4"/>
    <x v="3"/>
    <x v="148"/>
    <n v="12.5"/>
    <n v="12.5"/>
    <x v="0"/>
    <x v="0"/>
    <s v="Mozzarella Cheese, Pepperoni"/>
    <x v="3"/>
  </r>
  <r>
    <n v="653"/>
    <n v="287"/>
    <n v="0.5"/>
    <s v="sicilian_s"/>
    <n v="1"/>
    <x v="4"/>
    <x v="3"/>
    <x v="148"/>
    <n v="12.25"/>
    <n v="12.25"/>
    <x v="1"/>
    <x v="2"/>
    <s v="Coarse Sicilian Salami, Tomatoes, Green Olives, Luganega Sausage, Onions, Garlic"/>
    <x v="7"/>
  </r>
  <r>
    <n v="654"/>
    <n v="288"/>
    <n v="1"/>
    <s v="brie_carre_s"/>
    <n v="1"/>
    <x v="4"/>
    <x v="3"/>
    <x v="149"/>
    <n v="23.65"/>
    <n v="23.65"/>
    <x v="1"/>
    <x v="2"/>
    <s v="Brie Carre Cheese, Prosciutto, Caramelized Onions, Pears, Thyme, Garlic"/>
    <x v="8"/>
  </r>
  <r>
    <n v="681"/>
    <n v="300"/>
    <n v="1"/>
    <s v="big_meat_s"/>
    <n v="1"/>
    <x v="4"/>
    <x v="3"/>
    <x v="150"/>
    <n v="12"/>
    <n v="12"/>
    <x v="1"/>
    <x v="0"/>
    <s v="Bacon, Pepperoni, Italian Sausage, Chorizo Sausage"/>
    <x v="4"/>
  </r>
  <r>
    <n v="685"/>
    <n v="301"/>
    <n v="1"/>
    <s v="napolitana_l"/>
    <n v="1"/>
    <x v="4"/>
    <x v="3"/>
    <x v="151"/>
    <n v="20.5"/>
    <n v="20.5"/>
    <x v="2"/>
    <x v="0"/>
    <s v="Tomatoes, Anchovies, Green Olives, Red Onions, Garlic"/>
    <x v="5"/>
  </r>
  <r>
    <n v="687"/>
    <n v="303"/>
    <n v="0.5"/>
    <s v="big_meat_s"/>
    <n v="1"/>
    <x v="4"/>
    <x v="3"/>
    <x v="152"/>
    <n v="12"/>
    <n v="12"/>
    <x v="1"/>
    <x v="0"/>
    <s v="Bacon, Pepperoni, Italian Sausage, Chorizo Sausage"/>
    <x v="4"/>
  </r>
  <r>
    <n v="689"/>
    <n v="303"/>
    <n v="0.5"/>
    <s v="pepperoni_s"/>
    <n v="1"/>
    <x v="4"/>
    <x v="3"/>
    <x v="152"/>
    <n v="9.75"/>
    <n v="9.75"/>
    <x v="1"/>
    <x v="0"/>
    <s v="Mozzarella Cheese, Pepperoni"/>
    <x v="3"/>
  </r>
  <r>
    <n v="690"/>
    <n v="304"/>
    <n v="0.5"/>
    <s v="hawaiian_s"/>
    <n v="1"/>
    <x v="4"/>
    <x v="3"/>
    <x v="153"/>
    <n v="10.5"/>
    <n v="10.5"/>
    <x v="1"/>
    <x v="0"/>
    <s v="Sliced Ham, Pineapple, Mozzarella Cheese"/>
    <x v="0"/>
  </r>
  <r>
    <n v="691"/>
    <n v="304"/>
    <n v="0.5"/>
    <s v="mexicana_l"/>
    <n v="1"/>
    <x v="4"/>
    <x v="3"/>
    <x v="153"/>
    <n v="20.25"/>
    <n v="20.25"/>
    <x v="2"/>
    <x v="1"/>
    <s v="Tomatoes, Red Peppers, Jalapeno Peppers, Red Onions, Cilantro, Corn, Chipotle Sauce, Garlic"/>
    <x v="1"/>
  </r>
  <r>
    <n v="692"/>
    <n v="305"/>
    <n v="0.5"/>
    <s v="pepperoni_l"/>
    <n v="1"/>
    <x v="4"/>
    <x v="3"/>
    <x v="154"/>
    <n v="15.25"/>
    <n v="15.25"/>
    <x v="2"/>
    <x v="0"/>
    <s v="Mozzarella Cheese, Pepperoni"/>
    <x v="3"/>
  </r>
  <r>
    <n v="693"/>
    <n v="305"/>
    <n v="0.5"/>
    <s v="sicilian_s"/>
    <n v="1"/>
    <x v="4"/>
    <x v="3"/>
    <x v="154"/>
    <n v="12.25"/>
    <n v="12.25"/>
    <x v="1"/>
    <x v="2"/>
    <s v="Coarse Sicilian Salami, Tomatoes, Green Olives, Luganega Sausage, Onions, Garlic"/>
    <x v="7"/>
  </r>
  <r>
    <n v="695"/>
    <n v="306"/>
    <n v="0.33333333333333331"/>
    <s v="big_meat_s"/>
    <n v="1"/>
    <x v="4"/>
    <x v="3"/>
    <x v="155"/>
    <n v="12"/>
    <n v="12"/>
    <x v="1"/>
    <x v="0"/>
    <s v="Bacon, Pepperoni, Italian Sausage, Chorizo Sausage"/>
    <x v="4"/>
  </r>
  <r>
    <n v="696"/>
    <n v="306"/>
    <n v="0.33333333333333331"/>
    <s v="hawaiian_s"/>
    <n v="1"/>
    <x v="4"/>
    <x v="3"/>
    <x v="155"/>
    <n v="10.5"/>
    <n v="10.5"/>
    <x v="1"/>
    <x v="0"/>
    <s v="Sliced Ham, Pineapple, Mozzarella Cheese"/>
    <x v="0"/>
  </r>
  <r>
    <n v="697"/>
    <n v="306"/>
    <n v="0.33333333333333331"/>
    <s v="napolitana_m"/>
    <n v="1"/>
    <x v="4"/>
    <x v="3"/>
    <x v="155"/>
    <n v="16"/>
    <n v="16"/>
    <x v="0"/>
    <x v="0"/>
    <s v="Tomatoes, Anchovies, Green Olives, Red Onions, Garlic"/>
    <x v="5"/>
  </r>
  <r>
    <n v="700"/>
    <n v="308"/>
    <n v="1"/>
    <s v="hawaiian_l"/>
    <n v="1"/>
    <x v="4"/>
    <x v="3"/>
    <x v="156"/>
    <n v="16.5"/>
    <n v="16.5"/>
    <x v="2"/>
    <x v="0"/>
    <s v="Sliced Ham, Pineapple, Mozzarella Cheese"/>
    <x v="0"/>
  </r>
  <r>
    <n v="705"/>
    <n v="310"/>
    <n v="1"/>
    <s v="hawaiian_s"/>
    <n v="1"/>
    <x v="5"/>
    <x v="4"/>
    <x v="157"/>
    <n v="10.5"/>
    <n v="10.5"/>
    <x v="1"/>
    <x v="0"/>
    <s v="Sliced Ham, Pineapple, Mozzarella Cheese"/>
    <x v="0"/>
  </r>
  <r>
    <n v="707"/>
    <n v="311"/>
    <n v="1"/>
    <s v="sicilian_l"/>
    <n v="1"/>
    <x v="5"/>
    <x v="4"/>
    <x v="158"/>
    <n v="20.25"/>
    <n v="20.25"/>
    <x v="2"/>
    <x v="2"/>
    <s v="Coarse Sicilian Salami, Tomatoes, Green Olives, Luganega Sausage, Onions, Garlic"/>
    <x v="7"/>
  </r>
  <r>
    <n v="708"/>
    <n v="312"/>
    <n v="0.33333333333333331"/>
    <s v="big_meat_s"/>
    <n v="1"/>
    <x v="5"/>
    <x v="4"/>
    <x v="159"/>
    <n v="12"/>
    <n v="12"/>
    <x v="1"/>
    <x v="0"/>
    <s v="Bacon, Pepperoni, Italian Sausage, Chorizo Sausage"/>
    <x v="4"/>
  </r>
  <r>
    <n v="709"/>
    <n v="312"/>
    <n v="0.33333333333333331"/>
    <s v="brie_carre_s"/>
    <n v="1"/>
    <x v="5"/>
    <x v="4"/>
    <x v="159"/>
    <n v="23.65"/>
    <n v="23.65"/>
    <x v="1"/>
    <x v="2"/>
    <s v="Brie Carre Cheese, Prosciutto, Caramelized Onions, Pears, Thyme, Garlic"/>
    <x v="8"/>
  </r>
  <r>
    <n v="711"/>
    <n v="312"/>
    <n v="0.33333333333333331"/>
    <s v="sicilian_m"/>
    <n v="1"/>
    <x v="5"/>
    <x v="4"/>
    <x v="159"/>
    <n v="16.25"/>
    <n v="16.25"/>
    <x v="0"/>
    <x v="2"/>
    <s v="Coarse Sicilian Salami, Tomatoes, Green Olives, Luganega Sausage, Onions, Garlic"/>
    <x v="7"/>
  </r>
  <r>
    <n v="713"/>
    <n v="314"/>
    <n v="0.5"/>
    <s v="calabrese_m"/>
    <n v="1"/>
    <x v="5"/>
    <x v="4"/>
    <x v="160"/>
    <n v="16.25"/>
    <n v="16.25"/>
    <x v="0"/>
    <x v="2"/>
    <s v="?duja Salami, Pancetta, Tomatoes, Red Onions, Friggitello Peppers, Garlic"/>
    <x v="6"/>
  </r>
  <r>
    <n v="716"/>
    <n v="314"/>
    <n v="0.5"/>
    <s v="hawaiian_m"/>
    <n v="1"/>
    <x v="5"/>
    <x v="4"/>
    <x v="160"/>
    <n v="13.25"/>
    <n v="13.25"/>
    <x v="0"/>
    <x v="0"/>
    <s v="Sliced Ham, Pineapple, Mozzarella Cheese"/>
    <x v="0"/>
  </r>
  <r>
    <n v="719"/>
    <n v="316"/>
    <n v="1"/>
    <s v="hawaiian_s"/>
    <n v="1"/>
    <x v="5"/>
    <x v="4"/>
    <x v="161"/>
    <n v="10.5"/>
    <n v="10.5"/>
    <x v="1"/>
    <x v="0"/>
    <s v="Sliced Ham, Pineapple, Mozzarella Cheese"/>
    <x v="0"/>
  </r>
  <r>
    <n v="724"/>
    <n v="317"/>
    <n v="1"/>
    <s v="hawaiian_s"/>
    <n v="1"/>
    <x v="5"/>
    <x v="4"/>
    <x v="162"/>
    <n v="10.5"/>
    <n v="10.5"/>
    <x v="1"/>
    <x v="0"/>
    <s v="Sliced Ham, Pineapple, Mozzarella Cheese"/>
    <x v="0"/>
  </r>
  <r>
    <n v="729"/>
    <n v="318"/>
    <n v="1"/>
    <s v="mexicana_l"/>
    <n v="1"/>
    <x v="5"/>
    <x v="4"/>
    <x v="163"/>
    <n v="20.25"/>
    <n v="20.25"/>
    <x v="2"/>
    <x v="1"/>
    <s v="Tomatoes, Red Peppers, Jalapeno Peppers, Red Onions, Cilantro, Corn, Chipotle Sauce, Garlic"/>
    <x v="1"/>
  </r>
  <r>
    <n v="750"/>
    <n v="330"/>
    <n v="0.25"/>
    <s v="big_meat_s"/>
    <n v="1"/>
    <x v="5"/>
    <x v="4"/>
    <x v="164"/>
    <n v="12"/>
    <n v="12"/>
    <x v="1"/>
    <x v="0"/>
    <s v="Bacon, Pepperoni, Italian Sausage, Chorizo Sausage"/>
    <x v="4"/>
  </r>
  <r>
    <n v="756"/>
    <n v="330"/>
    <n v="0.25"/>
    <s v="hawaiian_l"/>
    <n v="1"/>
    <x v="5"/>
    <x v="4"/>
    <x v="164"/>
    <n v="16.5"/>
    <n v="16.5"/>
    <x v="2"/>
    <x v="0"/>
    <s v="Sliced Ham, Pineapple, Mozzarella Cheese"/>
    <x v="0"/>
  </r>
  <r>
    <n v="759"/>
    <n v="330"/>
    <n v="0.25"/>
    <s v="sicilian_l"/>
    <n v="1"/>
    <x v="5"/>
    <x v="4"/>
    <x v="164"/>
    <n v="20.25"/>
    <n v="20.25"/>
    <x v="2"/>
    <x v="2"/>
    <s v="Coarse Sicilian Salami, Tomatoes, Green Olives, Luganega Sausage, Onions, Garlic"/>
    <x v="7"/>
  </r>
  <r>
    <n v="763"/>
    <n v="330"/>
    <n v="0.25"/>
    <s v="the_greek_m"/>
    <n v="1"/>
    <x v="5"/>
    <x v="4"/>
    <x v="164"/>
    <n v="16"/>
    <n v="16"/>
    <x v="0"/>
    <x v="0"/>
    <s v="Kalamata Olives, Feta Cheese, Tomatoes, Garlic, Beef Chuck Roast, Red Onions"/>
    <x v="2"/>
  </r>
  <r>
    <n v="765"/>
    <n v="332"/>
    <n v="1"/>
    <s v="sicilian_m"/>
    <n v="1"/>
    <x v="5"/>
    <x v="4"/>
    <x v="165"/>
    <n v="16.25"/>
    <n v="16.25"/>
    <x v="0"/>
    <x v="2"/>
    <s v="Coarse Sicilian Salami, Tomatoes, Green Olives, Luganega Sausage, Onions, Garlic"/>
    <x v="7"/>
  </r>
  <r>
    <n v="769"/>
    <n v="334"/>
    <n v="0.5"/>
    <s v="calabrese_l"/>
    <n v="1"/>
    <x v="5"/>
    <x v="4"/>
    <x v="166"/>
    <n v="20.25"/>
    <n v="20.25"/>
    <x v="2"/>
    <x v="2"/>
    <s v="?duja Salami, Pancetta, Tomatoes, Red Onions, Friggitello Peppers, Garlic"/>
    <x v="6"/>
  </r>
  <r>
    <n v="770"/>
    <n v="334"/>
    <n v="0.5"/>
    <s v="pepperoni_m"/>
    <n v="1"/>
    <x v="5"/>
    <x v="4"/>
    <x v="166"/>
    <n v="12.5"/>
    <n v="12.5"/>
    <x v="0"/>
    <x v="0"/>
    <s v="Mozzarella Cheese, Pepperoni"/>
    <x v="3"/>
  </r>
  <r>
    <n v="775"/>
    <n v="337"/>
    <n v="0.5"/>
    <s v="hawaiian_l"/>
    <n v="1"/>
    <x v="5"/>
    <x v="4"/>
    <x v="167"/>
    <n v="16.5"/>
    <n v="16.5"/>
    <x v="2"/>
    <x v="0"/>
    <s v="Sliced Ham, Pineapple, Mozzarella Cheese"/>
    <x v="0"/>
  </r>
  <r>
    <n v="776"/>
    <n v="337"/>
    <n v="0.5"/>
    <s v="pepperoni_l"/>
    <n v="1"/>
    <x v="5"/>
    <x v="4"/>
    <x v="167"/>
    <n v="15.25"/>
    <n v="15.25"/>
    <x v="2"/>
    <x v="0"/>
    <s v="Mozzarella Cheese, Pepperoni"/>
    <x v="3"/>
  </r>
  <r>
    <n v="777"/>
    <n v="338"/>
    <n v="0.5"/>
    <s v="mexicana_l"/>
    <n v="1"/>
    <x v="5"/>
    <x v="4"/>
    <x v="168"/>
    <n v="20.25"/>
    <n v="20.25"/>
    <x v="2"/>
    <x v="1"/>
    <s v="Tomatoes, Red Peppers, Jalapeno Peppers, Red Onions, Cilantro, Corn, Chipotle Sauce, Garlic"/>
    <x v="1"/>
  </r>
  <r>
    <n v="779"/>
    <n v="338"/>
    <n v="0.5"/>
    <s v="the_greek_xl"/>
    <n v="1"/>
    <x v="5"/>
    <x v="4"/>
    <x v="168"/>
    <n v="25.5"/>
    <n v="25.5"/>
    <x v="3"/>
    <x v="0"/>
    <s v="Kalamata Olives, Feta Cheese, Tomatoes, Garlic, Beef Chuck Roast, Red Onions"/>
    <x v="2"/>
  </r>
  <r>
    <n v="783"/>
    <n v="341"/>
    <n v="1"/>
    <s v="pepperoni_s"/>
    <n v="1"/>
    <x v="5"/>
    <x v="4"/>
    <x v="169"/>
    <n v="9.75"/>
    <n v="9.75"/>
    <x v="1"/>
    <x v="0"/>
    <s v="Mozzarella Cheese, Pepperoni"/>
    <x v="3"/>
  </r>
  <r>
    <n v="784"/>
    <n v="342"/>
    <n v="1"/>
    <s v="sicilian_l"/>
    <n v="1"/>
    <x v="5"/>
    <x v="4"/>
    <x v="170"/>
    <n v="20.25"/>
    <n v="20.25"/>
    <x v="2"/>
    <x v="2"/>
    <s v="Coarse Sicilian Salami, Tomatoes, Green Olives, Luganega Sausage, Onions, Garlic"/>
    <x v="7"/>
  </r>
  <r>
    <n v="792"/>
    <n v="346"/>
    <n v="0.5"/>
    <s v="hawaiian_s"/>
    <n v="1"/>
    <x v="5"/>
    <x v="4"/>
    <x v="171"/>
    <n v="10.5"/>
    <n v="10.5"/>
    <x v="1"/>
    <x v="0"/>
    <s v="Sliced Ham, Pineapple, Mozzarella Cheese"/>
    <x v="0"/>
  </r>
  <r>
    <n v="794"/>
    <n v="346"/>
    <n v="0.5"/>
    <s v="napolitana_s"/>
    <n v="1"/>
    <x v="5"/>
    <x v="4"/>
    <x v="171"/>
    <n v="12"/>
    <n v="12"/>
    <x v="1"/>
    <x v="0"/>
    <s v="Tomatoes, Anchovies, Green Olives, Red Onions, Garlic"/>
    <x v="5"/>
  </r>
  <r>
    <n v="801"/>
    <n v="349"/>
    <n v="1"/>
    <s v="pepperoni_l"/>
    <n v="1"/>
    <x v="5"/>
    <x v="4"/>
    <x v="172"/>
    <n v="15.25"/>
    <n v="15.25"/>
    <x v="2"/>
    <x v="0"/>
    <s v="Mozzarella Cheese, Pepperoni"/>
    <x v="3"/>
  </r>
  <r>
    <n v="803"/>
    <n v="350"/>
    <n v="1"/>
    <s v="pepperoni_m"/>
    <n v="2"/>
    <x v="5"/>
    <x v="4"/>
    <x v="173"/>
    <n v="12.5"/>
    <n v="25"/>
    <x v="0"/>
    <x v="0"/>
    <s v="Mozzarella Cheese, Pepperoni"/>
    <x v="3"/>
  </r>
  <r>
    <n v="805"/>
    <n v="351"/>
    <n v="0.5"/>
    <s v="big_meat_s"/>
    <n v="1"/>
    <x v="5"/>
    <x v="4"/>
    <x v="174"/>
    <n v="12"/>
    <n v="12"/>
    <x v="1"/>
    <x v="0"/>
    <s v="Bacon, Pepperoni, Italian Sausage, Chorizo Sausage"/>
    <x v="4"/>
  </r>
  <r>
    <n v="806"/>
    <n v="351"/>
    <n v="0.5"/>
    <s v="hawaiian_m"/>
    <n v="1"/>
    <x v="5"/>
    <x v="4"/>
    <x v="174"/>
    <n v="13.25"/>
    <n v="13.25"/>
    <x v="0"/>
    <x v="0"/>
    <s v="Sliced Ham, Pineapple, Mozzarella Cheese"/>
    <x v="0"/>
  </r>
  <r>
    <n v="807"/>
    <n v="352"/>
    <n v="1"/>
    <s v="big_meat_s"/>
    <n v="1"/>
    <x v="5"/>
    <x v="4"/>
    <x v="175"/>
    <n v="12"/>
    <n v="12"/>
    <x v="1"/>
    <x v="0"/>
    <s v="Bacon, Pepperoni, Italian Sausage, Chorizo Sausage"/>
    <x v="4"/>
  </r>
  <r>
    <n v="825"/>
    <n v="360"/>
    <n v="1"/>
    <s v="hawaiian_s"/>
    <n v="1"/>
    <x v="5"/>
    <x v="4"/>
    <x v="176"/>
    <n v="10.5"/>
    <n v="10.5"/>
    <x v="1"/>
    <x v="0"/>
    <s v="Sliced Ham, Pineapple, Mozzarella Cheese"/>
    <x v="0"/>
  </r>
  <r>
    <n v="826"/>
    <n v="361"/>
    <n v="1"/>
    <s v="big_meat_s"/>
    <n v="2"/>
    <x v="5"/>
    <x v="4"/>
    <x v="177"/>
    <n v="12"/>
    <n v="24"/>
    <x v="1"/>
    <x v="0"/>
    <s v="Bacon, Pepperoni, Italian Sausage, Chorizo Sausage"/>
    <x v="4"/>
  </r>
  <r>
    <n v="829"/>
    <n v="362"/>
    <n v="1"/>
    <s v="mexicana_l"/>
    <n v="1"/>
    <x v="5"/>
    <x v="4"/>
    <x v="178"/>
    <n v="20.25"/>
    <n v="20.25"/>
    <x v="2"/>
    <x v="1"/>
    <s v="Tomatoes, Red Peppers, Jalapeno Peppers, Red Onions, Cilantro, Corn, Chipotle Sauce, Garlic"/>
    <x v="1"/>
  </r>
  <r>
    <n v="831"/>
    <n v="363"/>
    <n v="1"/>
    <s v="mexicana_l"/>
    <n v="1"/>
    <x v="5"/>
    <x v="4"/>
    <x v="179"/>
    <n v="20.25"/>
    <n v="20.25"/>
    <x v="2"/>
    <x v="1"/>
    <s v="Tomatoes, Red Peppers, Jalapeno Peppers, Red Onions, Cilantro, Corn, Chipotle Sauce, Garlic"/>
    <x v="1"/>
  </r>
  <r>
    <n v="833"/>
    <n v="364"/>
    <n v="1"/>
    <s v="the_greek_xl"/>
    <n v="1"/>
    <x v="5"/>
    <x v="4"/>
    <x v="180"/>
    <n v="25.5"/>
    <n v="25.5"/>
    <x v="3"/>
    <x v="0"/>
    <s v="Kalamata Olives, Feta Cheese, Tomatoes, Garlic, Beef Chuck Roast, Red Onions"/>
    <x v="2"/>
  </r>
  <r>
    <n v="836"/>
    <n v="365"/>
    <n v="1"/>
    <s v="pepperoni_m"/>
    <n v="1"/>
    <x v="5"/>
    <x v="4"/>
    <x v="181"/>
    <n v="12.5"/>
    <n v="12.5"/>
    <x v="0"/>
    <x v="0"/>
    <s v="Mozzarella Cheese, Pepperoni"/>
    <x v="3"/>
  </r>
  <r>
    <n v="838"/>
    <n v="367"/>
    <n v="1"/>
    <s v="hawaiian_l"/>
    <n v="1"/>
    <x v="5"/>
    <x v="4"/>
    <x v="182"/>
    <n v="16.5"/>
    <n v="16.5"/>
    <x v="2"/>
    <x v="0"/>
    <s v="Sliced Ham, Pineapple, Mozzarella Cheese"/>
    <x v="0"/>
  </r>
  <r>
    <n v="844"/>
    <n v="370"/>
    <n v="1"/>
    <s v="hawaiian_s"/>
    <n v="1"/>
    <x v="5"/>
    <x v="4"/>
    <x v="183"/>
    <n v="10.5"/>
    <n v="10.5"/>
    <x v="1"/>
    <x v="0"/>
    <s v="Sliced Ham, Pineapple, Mozzarella Cheese"/>
    <x v="0"/>
  </r>
  <r>
    <n v="845"/>
    <n v="371"/>
    <n v="1"/>
    <s v="pepperoni_m"/>
    <n v="1"/>
    <x v="5"/>
    <x v="4"/>
    <x v="184"/>
    <n v="12.5"/>
    <n v="12.5"/>
    <x v="0"/>
    <x v="0"/>
    <s v="Mozzarella Cheese, Pepperoni"/>
    <x v="3"/>
  </r>
  <r>
    <n v="849"/>
    <n v="373"/>
    <n v="1"/>
    <s v="sicilian_l"/>
    <n v="1"/>
    <x v="6"/>
    <x v="2"/>
    <x v="185"/>
    <n v="20.25"/>
    <n v="20.25"/>
    <x v="2"/>
    <x v="2"/>
    <s v="Coarse Sicilian Salami, Tomatoes, Green Olives, Luganega Sausage, Onions, Garlic"/>
    <x v="7"/>
  </r>
  <r>
    <n v="850"/>
    <n v="374"/>
    <n v="1"/>
    <s v="big_meat_s"/>
    <n v="1"/>
    <x v="6"/>
    <x v="2"/>
    <x v="186"/>
    <n v="12"/>
    <n v="12"/>
    <x v="1"/>
    <x v="0"/>
    <s v="Bacon, Pepperoni, Italian Sausage, Chorizo Sausage"/>
    <x v="4"/>
  </r>
  <r>
    <n v="853"/>
    <n v="375"/>
    <n v="1"/>
    <s v="mexicana_m"/>
    <n v="1"/>
    <x v="6"/>
    <x v="2"/>
    <x v="187"/>
    <n v="16"/>
    <n v="16"/>
    <x v="0"/>
    <x v="1"/>
    <s v="Tomatoes, Red Peppers, Jalapeno Peppers, Red Onions, Cilantro, Corn, Chipotle Sauce, Garlic"/>
    <x v="1"/>
  </r>
  <r>
    <n v="854"/>
    <n v="376"/>
    <n v="1"/>
    <s v="the_greek_xl"/>
    <n v="1"/>
    <x v="6"/>
    <x v="2"/>
    <x v="188"/>
    <n v="25.5"/>
    <n v="25.5"/>
    <x v="3"/>
    <x v="0"/>
    <s v="Kalamata Olives, Feta Cheese, Tomatoes, Garlic, Beef Chuck Roast, Red Onions"/>
    <x v="2"/>
  </r>
  <r>
    <n v="856"/>
    <n v="377"/>
    <n v="1"/>
    <s v="hawaiian_m"/>
    <n v="1"/>
    <x v="6"/>
    <x v="2"/>
    <x v="189"/>
    <n v="13.25"/>
    <n v="13.25"/>
    <x v="0"/>
    <x v="0"/>
    <s v="Sliced Ham, Pineapple, Mozzarella Cheese"/>
    <x v="0"/>
  </r>
  <r>
    <n v="860"/>
    <n v="380"/>
    <n v="1"/>
    <s v="calabrese_m"/>
    <n v="1"/>
    <x v="6"/>
    <x v="2"/>
    <x v="190"/>
    <n v="16.25"/>
    <n v="16.25"/>
    <x v="0"/>
    <x v="2"/>
    <s v="?duja Salami, Pancetta, Tomatoes, Red Onions, Friggitello Peppers, Garlic"/>
    <x v="6"/>
  </r>
  <r>
    <n v="866"/>
    <n v="384"/>
    <n v="0.5"/>
    <s v="hawaiian_s"/>
    <n v="1"/>
    <x v="6"/>
    <x v="2"/>
    <x v="191"/>
    <n v="10.5"/>
    <n v="10.5"/>
    <x v="1"/>
    <x v="0"/>
    <s v="Sliced Ham, Pineapple, Mozzarella Cheese"/>
    <x v="0"/>
  </r>
  <r>
    <n v="869"/>
    <n v="384"/>
    <n v="0.5"/>
    <s v="the_greek_s"/>
    <n v="1"/>
    <x v="6"/>
    <x v="2"/>
    <x v="191"/>
    <n v="12"/>
    <n v="12"/>
    <x v="1"/>
    <x v="0"/>
    <s v="Kalamata Olives, Feta Cheese, Tomatoes, Garlic, Beef Chuck Roast, Red Onions"/>
    <x v="2"/>
  </r>
  <r>
    <n v="875"/>
    <n v="387"/>
    <n v="0.5"/>
    <s v="big_meat_s"/>
    <n v="1"/>
    <x v="6"/>
    <x v="2"/>
    <x v="192"/>
    <n v="12"/>
    <n v="12"/>
    <x v="1"/>
    <x v="0"/>
    <s v="Bacon, Pepperoni, Italian Sausage, Chorizo Sausage"/>
    <x v="4"/>
  </r>
  <r>
    <n v="878"/>
    <n v="387"/>
    <n v="0.5"/>
    <s v="pepperoni_s"/>
    <n v="1"/>
    <x v="6"/>
    <x v="2"/>
    <x v="192"/>
    <n v="9.75"/>
    <n v="9.75"/>
    <x v="1"/>
    <x v="0"/>
    <s v="Mozzarella Cheese, Pepperoni"/>
    <x v="3"/>
  </r>
  <r>
    <n v="887"/>
    <n v="391"/>
    <n v="1"/>
    <s v="the_greek_m"/>
    <n v="1"/>
    <x v="6"/>
    <x v="2"/>
    <x v="193"/>
    <n v="16"/>
    <n v="16"/>
    <x v="0"/>
    <x v="0"/>
    <s v="Kalamata Olives, Feta Cheese, Tomatoes, Garlic, Beef Chuck Roast, Red Onions"/>
    <x v="2"/>
  </r>
  <r>
    <n v="888"/>
    <n v="392"/>
    <n v="0.25"/>
    <s v="big_meat_s"/>
    <n v="1"/>
    <x v="6"/>
    <x v="2"/>
    <x v="194"/>
    <n v="12"/>
    <n v="12"/>
    <x v="1"/>
    <x v="0"/>
    <s v="Bacon, Pepperoni, Italian Sausage, Chorizo Sausage"/>
    <x v="4"/>
  </r>
  <r>
    <n v="889"/>
    <n v="392"/>
    <n v="0.25"/>
    <s v="calabrese_s"/>
    <n v="1"/>
    <x v="6"/>
    <x v="2"/>
    <x v="194"/>
    <n v="12.25"/>
    <n v="12.25"/>
    <x v="1"/>
    <x v="2"/>
    <s v="?duja Salami, Pancetta, Tomatoes, Red Onions, Friggitello Peppers, Garlic"/>
    <x v="6"/>
  </r>
  <r>
    <n v="891"/>
    <n v="392"/>
    <n v="0.25"/>
    <s v="pepperoni_s"/>
    <n v="2"/>
    <x v="6"/>
    <x v="2"/>
    <x v="194"/>
    <n v="9.75"/>
    <n v="19.5"/>
    <x v="1"/>
    <x v="0"/>
    <s v="Mozzarella Cheese, Pepperoni"/>
    <x v="3"/>
  </r>
  <r>
    <n v="893"/>
    <n v="392"/>
    <n v="0.25"/>
    <s v="sicilian_l"/>
    <n v="1"/>
    <x v="6"/>
    <x v="2"/>
    <x v="194"/>
    <n v="20.25"/>
    <n v="20.25"/>
    <x v="2"/>
    <x v="2"/>
    <s v="Coarse Sicilian Salami, Tomatoes, Green Olives, Luganega Sausage, Onions, Garlic"/>
    <x v="7"/>
  </r>
  <r>
    <n v="897"/>
    <n v="393"/>
    <n v="1"/>
    <s v="hawaiian_l"/>
    <n v="1"/>
    <x v="6"/>
    <x v="2"/>
    <x v="195"/>
    <n v="16.5"/>
    <n v="16.5"/>
    <x v="2"/>
    <x v="0"/>
    <s v="Sliced Ham, Pineapple, Mozzarella Cheese"/>
    <x v="0"/>
  </r>
  <r>
    <n v="898"/>
    <n v="394"/>
    <n v="0.16666666666666666"/>
    <s v="big_meat_s"/>
    <n v="1"/>
    <x v="6"/>
    <x v="2"/>
    <x v="196"/>
    <n v="12"/>
    <n v="12"/>
    <x v="1"/>
    <x v="0"/>
    <s v="Bacon, Pepperoni, Italian Sausage, Chorizo Sausage"/>
    <x v="4"/>
  </r>
  <r>
    <n v="900"/>
    <n v="394"/>
    <n v="0.16666666666666666"/>
    <s v="hawaiian_l"/>
    <n v="1"/>
    <x v="6"/>
    <x v="2"/>
    <x v="196"/>
    <n v="16.5"/>
    <n v="16.5"/>
    <x v="2"/>
    <x v="0"/>
    <s v="Sliced Ham, Pineapple, Mozzarella Cheese"/>
    <x v="0"/>
  </r>
  <r>
    <n v="901"/>
    <n v="394"/>
    <n v="0.16666666666666666"/>
    <s v="hawaiian_s"/>
    <n v="1"/>
    <x v="6"/>
    <x v="2"/>
    <x v="196"/>
    <n v="10.5"/>
    <n v="10.5"/>
    <x v="1"/>
    <x v="0"/>
    <s v="Sliced Ham, Pineapple, Mozzarella Cheese"/>
    <x v="0"/>
  </r>
  <r>
    <n v="903"/>
    <n v="394"/>
    <n v="0.16666666666666666"/>
    <s v="pepperoni_m"/>
    <n v="3"/>
    <x v="6"/>
    <x v="2"/>
    <x v="196"/>
    <n v="12.5"/>
    <n v="37.5"/>
    <x v="0"/>
    <x v="0"/>
    <s v="Mozzarella Cheese, Pepperoni"/>
    <x v="3"/>
  </r>
  <r>
    <n v="904"/>
    <n v="394"/>
    <n v="0.16666666666666666"/>
    <s v="pepperoni_s"/>
    <n v="1"/>
    <x v="6"/>
    <x v="2"/>
    <x v="196"/>
    <n v="9.75"/>
    <n v="9.75"/>
    <x v="1"/>
    <x v="0"/>
    <s v="Mozzarella Cheese, Pepperoni"/>
    <x v="3"/>
  </r>
  <r>
    <n v="905"/>
    <n v="394"/>
    <n v="0.16666666666666666"/>
    <s v="sicilian_l"/>
    <n v="1"/>
    <x v="6"/>
    <x v="2"/>
    <x v="196"/>
    <n v="20.25"/>
    <n v="20.25"/>
    <x v="2"/>
    <x v="2"/>
    <s v="Coarse Sicilian Salami, Tomatoes, Green Olives, Luganega Sausage, Onions, Garlic"/>
    <x v="7"/>
  </r>
  <r>
    <n v="910"/>
    <n v="395"/>
    <n v="1"/>
    <s v="napolitana_m"/>
    <n v="1"/>
    <x v="6"/>
    <x v="2"/>
    <x v="197"/>
    <n v="16"/>
    <n v="16"/>
    <x v="0"/>
    <x v="0"/>
    <s v="Tomatoes, Anchovies, Green Olives, Red Onions, Garlic"/>
    <x v="5"/>
  </r>
  <r>
    <n v="913"/>
    <n v="397"/>
    <n v="0.5"/>
    <s v="hawaiian_l"/>
    <n v="1"/>
    <x v="6"/>
    <x v="2"/>
    <x v="198"/>
    <n v="16.5"/>
    <n v="16.5"/>
    <x v="2"/>
    <x v="0"/>
    <s v="Sliced Ham, Pineapple, Mozzarella Cheese"/>
    <x v="0"/>
  </r>
  <r>
    <n v="914"/>
    <n v="397"/>
    <n v="0.5"/>
    <s v="pepperoni_m"/>
    <n v="1"/>
    <x v="6"/>
    <x v="2"/>
    <x v="198"/>
    <n v="12.5"/>
    <n v="12.5"/>
    <x v="0"/>
    <x v="0"/>
    <s v="Mozzarella Cheese, Pepperoni"/>
    <x v="3"/>
  </r>
  <r>
    <n v="915"/>
    <n v="398"/>
    <n v="1"/>
    <s v="pepperoni_s"/>
    <n v="1"/>
    <x v="6"/>
    <x v="2"/>
    <x v="199"/>
    <n v="9.75"/>
    <n v="9.75"/>
    <x v="1"/>
    <x v="0"/>
    <s v="Mozzarella Cheese, Pepperoni"/>
    <x v="3"/>
  </r>
  <r>
    <n v="919"/>
    <n v="399"/>
    <n v="1"/>
    <s v="the_greek_m"/>
    <n v="1"/>
    <x v="6"/>
    <x v="2"/>
    <x v="200"/>
    <n v="16"/>
    <n v="16"/>
    <x v="0"/>
    <x v="0"/>
    <s v="Kalamata Olives, Feta Cheese, Tomatoes, Garlic, Beef Chuck Roast, Red Onions"/>
    <x v="2"/>
  </r>
  <r>
    <n v="920"/>
    <n v="400"/>
    <n v="1"/>
    <s v="pepperoni_m"/>
    <n v="1"/>
    <x v="6"/>
    <x v="2"/>
    <x v="201"/>
    <n v="12.5"/>
    <n v="12.5"/>
    <x v="0"/>
    <x v="0"/>
    <s v="Mozzarella Cheese, Pepperoni"/>
    <x v="3"/>
  </r>
  <r>
    <n v="929"/>
    <n v="405"/>
    <n v="1"/>
    <s v="sicilian_l"/>
    <n v="1"/>
    <x v="6"/>
    <x v="2"/>
    <x v="202"/>
    <n v="20.25"/>
    <n v="20.25"/>
    <x v="2"/>
    <x v="2"/>
    <s v="Coarse Sicilian Salami, Tomatoes, Green Olives, Luganega Sausage, Onions, Garlic"/>
    <x v="7"/>
  </r>
  <r>
    <n v="935"/>
    <n v="407"/>
    <n v="1"/>
    <s v="pepperoni_m"/>
    <n v="1"/>
    <x v="6"/>
    <x v="2"/>
    <x v="203"/>
    <n v="12.5"/>
    <n v="12.5"/>
    <x v="0"/>
    <x v="0"/>
    <s v="Mozzarella Cheese, Pepperoni"/>
    <x v="3"/>
  </r>
  <r>
    <n v="936"/>
    <n v="408"/>
    <n v="1"/>
    <s v="brie_carre_s"/>
    <n v="1"/>
    <x v="6"/>
    <x v="2"/>
    <x v="204"/>
    <n v="23.65"/>
    <n v="23.65"/>
    <x v="1"/>
    <x v="2"/>
    <s v="Brie Carre Cheese, Prosciutto, Caramelized Onions, Pears, Thyme, Garlic"/>
    <x v="8"/>
  </r>
  <r>
    <n v="938"/>
    <n v="409"/>
    <n v="1"/>
    <s v="pepperoni_l"/>
    <n v="1"/>
    <x v="6"/>
    <x v="2"/>
    <x v="205"/>
    <n v="15.25"/>
    <n v="15.25"/>
    <x v="2"/>
    <x v="0"/>
    <s v="Mozzarella Cheese, Pepperoni"/>
    <x v="3"/>
  </r>
  <r>
    <n v="939"/>
    <n v="410"/>
    <n v="0.5"/>
    <s v="big_meat_s"/>
    <n v="2"/>
    <x v="6"/>
    <x v="2"/>
    <x v="206"/>
    <n v="12"/>
    <n v="24"/>
    <x v="1"/>
    <x v="0"/>
    <s v="Bacon, Pepperoni, Italian Sausage, Chorizo Sausage"/>
    <x v="4"/>
  </r>
  <r>
    <n v="941"/>
    <n v="410"/>
    <n v="0.5"/>
    <s v="the_greek_xl"/>
    <n v="1"/>
    <x v="6"/>
    <x v="2"/>
    <x v="206"/>
    <n v="25.5"/>
    <n v="25.5"/>
    <x v="3"/>
    <x v="0"/>
    <s v="Kalamata Olives, Feta Cheese, Tomatoes, Garlic, Beef Chuck Roast, Red Onions"/>
    <x v="2"/>
  </r>
  <r>
    <n v="944"/>
    <n v="412"/>
    <n v="1"/>
    <s v="brie_carre_s"/>
    <n v="1"/>
    <x v="6"/>
    <x v="2"/>
    <x v="207"/>
    <n v="23.65"/>
    <n v="23.65"/>
    <x v="1"/>
    <x v="2"/>
    <s v="Brie Carre Cheese, Prosciutto, Caramelized Onions, Pears, Thyme, Garlic"/>
    <x v="8"/>
  </r>
  <r>
    <n v="946"/>
    <n v="413"/>
    <n v="1"/>
    <s v="the_greek_s"/>
    <n v="1"/>
    <x v="6"/>
    <x v="2"/>
    <x v="208"/>
    <n v="12"/>
    <n v="12"/>
    <x v="1"/>
    <x v="0"/>
    <s v="Kalamata Olives, Feta Cheese, Tomatoes, Garlic, Beef Chuck Roast, Red Onions"/>
    <x v="2"/>
  </r>
  <r>
    <n v="952"/>
    <n v="417"/>
    <n v="1"/>
    <s v="pepperoni_s"/>
    <n v="1"/>
    <x v="6"/>
    <x v="2"/>
    <x v="209"/>
    <n v="9.75"/>
    <n v="9.75"/>
    <x v="1"/>
    <x v="0"/>
    <s v="Mozzarella Cheese, Pepperoni"/>
    <x v="3"/>
  </r>
  <r>
    <n v="954"/>
    <n v="418"/>
    <n v="1"/>
    <s v="sicilian_m"/>
    <n v="1"/>
    <x v="6"/>
    <x v="2"/>
    <x v="210"/>
    <n v="16.25"/>
    <n v="16.25"/>
    <x v="0"/>
    <x v="2"/>
    <s v="Coarse Sicilian Salami, Tomatoes, Green Olives, Luganega Sausage, Onions, Garlic"/>
    <x v="7"/>
  </r>
  <r>
    <n v="956"/>
    <n v="419"/>
    <n v="1"/>
    <s v="hawaiian_l"/>
    <n v="1"/>
    <x v="6"/>
    <x v="2"/>
    <x v="211"/>
    <n v="16.5"/>
    <n v="16.5"/>
    <x v="2"/>
    <x v="0"/>
    <s v="Sliced Ham, Pineapple, Mozzarella Cheese"/>
    <x v="0"/>
  </r>
  <r>
    <n v="962"/>
    <n v="421"/>
    <n v="1"/>
    <s v="calabrese_l"/>
    <n v="1"/>
    <x v="6"/>
    <x v="2"/>
    <x v="212"/>
    <n v="20.25"/>
    <n v="20.25"/>
    <x v="2"/>
    <x v="2"/>
    <s v="?duja Salami, Pancetta, Tomatoes, Red Onions, Friggitello Peppers, Garlic"/>
    <x v="6"/>
  </r>
  <r>
    <n v="968"/>
    <n v="423"/>
    <n v="1"/>
    <s v="sicilian_s"/>
    <n v="1"/>
    <x v="6"/>
    <x v="2"/>
    <x v="213"/>
    <n v="12.25"/>
    <n v="12.25"/>
    <x v="1"/>
    <x v="2"/>
    <s v="Coarse Sicilian Salami, Tomatoes, Green Olives, Luganega Sausage, Onions, Garlic"/>
    <x v="7"/>
  </r>
  <r>
    <n v="969"/>
    <n v="424"/>
    <n v="1"/>
    <s v="pepperoni_m"/>
    <n v="1"/>
    <x v="6"/>
    <x v="2"/>
    <x v="214"/>
    <n v="12.5"/>
    <n v="12.5"/>
    <x v="0"/>
    <x v="0"/>
    <s v="Mozzarella Cheese, Pepperoni"/>
    <x v="3"/>
  </r>
  <r>
    <n v="972"/>
    <n v="426"/>
    <n v="1"/>
    <s v="sicilian_s"/>
    <n v="1"/>
    <x v="6"/>
    <x v="2"/>
    <x v="215"/>
    <n v="12.25"/>
    <n v="12.25"/>
    <x v="1"/>
    <x v="2"/>
    <s v="Coarse Sicilian Salami, Tomatoes, Green Olives, Luganega Sausage, Onions, Garlic"/>
    <x v="7"/>
  </r>
  <r>
    <n v="975"/>
    <n v="428"/>
    <n v="1"/>
    <s v="calabrese_l"/>
    <n v="1"/>
    <x v="6"/>
    <x v="2"/>
    <x v="216"/>
    <n v="20.25"/>
    <n v="20.25"/>
    <x v="2"/>
    <x v="2"/>
    <s v="?duja Salami, Pancetta, Tomatoes, Red Onions, Friggitello Peppers, Garlic"/>
    <x v="6"/>
  </r>
  <r>
    <n v="979"/>
    <n v="430"/>
    <n v="1"/>
    <s v="sicilian_s"/>
    <n v="1"/>
    <x v="6"/>
    <x v="2"/>
    <x v="217"/>
    <n v="12.25"/>
    <n v="12.25"/>
    <x v="1"/>
    <x v="2"/>
    <s v="Coarse Sicilian Salami, Tomatoes, Green Olives, Luganega Sausage, Onions, Garlic"/>
    <x v="7"/>
  </r>
  <r>
    <n v="980"/>
    <n v="431"/>
    <n v="0.5"/>
    <s v="big_meat_s"/>
    <n v="1"/>
    <x v="7"/>
    <x v="5"/>
    <x v="218"/>
    <n v="12"/>
    <n v="12"/>
    <x v="1"/>
    <x v="0"/>
    <s v="Bacon, Pepperoni, Italian Sausage, Chorizo Sausage"/>
    <x v="4"/>
  </r>
  <r>
    <n v="983"/>
    <n v="431"/>
    <n v="0.5"/>
    <s v="hawaiian_l"/>
    <n v="1"/>
    <x v="7"/>
    <x v="5"/>
    <x v="218"/>
    <n v="16.5"/>
    <n v="16.5"/>
    <x v="2"/>
    <x v="0"/>
    <s v="Sliced Ham, Pineapple, Mozzarella Cheese"/>
    <x v="0"/>
  </r>
  <r>
    <n v="988"/>
    <n v="434"/>
    <n v="1"/>
    <s v="napolitana_m"/>
    <n v="1"/>
    <x v="7"/>
    <x v="5"/>
    <x v="219"/>
    <n v="16"/>
    <n v="16"/>
    <x v="0"/>
    <x v="0"/>
    <s v="Tomatoes, Anchovies, Green Olives, Red Onions, Garlic"/>
    <x v="5"/>
  </r>
  <r>
    <n v="1001"/>
    <n v="439"/>
    <n v="0.5"/>
    <s v="pepperoni_m"/>
    <n v="1"/>
    <x v="7"/>
    <x v="5"/>
    <x v="220"/>
    <n v="12.5"/>
    <n v="12.5"/>
    <x v="0"/>
    <x v="0"/>
    <s v="Mozzarella Cheese, Pepperoni"/>
    <x v="3"/>
  </r>
  <r>
    <n v="1002"/>
    <n v="439"/>
    <n v="0.5"/>
    <s v="the_greek_s"/>
    <n v="1"/>
    <x v="7"/>
    <x v="5"/>
    <x v="220"/>
    <n v="12"/>
    <n v="12"/>
    <x v="1"/>
    <x v="0"/>
    <s v="Kalamata Olives, Feta Cheese, Tomatoes, Garlic, Beef Chuck Roast, Red Onions"/>
    <x v="2"/>
  </r>
  <r>
    <n v="1003"/>
    <n v="440"/>
    <n v="0.33333333333333331"/>
    <s v="calabrese_m"/>
    <n v="1"/>
    <x v="7"/>
    <x v="5"/>
    <x v="221"/>
    <n v="16.25"/>
    <n v="16.25"/>
    <x v="0"/>
    <x v="2"/>
    <s v="?duja Salami, Pancetta, Tomatoes, Red Onions, Friggitello Peppers, Garlic"/>
    <x v="6"/>
  </r>
  <r>
    <n v="1010"/>
    <n v="440"/>
    <n v="0.33333333333333331"/>
    <s v="hawaiian_l"/>
    <n v="1"/>
    <x v="7"/>
    <x v="5"/>
    <x v="221"/>
    <n v="16.5"/>
    <n v="16.5"/>
    <x v="2"/>
    <x v="0"/>
    <s v="Sliced Ham, Pineapple, Mozzarella Cheese"/>
    <x v="0"/>
  </r>
  <r>
    <n v="1012"/>
    <n v="440"/>
    <n v="0.33333333333333331"/>
    <s v="pepperoni_l"/>
    <n v="1"/>
    <x v="7"/>
    <x v="5"/>
    <x v="221"/>
    <n v="15.25"/>
    <n v="15.25"/>
    <x v="2"/>
    <x v="0"/>
    <s v="Mozzarella Cheese, Pepperoni"/>
    <x v="3"/>
  </r>
  <r>
    <n v="1020"/>
    <n v="443"/>
    <n v="0.2"/>
    <s v="big_meat_s"/>
    <n v="1"/>
    <x v="7"/>
    <x v="5"/>
    <x v="222"/>
    <n v="12"/>
    <n v="12"/>
    <x v="1"/>
    <x v="0"/>
    <s v="Bacon, Pepperoni, Italian Sausage, Chorizo Sausage"/>
    <x v="4"/>
  </r>
  <r>
    <n v="1025"/>
    <n v="443"/>
    <n v="0.2"/>
    <s v="mexicana_l"/>
    <n v="1"/>
    <x v="7"/>
    <x v="5"/>
    <x v="222"/>
    <n v="20.25"/>
    <n v="20.25"/>
    <x v="2"/>
    <x v="1"/>
    <s v="Tomatoes, Red Peppers, Jalapeno Peppers, Red Onions, Cilantro, Corn, Chipotle Sauce, Garlic"/>
    <x v="1"/>
  </r>
  <r>
    <n v="1026"/>
    <n v="443"/>
    <n v="0.2"/>
    <s v="pepperoni_l"/>
    <n v="1"/>
    <x v="7"/>
    <x v="5"/>
    <x v="222"/>
    <n v="15.25"/>
    <n v="15.25"/>
    <x v="2"/>
    <x v="0"/>
    <s v="Mozzarella Cheese, Pepperoni"/>
    <x v="3"/>
  </r>
  <r>
    <n v="1027"/>
    <n v="443"/>
    <n v="0.2"/>
    <s v="sicilian_l"/>
    <n v="1"/>
    <x v="7"/>
    <x v="5"/>
    <x v="222"/>
    <n v="20.25"/>
    <n v="20.25"/>
    <x v="2"/>
    <x v="2"/>
    <s v="Coarse Sicilian Salami, Tomatoes, Green Olives, Luganega Sausage, Onions, Garlic"/>
    <x v="7"/>
  </r>
  <r>
    <n v="1028"/>
    <n v="443"/>
    <n v="0.2"/>
    <s v="sicilian_m"/>
    <n v="1"/>
    <x v="7"/>
    <x v="5"/>
    <x v="222"/>
    <n v="16.25"/>
    <n v="16.25"/>
    <x v="0"/>
    <x v="2"/>
    <s v="Coarse Sicilian Salami, Tomatoes, Green Olives, Luganega Sausage, Onions, Garlic"/>
    <x v="7"/>
  </r>
  <r>
    <n v="1035"/>
    <n v="445"/>
    <n v="1"/>
    <s v="hawaiian_l"/>
    <n v="1"/>
    <x v="7"/>
    <x v="5"/>
    <x v="223"/>
    <n v="16.5"/>
    <n v="16.5"/>
    <x v="2"/>
    <x v="0"/>
    <s v="Sliced Ham, Pineapple, Mozzarella Cheese"/>
    <x v="0"/>
  </r>
  <r>
    <n v="1036"/>
    <n v="446"/>
    <n v="0.5"/>
    <s v="big_meat_s"/>
    <n v="1"/>
    <x v="7"/>
    <x v="5"/>
    <x v="224"/>
    <n v="12"/>
    <n v="12"/>
    <x v="1"/>
    <x v="0"/>
    <s v="Bacon, Pepperoni, Italian Sausage, Chorizo Sausage"/>
    <x v="4"/>
  </r>
  <r>
    <n v="1038"/>
    <n v="446"/>
    <n v="0.5"/>
    <s v="sicilian_l"/>
    <n v="1"/>
    <x v="7"/>
    <x v="5"/>
    <x v="224"/>
    <n v="20.25"/>
    <n v="20.25"/>
    <x v="2"/>
    <x v="2"/>
    <s v="Coarse Sicilian Salami, Tomatoes, Green Olives, Luganega Sausage, Onions, Garlic"/>
    <x v="7"/>
  </r>
  <r>
    <n v="1040"/>
    <n v="448"/>
    <n v="0.5"/>
    <s v="hawaiian_s"/>
    <n v="1"/>
    <x v="7"/>
    <x v="5"/>
    <x v="225"/>
    <n v="10.5"/>
    <n v="10.5"/>
    <x v="1"/>
    <x v="0"/>
    <s v="Sliced Ham, Pineapple, Mozzarella Cheese"/>
    <x v="0"/>
  </r>
  <r>
    <n v="1042"/>
    <n v="448"/>
    <n v="0.5"/>
    <s v="sicilian_m"/>
    <n v="1"/>
    <x v="7"/>
    <x v="5"/>
    <x v="225"/>
    <n v="16.25"/>
    <n v="16.25"/>
    <x v="0"/>
    <x v="2"/>
    <s v="Coarse Sicilian Salami, Tomatoes, Green Olives, Luganega Sausage, Onions, Garlic"/>
    <x v="7"/>
  </r>
  <r>
    <n v="1044"/>
    <n v="450"/>
    <n v="1"/>
    <s v="big_meat_s"/>
    <n v="1"/>
    <x v="7"/>
    <x v="5"/>
    <x v="226"/>
    <n v="12"/>
    <n v="12"/>
    <x v="1"/>
    <x v="0"/>
    <s v="Bacon, Pepperoni, Italian Sausage, Chorizo Sausage"/>
    <x v="4"/>
  </r>
  <r>
    <n v="1049"/>
    <n v="452"/>
    <n v="0.5"/>
    <s v="big_meat_s"/>
    <n v="1"/>
    <x v="7"/>
    <x v="5"/>
    <x v="227"/>
    <n v="12"/>
    <n v="12"/>
    <x v="1"/>
    <x v="0"/>
    <s v="Bacon, Pepperoni, Italian Sausage, Chorizo Sausage"/>
    <x v="4"/>
  </r>
  <r>
    <n v="1050"/>
    <n v="452"/>
    <n v="0.5"/>
    <s v="sicilian_m"/>
    <n v="1"/>
    <x v="7"/>
    <x v="5"/>
    <x v="227"/>
    <n v="16.25"/>
    <n v="16.25"/>
    <x v="0"/>
    <x v="2"/>
    <s v="Coarse Sicilian Salami, Tomatoes, Green Olives, Luganega Sausage, Onions, Garlic"/>
    <x v="7"/>
  </r>
  <r>
    <n v="1053"/>
    <n v="453"/>
    <n v="1"/>
    <s v="sicilian_m"/>
    <n v="1"/>
    <x v="7"/>
    <x v="5"/>
    <x v="228"/>
    <n v="16.25"/>
    <n v="16.25"/>
    <x v="0"/>
    <x v="2"/>
    <s v="Coarse Sicilian Salami, Tomatoes, Green Olives, Luganega Sausage, Onions, Garlic"/>
    <x v="7"/>
  </r>
  <r>
    <n v="1063"/>
    <n v="458"/>
    <n v="1"/>
    <s v="the_greek_s"/>
    <n v="1"/>
    <x v="7"/>
    <x v="5"/>
    <x v="229"/>
    <n v="12"/>
    <n v="12"/>
    <x v="1"/>
    <x v="0"/>
    <s v="Kalamata Olives, Feta Cheese, Tomatoes, Garlic, Beef Chuck Roast, Red Onions"/>
    <x v="2"/>
  </r>
  <r>
    <n v="1068"/>
    <n v="461"/>
    <n v="1"/>
    <s v="hawaiian_s"/>
    <n v="1"/>
    <x v="7"/>
    <x v="5"/>
    <x v="230"/>
    <n v="10.5"/>
    <n v="10.5"/>
    <x v="1"/>
    <x v="0"/>
    <s v="Sliced Ham, Pineapple, Mozzarella Cheese"/>
    <x v="0"/>
  </r>
  <r>
    <n v="1073"/>
    <n v="464"/>
    <n v="1"/>
    <s v="calabrese_m"/>
    <n v="1"/>
    <x v="7"/>
    <x v="5"/>
    <x v="231"/>
    <n v="16.25"/>
    <n v="16.25"/>
    <x v="0"/>
    <x v="2"/>
    <s v="?duja Salami, Pancetta, Tomatoes, Red Onions, Friggitello Peppers, Garlic"/>
    <x v="6"/>
  </r>
  <r>
    <n v="1074"/>
    <n v="465"/>
    <n v="1"/>
    <s v="napolitana_s"/>
    <n v="1"/>
    <x v="7"/>
    <x v="5"/>
    <x v="232"/>
    <n v="12"/>
    <n v="12"/>
    <x v="1"/>
    <x v="0"/>
    <s v="Tomatoes, Anchovies, Green Olives, Red Onions, Garlic"/>
    <x v="5"/>
  </r>
  <r>
    <n v="1076"/>
    <n v="466"/>
    <n v="1"/>
    <s v="the_greek_xl"/>
    <n v="1"/>
    <x v="7"/>
    <x v="5"/>
    <x v="233"/>
    <n v="25.5"/>
    <n v="25.5"/>
    <x v="3"/>
    <x v="0"/>
    <s v="Kalamata Olives, Feta Cheese, Tomatoes, Garlic, Beef Chuck Roast, Red Onions"/>
    <x v="2"/>
  </r>
  <r>
    <n v="1079"/>
    <n v="468"/>
    <n v="1"/>
    <s v="pepperoni_l"/>
    <n v="1"/>
    <x v="7"/>
    <x v="5"/>
    <x v="234"/>
    <n v="15.25"/>
    <n v="15.25"/>
    <x v="2"/>
    <x v="0"/>
    <s v="Mozzarella Cheese, Pepperoni"/>
    <x v="3"/>
  </r>
  <r>
    <n v="1081"/>
    <n v="469"/>
    <n v="1"/>
    <s v="sicilian_s"/>
    <n v="1"/>
    <x v="7"/>
    <x v="5"/>
    <x v="235"/>
    <n v="12.25"/>
    <n v="12.25"/>
    <x v="1"/>
    <x v="2"/>
    <s v="Coarse Sicilian Salami, Tomatoes, Green Olives, Luganega Sausage, Onions, Garlic"/>
    <x v="7"/>
  </r>
  <r>
    <n v="1086"/>
    <n v="473"/>
    <n v="1"/>
    <s v="hawaiian_l"/>
    <n v="1"/>
    <x v="7"/>
    <x v="5"/>
    <x v="236"/>
    <n v="16.5"/>
    <n v="16.5"/>
    <x v="2"/>
    <x v="0"/>
    <s v="Sliced Ham, Pineapple, Mozzarella Cheese"/>
    <x v="0"/>
  </r>
  <r>
    <n v="1090"/>
    <n v="474"/>
    <n v="1"/>
    <s v="pepperoni_s"/>
    <n v="1"/>
    <x v="7"/>
    <x v="5"/>
    <x v="237"/>
    <n v="9.75"/>
    <n v="9.75"/>
    <x v="1"/>
    <x v="0"/>
    <s v="Mozzarella Cheese, Pepperoni"/>
    <x v="3"/>
  </r>
  <r>
    <n v="1091"/>
    <n v="475"/>
    <n v="1"/>
    <s v="big_meat_s"/>
    <n v="1"/>
    <x v="7"/>
    <x v="5"/>
    <x v="238"/>
    <n v="12"/>
    <n v="12"/>
    <x v="1"/>
    <x v="0"/>
    <s v="Bacon, Pepperoni, Italian Sausage, Chorizo Sausage"/>
    <x v="4"/>
  </r>
  <r>
    <n v="1093"/>
    <n v="476"/>
    <n v="1"/>
    <s v="pepperoni_m"/>
    <n v="1"/>
    <x v="7"/>
    <x v="5"/>
    <x v="239"/>
    <n v="12.5"/>
    <n v="12.5"/>
    <x v="0"/>
    <x v="0"/>
    <s v="Mozzarella Cheese, Pepperoni"/>
    <x v="3"/>
  </r>
  <r>
    <n v="1097"/>
    <n v="477"/>
    <n v="1"/>
    <s v="mexicana_m"/>
    <n v="1"/>
    <x v="7"/>
    <x v="5"/>
    <x v="240"/>
    <n v="16"/>
    <n v="16"/>
    <x v="0"/>
    <x v="1"/>
    <s v="Tomatoes, Red Peppers, Jalapeno Peppers, Red Onions, Cilantro, Corn, Chipotle Sauce, Garlic"/>
    <x v="1"/>
  </r>
  <r>
    <n v="1098"/>
    <n v="478"/>
    <n v="1"/>
    <s v="calabrese_m"/>
    <n v="1"/>
    <x v="7"/>
    <x v="5"/>
    <x v="241"/>
    <n v="16.25"/>
    <n v="16.25"/>
    <x v="0"/>
    <x v="2"/>
    <s v="?duja Salami, Pancetta, Tomatoes, Red Onions, Friggitello Peppers, Garlic"/>
    <x v="6"/>
  </r>
  <r>
    <n v="1102"/>
    <n v="480"/>
    <n v="1"/>
    <s v="pepperoni_m"/>
    <n v="1"/>
    <x v="7"/>
    <x v="5"/>
    <x v="242"/>
    <n v="12.5"/>
    <n v="12.5"/>
    <x v="0"/>
    <x v="0"/>
    <s v="Mozzarella Cheese, Pepperoni"/>
    <x v="3"/>
  </r>
  <r>
    <n v="1103"/>
    <n v="481"/>
    <n v="1"/>
    <s v="pepperoni_s"/>
    <n v="1"/>
    <x v="7"/>
    <x v="5"/>
    <x v="243"/>
    <n v="9.75"/>
    <n v="9.75"/>
    <x v="1"/>
    <x v="0"/>
    <s v="Mozzarella Cheese, Pepperoni"/>
    <x v="3"/>
  </r>
  <r>
    <n v="1109"/>
    <n v="483"/>
    <n v="1"/>
    <s v="napolitana_s"/>
    <n v="1"/>
    <x v="7"/>
    <x v="5"/>
    <x v="244"/>
    <n v="12"/>
    <n v="12"/>
    <x v="1"/>
    <x v="0"/>
    <s v="Tomatoes, Anchovies, Green Olives, Red Onions, Garlic"/>
    <x v="5"/>
  </r>
  <r>
    <n v="1113"/>
    <n v="484"/>
    <n v="1"/>
    <s v="mexicana_l"/>
    <n v="1"/>
    <x v="7"/>
    <x v="5"/>
    <x v="245"/>
    <n v="20.25"/>
    <n v="20.25"/>
    <x v="2"/>
    <x v="1"/>
    <s v="Tomatoes, Red Peppers, Jalapeno Peppers, Red Onions, Cilantro, Corn, Chipotle Sauce, Garlic"/>
    <x v="1"/>
  </r>
  <r>
    <n v="1116"/>
    <n v="487"/>
    <n v="0.5"/>
    <s v="hawaiian_s"/>
    <n v="1"/>
    <x v="7"/>
    <x v="5"/>
    <x v="246"/>
    <n v="10.5"/>
    <n v="10.5"/>
    <x v="1"/>
    <x v="0"/>
    <s v="Sliced Ham, Pineapple, Mozzarella Cheese"/>
    <x v="0"/>
  </r>
  <r>
    <n v="1117"/>
    <n v="487"/>
    <n v="0.5"/>
    <s v="sicilian_l"/>
    <n v="1"/>
    <x v="7"/>
    <x v="5"/>
    <x v="246"/>
    <n v="20.25"/>
    <n v="20.25"/>
    <x v="2"/>
    <x v="2"/>
    <s v="Coarse Sicilian Salami, Tomatoes, Green Olives, Luganega Sausage, Onions, Garlic"/>
    <x v="7"/>
  </r>
  <r>
    <n v="1121"/>
    <n v="490"/>
    <n v="0.5"/>
    <s v="big_meat_s"/>
    <n v="1"/>
    <x v="7"/>
    <x v="5"/>
    <x v="247"/>
    <n v="12"/>
    <n v="12"/>
    <x v="1"/>
    <x v="0"/>
    <s v="Bacon, Pepperoni, Italian Sausage, Chorizo Sausage"/>
    <x v="4"/>
  </r>
  <r>
    <n v="1123"/>
    <n v="490"/>
    <n v="0.5"/>
    <s v="napolitana_m"/>
    <n v="1"/>
    <x v="7"/>
    <x v="5"/>
    <x v="247"/>
    <n v="16"/>
    <n v="16"/>
    <x v="0"/>
    <x v="0"/>
    <s v="Tomatoes, Anchovies, Green Olives, Red Onions, Garlic"/>
    <x v="5"/>
  </r>
  <r>
    <n v="1124"/>
    <n v="491"/>
    <n v="0.5"/>
    <s v="napolitana_s"/>
    <n v="1"/>
    <x v="7"/>
    <x v="5"/>
    <x v="248"/>
    <n v="12"/>
    <n v="12"/>
    <x v="1"/>
    <x v="0"/>
    <s v="Tomatoes, Anchovies, Green Olives, Red Onions, Garlic"/>
    <x v="5"/>
  </r>
  <r>
    <n v="1125"/>
    <n v="491"/>
    <n v="0.5"/>
    <s v="pepperoni_l"/>
    <n v="1"/>
    <x v="7"/>
    <x v="5"/>
    <x v="248"/>
    <n v="15.25"/>
    <n v="15.25"/>
    <x v="2"/>
    <x v="0"/>
    <s v="Mozzarella Cheese, Pepperoni"/>
    <x v="3"/>
  </r>
  <r>
    <n v="1129"/>
    <n v="492"/>
    <n v="1"/>
    <s v="sicilian_m"/>
    <n v="1"/>
    <x v="7"/>
    <x v="5"/>
    <x v="249"/>
    <n v="16.25"/>
    <n v="16.25"/>
    <x v="0"/>
    <x v="2"/>
    <s v="Coarse Sicilian Salami, Tomatoes, Green Olives, Luganega Sausage, Onions, Garlic"/>
    <x v="7"/>
  </r>
  <r>
    <n v="1134"/>
    <n v="494"/>
    <n v="1"/>
    <s v="mexicana_l"/>
    <n v="1"/>
    <x v="7"/>
    <x v="5"/>
    <x v="250"/>
    <n v="20.25"/>
    <n v="20.25"/>
    <x v="2"/>
    <x v="1"/>
    <s v="Tomatoes, Red Peppers, Jalapeno Peppers, Red Onions, Cilantro, Corn, Chipotle Sauce, Garlic"/>
    <x v="1"/>
  </r>
  <r>
    <n v="1137"/>
    <n v="495"/>
    <n v="1"/>
    <s v="sicilian_l"/>
    <n v="1"/>
    <x v="7"/>
    <x v="5"/>
    <x v="251"/>
    <n v="20.25"/>
    <n v="20.25"/>
    <x v="2"/>
    <x v="2"/>
    <s v="Coarse Sicilian Salami, Tomatoes, Green Olives, Luganega Sausage, Onions, Garlic"/>
    <x v="7"/>
  </r>
  <r>
    <n v="1138"/>
    <n v="496"/>
    <n v="1"/>
    <s v="hawaiian_l"/>
    <n v="1"/>
    <x v="7"/>
    <x v="5"/>
    <x v="252"/>
    <n v="16.5"/>
    <n v="16.5"/>
    <x v="2"/>
    <x v="0"/>
    <s v="Sliced Ham, Pineapple, Mozzarella Cheese"/>
    <x v="0"/>
  </r>
  <r>
    <n v="1142"/>
    <n v="499"/>
    <n v="0.5"/>
    <s v="calabrese_s"/>
    <n v="1"/>
    <x v="7"/>
    <x v="5"/>
    <x v="253"/>
    <n v="12.25"/>
    <n v="12.25"/>
    <x v="1"/>
    <x v="2"/>
    <s v="?duja Salami, Pancetta, Tomatoes, Red Onions, Friggitello Peppers, Garlic"/>
    <x v="6"/>
  </r>
  <r>
    <n v="1144"/>
    <n v="499"/>
    <n v="0.5"/>
    <s v="mexicana_m"/>
    <n v="1"/>
    <x v="7"/>
    <x v="5"/>
    <x v="253"/>
    <n v="16"/>
    <n v="16"/>
    <x v="0"/>
    <x v="1"/>
    <s v="Tomatoes, Red Peppers, Jalapeno Peppers, Red Onions, Cilantro, Corn, Chipotle Sauce, Garlic"/>
    <x v="1"/>
  </r>
  <r>
    <n v="1148"/>
    <n v="501"/>
    <n v="1"/>
    <s v="hawaiian_s"/>
    <n v="1"/>
    <x v="7"/>
    <x v="5"/>
    <x v="254"/>
    <n v="10.5"/>
    <n v="10.5"/>
    <x v="1"/>
    <x v="0"/>
    <s v="Sliced Ham, Pineapple, Mozzarella Cheese"/>
    <x v="0"/>
  </r>
  <r>
    <n v="1151"/>
    <n v="503"/>
    <n v="0.5"/>
    <s v="pepperoni_l"/>
    <n v="1"/>
    <x v="8"/>
    <x v="6"/>
    <x v="255"/>
    <n v="15.25"/>
    <n v="15.25"/>
    <x v="2"/>
    <x v="0"/>
    <s v="Mozzarella Cheese, Pepperoni"/>
    <x v="3"/>
  </r>
  <r>
    <n v="1152"/>
    <n v="503"/>
    <n v="0.5"/>
    <s v="sicilian_m"/>
    <n v="1"/>
    <x v="8"/>
    <x v="6"/>
    <x v="255"/>
    <n v="16.25"/>
    <n v="16.25"/>
    <x v="0"/>
    <x v="2"/>
    <s v="Coarse Sicilian Salami, Tomatoes, Green Olives, Luganega Sausage, Onions, Garlic"/>
    <x v="7"/>
  </r>
  <r>
    <n v="1153"/>
    <n v="504"/>
    <n v="1"/>
    <s v="the_greek_l"/>
    <n v="1"/>
    <x v="8"/>
    <x v="6"/>
    <x v="256"/>
    <n v="20.5"/>
    <n v="20.5"/>
    <x v="2"/>
    <x v="0"/>
    <s v="Kalamata Olives, Feta Cheese, Tomatoes, Garlic, Beef Chuck Roast, Red Onions"/>
    <x v="2"/>
  </r>
  <r>
    <n v="1154"/>
    <n v="505"/>
    <n v="0.5"/>
    <s v="pepperoni_m"/>
    <n v="1"/>
    <x v="8"/>
    <x v="6"/>
    <x v="257"/>
    <n v="12.5"/>
    <n v="12.5"/>
    <x v="0"/>
    <x v="0"/>
    <s v="Mozzarella Cheese, Pepperoni"/>
    <x v="3"/>
  </r>
  <r>
    <n v="1155"/>
    <n v="505"/>
    <n v="0.5"/>
    <s v="the_greek_xl"/>
    <n v="1"/>
    <x v="8"/>
    <x v="6"/>
    <x v="257"/>
    <n v="25.5"/>
    <n v="25.5"/>
    <x v="3"/>
    <x v="0"/>
    <s v="Kalamata Olives, Feta Cheese, Tomatoes, Garlic, Beef Chuck Roast, Red Onions"/>
    <x v="2"/>
  </r>
  <r>
    <n v="1160"/>
    <n v="508"/>
    <n v="1"/>
    <s v="pepperoni_m"/>
    <n v="1"/>
    <x v="8"/>
    <x v="6"/>
    <x v="258"/>
    <n v="12.5"/>
    <n v="12.5"/>
    <x v="0"/>
    <x v="0"/>
    <s v="Mozzarella Cheese, Pepperoni"/>
    <x v="3"/>
  </r>
  <r>
    <n v="1170"/>
    <n v="513"/>
    <n v="1"/>
    <s v="pepperoni_l"/>
    <n v="1"/>
    <x v="8"/>
    <x v="6"/>
    <x v="259"/>
    <n v="15.25"/>
    <n v="15.25"/>
    <x v="2"/>
    <x v="0"/>
    <s v="Mozzarella Cheese, Pepperoni"/>
    <x v="3"/>
  </r>
  <r>
    <n v="1175"/>
    <n v="516"/>
    <n v="1"/>
    <s v="napolitana_l"/>
    <n v="1"/>
    <x v="8"/>
    <x v="6"/>
    <x v="260"/>
    <n v="20.5"/>
    <n v="20.5"/>
    <x v="2"/>
    <x v="0"/>
    <s v="Tomatoes, Anchovies, Green Olives, Red Onions, Garlic"/>
    <x v="5"/>
  </r>
  <r>
    <n v="1177"/>
    <n v="517"/>
    <n v="1"/>
    <s v="mexicana_m"/>
    <n v="1"/>
    <x v="8"/>
    <x v="6"/>
    <x v="261"/>
    <n v="16"/>
    <n v="16"/>
    <x v="0"/>
    <x v="1"/>
    <s v="Tomatoes, Red Peppers, Jalapeno Peppers, Red Onions, Cilantro, Corn, Chipotle Sauce, Garlic"/>
    <x v="1"/>
  </r>
  <r>
    <n v="1178"/>
    <n v="518"/>
    <n v="0.5"/>
    <s v="big_meat_s"/>
    <n v="1"/>
    <x v="8"/>
    <x v="6"/>
    <x v="262"/>
    <n v="12"/>
    <n v="12"/>
    <x v="1"/>
    <x v="0"/>
    <s v="Bacon, Pepperoni, Italian Sausage, Chorizo Sausage"/>
    <x v="4"/>
  </r>
  <r>
    <n v="1180"/>
    <n v="518"/>
    <n v="0.5"/>
    <s v="sicilian_s"/>
    <n v="1"/>
    <x v="8"/>
    <x v="6"/>
    <x v="262"/>
    <n v="12.25"/>
    <n v="12.25"/>
    <x v="1"/>
    <x v="2"/>
    <s v="Coarse Sicilian Salami, Tomatoes, Green Olives, Luganega Sausage, Onions, Garlic"/>
    <x v="7"/>
  </r>
  <r>
    <n v="1185"/>
    <n v="522"/>
    <n v="0.25"/>
    <s v="big_meat_s"/>
    <n v="1"/>
    <x v="8"/>
    <x v="6"/>
    <x v="263"/>
    <n v="12"/>
    <n v="12"/>
    <x v="1"/>
    <x v="0"/>
    <s v="Bacon, Pepperoni, Italian Sausage, Chorizo Sausage"/>
    <x v="4"/>
  </r>
  <r>
    <n v="1192"/>
    <n v="522"/>
    <n v="0.25"/>
    <s v="sicilian_l"/>
    <n v="1"/>
    <x v="8"/>
    <x v="6"/>
    <x v="263"/>
    <n v="20.25"/>
    <n v="20.25"/>
    <x v="2"/>
    <x v="2"/>
    <s v="Coarse Sicilian Salami, Tomatoes, Green Olives, Luganega Sausage, Onions, Garlic"/>
    <x v="7"/>
  </r>
  <r>
    <n v="1193"/>
    <n v="522"/>
    <n v="0.25"/>
    <s v="the_greek_l"/>
    <n v="1"/>
    <x v="8"/>
    <x v="6"/>
    <x v="263"/>
    <n v="20.5"/>
    <n v="20.5"/>
    <x v="2"/>
    <x v="0"/>
    <s v="Kalamata Olives, Feta Cheese, Tomatoes, Garlic, Beef Chuck Roast, Red Onions"/>
    <x v="2"/>
  </r>
  <r>
    <n v="1194"/>
    <n v="522"/>
    <n v="0.25"/>
    <s v="the_greek_m"/>
    <n v="1"/>
    <x v="8"/>
    <x v="6"/>
    <x v="263"/>
    <n v="16"/>
    <n v="16"/>
    <x v="0"/>
    <x v="0"/>
    <s v="Kalamata Olives, Feta Cheese, Tomatoes, Garlic, Beef Chuck Roast, Red Onions"/>
    <x v="2"/>
  </r>
  <r>
    <n v="1196"/>
    <n v="524"/>
    <n v="1"/>
    <s v="sicilian_s"/>
    <n v="1"/>
    <x v="8"/>
    <x v="6"/>
    <x v="264"/>
    <n v="12.25"/>
    <n v="12.25"/>
    <x v="1"/>
    <x v="2"/>
    <s v="Coarse Sicilian Salami, Tomatoes, Green Olives, Luganega Sausage, Onions, Garlic"/>
    <x v="7"/>
  </r>
  <r>
    <n v="1198"/>
    <n v="525"/>
    <n v="1"/>
    <s v="pepperoni_l"/>
    <n v="1"/>
    <x v="8"/>
    <x v="6"/>
    <x v="265"/>
    <n v="15.25"/>
    <n v="15.25"/>
    <x v="2"/>
    <x v="0"/>
    <s v="Mozzarella Cheese, Pepperoni"/>
    <x v="3"/>
  </r>
  <r>
    <n v="1204"/>
    <n v="529"/>
    <n v="0.5"/>
    <s v="calabrese_m"/>
    <n v="1"/>
    <x v="8"/>
    <x v="6"/>
    <x v="266"/>
    <n v="16.25"/>
    <n v="16.25"/>
    <x v="0"/>
    <x v="2"/>
    <s v="?duja Salami, Pancetta, Tomatoes, Red Onions, Friggitello Peppers, Garlic"/>
    <x v="6"/>
  </r>
  <r>
    <n v="1206"/>
    <n v="529"/>
    <n v="0.5"/>
    <s v="hawaiian_s"/>
    <n v="1"/>
    <x v="8"/>
    <x v="6"/>
    <x v="266"/>
    <n v="10.5"/>
    <n v="10.5"/>
    <x v="1"/>
    <x v="0"/>
    <s v="Sliced Ham, Pineapple, Mozzarella Cheese"/>
    <x v="0"/>
  </r>
  <r>
    <n v="1214"/>
    <n v="533"/>
    <n v="1"/>
    <s v="the_greek_xl"/>
    <n v="1"/>
    <x v="8"/>
    <x v="6"/>
    <x v="267"/>
    <n v="25.5"/>
    <n v="25.5"/>
    <x v="3"/>
    <x v="0"/>
    <s v="Kalamata Olives, Feta Cheese, Tomatoes, Garlic, Beef Chuck Roast, Red Onions"/>
    <x v="2"/>
  </r>
  <r>
    <n v="1218"/>
    <n v="536"/>
    <n v="1"/>
    <s v="brie_carre_s"/>
    <n v="1"/>
    <x v="8"/>
    <x v="6"/>
    <x v="268"/>
    <n v="23.65"/>
    <n v="23.65"/>
    <x v="1"/>
    <x v="2"/>
    <s v="Brie Carre Cheese, Prosciutto, Caramelized Onions, Pears, Thyme, Garlic"/>
    <x v="8"/>
  </r>
  <r>
    <n v="1221"/>
    <n v="537"/>
    <n v="1"/>
    <s v="hawaiian_s"/>
    <n v="1"/>
    <x v="8"/>
    <x v="6"/>
    <x v="269"/>
    <n v="10.5"/>
    <n v="10.5"/>
    <x v="1"/>
    <x v="0"/>
    <s v="Sliced Ham, Pineapple, Mozzarella Cheese"/>
    <x v="0"/>
  </r>
  <r>
    <n v="1228"/>
    <n v="541"/>
    <n v="1"/>
    <s v="big_meat_s"/>
    <n v="1"/>
    <x v="8"/>
    <x v="6"/>
    <x v="270"/>
    <n v="12"/>
    <n v="12"/>
    <x v="1"/>
    <x v="0"/>
    <s v="Bacon, Pepperoni, Italian Sausage, Chorizo Sausage"/>
    <x v="4"/>
  </r>
  <r>
    <n v="1234"/>
    <n v="544"/>
    <n v="0.5"/>
    <s v="napolitana_m"/>
    <n v="1"/>
    <x v="8"/>
    <x v="6"/>
    <x v="271"/>
    <n v="16"/>
    <n v="16"/>
    <x v="0"/>
    <x v="0"/>
    <s v="Tomatoes, Anchovies, Green Olives, Red Onions, Garlic"/>
    <x v="5"/>
  </r>
  <r>
    <n v="1235"/>
    <n v="544"/>
    <n v="0.5"/>
    <s v="sicilian_m"/>
    <n v="1"/>
    <x v="8"/>
    <x v="6"/>
    <x v="271"/>
    <n v="16.25"/>
    <n v="16.25"/>
    <x v="0"/>
    <x v="2"/>
    <s v="Coarse Sicilian Salami, Tomatoes, Green Olives, Luganega Sausage, Onions, Garlic"/>
    <x v="7"/>
  </r>
  <r>
    <n v="1236"/>
    <n v="545"/>
    <n v="0.5"/>
    <s v="pepperoni_l"/>
    <n v="1"/>
    <x v="8"/>
    <x v="6"/>
    <x v="272"/>
    <n v="15.25"/>
    <n v="15.25"/>
    <x v="2"/>
    <x v="0"/>
    <s v="Mozzarella Cheese, Pepperoni"/>
    <x v="3"/>
  </r>
  <r>
    <n v="1237"/>
    <n v="545"/>
    <n v="0.5"/>
    <s v="pepperoni_s"/>
    <n v="1"/>
    <x v="8"/>
    <x v="6"/>
    <x v="272"/>
    <n v="9.75"/>
    <n v="9.75"/>
    <x v="1"/>
    <x v="0"/>
    <s v="Mozzarella Cheese, Pepperoni"/>
    <x v="3"/>
  </r>
  <r>
    <n v="1241"/>
    <n v="547"/>
    <n v="1"/>
    <s v="big_meat_s"/>
    <n v="1"/>
    <x v="8"/>
    <x v="6"/>
    <x v="273"/>
    <n v="12"/>
    <n v="12"/>
    <x v="1"/>
    <x v="0"/>
    <s v="Bacon, Pepperoni, Italian Sausage, Chorizo Sausage"/>
    <x v="4"/>
  </r>
  <r>
    <n v="1242"/>
    <n v="548"/>
    <n v="1"/>
    <s v="hawaiian_l"/>
    <n v="1"/>
    <x v="8"/>
    <x v="6"/>
    <x v="274"/>
    <n v="16.5"/>
    <n v="16.5"/>
    <x v="2"/>
    <x v="0"/>
    <s v="Sliced Ham, Pineapple, Mozzarella Cheese"/>
    <x v="0"/>
  </r>
  <r>
    <n v="1243"/>
    <n v="549"/>
    <n v="1"/>
    <s v="big_meat_s"/>
    <n v="1"/>
    <x v="8"/>
    <x v="6"/>
    <x v="275"/>
    <n v="12"/>
    <n v="12"/>
    <x v="1"/>
    <x v="0"/>
    <s v="Bacon, Pepperoni, Italian Sausage, Chorizo Sausage"/>
    <x v="4"/>
  </r>
  <r>
    <n v="1246"/>
    <n v="550"/>
    <n v="1"/>
    <s v="the_greek_m"/>
    <n v="1"/>
    <x v="8"/>
    <x v="6"/>
    <x v="276"/>
    <n v="16"/>
    <n v="16"/>
    <x v="0"/>
    <x v="0"/>
    <s v="Kalamata Olives, Feta Cheese, Tomatoes, Garlic, Beef Chuck Roast, Red Onions"/>
    <x v="2"/>
  </r>
  <r>
    <n v="1250"/>
    <n v="551"/>
    <n v="1"/>
    <s v="the_greek_m"/>
    <n v="1"/>
    <x v="8"/>
    <x v="6"/>
    <x v="277"/>
    <n v="16"/>
    <n v="16"/>
    <x v="0"/>
    <x v="0"/>
    <s v="Kalamata Olives, Feta Cheese, Tomatoes, Garlic, Beef Chuck Roast, Red Onions"/>
    <x v="2"/>
  </r>
  <r>
    <n v="1254"/>
    <n v="553"/>
    <n v="1"/>
    <s v="mexicana_l"/>
    <n v="1"/>
    <x v="8"/>
    <x v="6"/>
    <x v="278"/>
    <n v="20.25"/>
    <n v="20.25"/>
    <x v="2"/>
    <x v="1"/>
    <s v="Tomatoes, Red Peppers, Jalapeno Peppers, Red Onions, Cilantro, Corn, Chipotle Sauce, Garlic"/>
    <x v="1"/>
  </r>
  <r>
    <n v="1258"/>
    <n v="555"/>
    <n v="1"/>
    <s v="hawaiian_s"/>
    <n v="1"/>
    <x v="8"/>
    <x v="6"/>
    <x v="279"/>
    <n v="10.5"/>
    <n v="10.5"/>
    <x v="1"/>
    <x v="0"/>
    <s v="Sliced Ham, Pineapple, Mozzarella Cheese"/>
    <x v="0"/>
  </r>
  <r>
    <n v="1260"/>
    <n v="556"/>
    <n v="1"/>
    <s v="the_greek_xl"/>
    <n v="1"/>
    <x v="8"/>
    <x v="6"/>
    <x v="280"/>
    <n v="25.5"/>
    <n v="25.5"/>
    <x v="3"/>
    <x v="0"/>
    <s v="Kalamata Olives, Feta Cheese, Tomatoes, Garlic, Beef Chuck Roast, Red Onions"/>
    <x v="2"/>
  </r>
  <r>
    <n v="1261"/>
    <n v="557"/>
    <n v="1"/>
    <s v="sicilian_s"/>
    <n v="1"/>
    <x v="8"/>
    <x v="6"/>
    <x v="281"/>
    <n v="12.25"/>
    <n v="12.25"/>
    <x v="1"/>
    <x v="2"/>
    <s v="Coarse Sicilian Salami, Tomatoes, Green Olives, Luganega Sausage, Onions, Garlic"/>
    <x v="7"/>
  </r>
  <r>
    <n v="1263"/>
    <n v="558"/>
    <n v="1"/>
    <s v="hawaiian_m"/>
    <n v="1"/>
    <x v="8"/>
    <x v="6"/>
    <x v="282"/>
    <n v="13.25"/>
    <n v="13.25"/>
    <x v="0"/>
    <x v="0"/>
    <s v="Sliced Ham, Pineapple, Mozzarella Cheese"/>
    <x v="0"/>
  </r>
  <r>
    <n v="1269"/>
    <n v="563"/>
    <n v="1"/>
    <s v="mexicana_l"/>
    <n v="1"/>
    <x v="8"/>
    <x v="6"/>
    <x v="283"/>
    <n v="20.25"/>
    <n v="20.25"/>
    <x v="2"/>
    <x v="1"/>
    <s v="Tomatoes, Red Peppers, Jalapeno Peppers, Red Onions, Cilantro, Corn, Chipotle Sauce, Garlic"/>
    <x v="1"/>
  </r>
  <r>
    <n v="1272"/>
    <n v="564"/>
    <n v="1"/>
    <s v="pepperoni_m"/>
    <n v="1"/>
    <x v="8"/>
    <x v="6"/>
    <x v="284"/>
    <n v="12.5"/>
    <n v="12.5"/>
    <x v="0"/>
    <x v="0"/>
    <s v="Mozzarella Cheese, Pepperoni"/>
    <x v="3"/>
  </r>
  <r>
    <n v="1279"/>
    <n v="567"/>
    <n v="0.33333333333333331"/>
    <s v="pepperoni_m"/>
    <n v="1"/>
    <x v="9"/>
    <x v="0"/>
    <x v="285"/>
    <n v="12.5"/>
    <n v="12.5"/>
    <x v="0"/>
    <x v="0"/>
    <s v="Mozzarella Cheese, Pepperoni"/>
    <x v="3"/>
  </r>
  <r>
    <n v="1280"/>
    <n v="567"/>
    <n v="0.33333333333333331"/>
    <s v="sicilian_m"/>
    <n v="1"/>
    <x v="9"/>
    <x v="0"/>
    <x v="285"/>
    <n v="16.25"/>
    <n v="16.25"/>
    <x v="0"/>
    <x v="2"/>
    <s v="Coarse Sicilian Salami, Tomatoes, Green Olives, Luganega Sausage, Onions, Garlic"/>
    <x v="7"/>
  </r>
  <r>
    <n v="1281"/>
    <n v="567"/>
    <n v="0.33333333333333331"/>
    <s v="sicilian_s"/>
    <n v="1"/>
    <x v="9"/>
    <x v="0"/>
    <x v="285"/>
    <n v="12.25"/>
    <n v="12.25"/>
    <x v="1"/>
    <x v="2"/>
    <s v="Coarse Sicilian Salami, Tomatoes, Green Olives, Luganega Sausage, Onions, Garlic"/>
    <x v="7"/>
  </r>
  <r>
    <n v="1286"/>
    <n v="568"/>
    <n v="1"/>
    <s v="mexicana_l"/>
    <n v="1"/>
    <x v="9"/>
    <x v="0"/>
    <x v="286"/>
    <n v="20.25"/>
    <n v="20.25"/>
    <x v="2"/>
    <x v="1"/>
    <s v="Tomatoes, Red Peppers, Jalapeno Peppers, Red Onions, Cilantro, Corn, Chipotle Sauce, Garlic"/>
    <x v="1"/>
  </r>
  <r>
    <n v="1292"/>
    <n v="571"/>
    <n v="1"/>
    <s v="big_meat_s"/>
    <n v="1"/>
    <x v="9"/>
    <x v="0"/>
    <x v="287"/>
    <n v="12"/>
    <n v="12"/>
    <x v="1"/>
    <x v="0"/>
    <s v="Bacon, Pepperoni, Italian Sausage, Chorizo Sausage"/>
    <x v="4"/>
  </r>
  <r>
    <n v="1298"/>
    <n v="575"/>
    <n v="0.5"/>
    <s v="napolitana_l"/>
    <n v="1"/>
    <x v="9"/>
    <x v="0"/>
    <x v="288"/>
    <n v="20.5"/>
    <n v="20.5"/>
    <x v="2"/>
    <x v="0"/>
    <s v="Tomatoes, Anchovies, Green Olives, Red Onions, Garlic"/>
    <x v="5"/>
  </r>
  <r>
    <n v="1299"/>
    <n v="575"/>
    <n v="0.5"/>
    <s v="pepperoni_l"/>
    <n v="1"/>
    <x v="9"/>
    <x v="0"/>
    <x v="288"/>
    <n v="15.25"/>
    <n v="15.25"/>
    <x v="2"/>
    <x v="0"/>
    <s v="Mozzarella Cheese, Pepperoni"/>
    <x v="3"/>
  </r>
  <r>
    <n v="1301"/>
    <n v="576"/>
    <n v="1"/>
    <s v="big_meat_s"/>
    <n v="1"/>
    <x v="9"/>
    <x v="0"/>
    <x v="289"/>
    <n v="12"/>
    <n v="12"/>
    <x v="1"/>
    <x v="0"/>
    <s v="Bacon, Pepperoni, Italian Sausage, Chorizo Sausage"/>
    <x v="4"/>
  </r>
  <r>
    <n v="1307"/>
    <n v="578"/>
    <n v="0.33333333333333331"/>
    <s v="calabrese_m"/>
    <n v="1"/>
    <x v="9"/>
    <x v="0"/>
    <x v="290"/>
    <n v="16.25"/>
    <n v="16.25"/>
    <x v="0"/>
    <x v="2"/>
    <s v="?duja Salami, Pancetta, Tomatoes, Red Onions, Friggitello Peppers, Garlic"/>
    <x v="6"/>
  </r>
  <r>
    <n v="1308"/>
    <n v="578"/>
    <n v="0.33333333333333331"/>
    <s v="pepperoni_l"/>
    <n v="1"/>
    <x v="9"/>
    <x v="0"/>
    <x v="290"/>
    <n v="15.25"/>
    <n v="15.25"/>
    <x v="2"/>
    <x v="0"/>
    <s v="Mozzarella Cheese, Pepperoni"/>
    <x v="3"/>
  </r>
  <r>
    <n v="1310"/>
    <n v="578"/>
    <n v="0.33333333333333331"/>
    <s v="the_greek_xl"/>
    <n v="1"/>
    <x v="9"/>
    <x v="0"/>
    <x v="290"/>
    <n v="25.5"/>
    <n v="25.5"/>
    <x v="3"/>
    <x v="0"/>
    <s v="Kalamata Olives, Feta Cheese, Tomatoes, Garlic, Beef Chuck Roast, Red Onions"/>
    <x v="2"/>
  </r>
  <r>
    <n v="1312"/>
    <n v="580"/>
    <n v="1"/>
    <s v="hawaiian_m"/>
    <n v="1"/>
    <x v="9"/>
    <x v="0"/>
    <x v="291"/>
    <n v="13.25"/>
    <n v="13.25"/>
    <x v="0"/>
    <x v="0"/>
    <s v="Sliced Ham, Pineapple, Mozzarella Cheese"/>
    <x v="0"/>
  </r>
  <r>
    <n v="1314"/>
    <n v="581"/>
    <n v="1"/>
    <s v="mexicana_l"/>
    <n v="1"/>
    <x v="9"/>
    <x v="0"/>
    <x v="292"/>
    <n v="20.25"/>
    <n v="20.25"/>
    <x v="2"/>
    <x v="1"/>
    <s v="Tomatoes, Red Peppers, Jalapeno Peppers, Red Onions, Cilantro, Corn, Chipotle Sauce, Garlic"/>
    <x v="1"/>
  </r>
  <r>
    <n v="1317"/>
    <n v="584"/>
    <n v="1"/>
    <s v="sicilian_s"/>
    <n v="1"/>
    <x v="9"/>
    <x v="0"/>
    <x v="293"/>
    <n v="12.25"/>
    <n v="12.25"/>
    <x v="1"/>
    <x v="2"/>
    <s v="Coarse Sicilian Salami, Tomatoes, Green Olives, Luganega Sausage, Onions, Garlic"/>
    <x v="7"/>
  </r>
  <r>
    <n v="1319"/>
    <n v="585"/>
    <n v="0.5"/>
    <s v="brie_carre_s"/>
    <n v="1"/>
    <x v="9"/>
    <x v="0"/>
    <x v="294"/>
    <n v="23.65"/>
    <n v="23.65"/>
    <x v="1"/>
    <x v="2"/>
    <s v="Brie Carre Cheese, Prosciutto, Caramelized Onions, Pears, Thyme, Garlic"/>
    <x v="8"/>
  </r>
  <r>
    <n v="1320"/>
    <n v="585"/>
    <n v="0.5"/>
    <s v="mexicana_l"/>
    <n v="1"/>
    <x v="9"/>
    <x v="0"/>
    <x v="294"/>
    <n v="20.25"/>
    <n v="20.25"/>
    <x v="2"/>
    <x v="1"/>
    <s v="Tomatoes, Red Peppers, Jalapeno Peppers, Red Onions, Cilantro, Corn, Chipotle Sauce, Garlic"/>
    <x v="1"/>
  </r>
  <r>
    <n v="16465"/>
    <n v="7248"/>
    <n v="0.33333333333333331"/>
    <s v="big_meat_s"/>
    <n v="1"/>
    <x v="10"/>
    <x v="0"/>
    <x v="295"/>
    <n v="12"/>
    <n v="12"/>
    <x v="1"/>
    <x v="0"/>
    <s v="Bacon, Pepperoni, Italian Sausage, Chorizo Sausage"/>
    <x v="4"/>
  </r>
  <r>
    <n v="1338"/>
    <n v="594"/>
    <n v="1"/>
    <s v="calabrese_l"/>
    <n v="1"/>
    <x v="9"/>
    <x v="0"/>
    <x v="296"/>
    <n v="20.25"/>
    <n v="20.25"/>
    <x v="2"/>
    <x v="2"/>
    <s v="?duja Salami, Pancetta, Tomatoes, Red Onions, Friggitello Peppers, Garlic"/>
    <x v="6"/>
  </r>
  <r>
    <n v="1351"/>
    <n v="600"/>
    <n v="1"/>
    <s v="mexicana_m"/>
    <n v="1"/>
    <x v="9"/>
    <x v="0"/>
    <x v="297"/>
    <n v="16"/>
    <n v="16"/>
    <x v="0"/>
    <x v="1"/>
    <s v="Tomatoes, Red Peppers, Jalapeno Peppers, Red Onions, Cilantro, Corn, Chipotle Sauce, Garlic"/>
    <x v="1"/>
  </r>
  <r>
    <n v="1356"/>
    <n v="603"/>
    <n v="1"/>
    <s v="mexicana_m"/>
    <n v="1"/>
    <x v="9"/>
    <x v="0"/>
    <x v="298"/>
    <n v="16"/>
    <n v="16"/>
    <x v="0"/>
    <x v="1"/>
    <s v="Tomatoes, Red Peppers, Jalapeno Peppers, Red Onions, Cilantro, Corn, Chipotle Sauce, Garlic"/>
    <x v="1"/>
  </r>
  <r>
    <n v="1359"/>
    <n v="605"/>
    <n v="0.5"/>
    <s v="pepperoni_m"/>
    <n v="1"/>
    <x v="9"/>
    <x v="0"/>
    <x v="299"/>
    <n v="12.5"/>
    <n v="12.5"/>
    <x v="0"/>
    <x v="0"/>
    <s v="Mozzarella Cheese, Pepperoni"/>
    <x v="3"/>
  </r>
  <r>
    <n v="1360"/>
    <n v="605"/>
    <n v="0.5"/>
    <s v="the_greek_xl"/>
    <n v="1"/>
    <x v="9"/>
    <x v="0"/>
    <x v="299"/>
    <n v="25.5"/>
    <n v="25.5"/>
    <x v="3"/>
    <x v="0"/>
    <s v="Kalamata Olives, Feta Cheese, Tomatoes, Garlic, Beef Chuck Roast, Red Onions"/>
    <x v="2"/>
  </r>
  <r>
    <n v="1361"/>
    <n v="606"/>
    <n v="1"/>
    <s v="pepperoni_l"/>
    <n v="1"/>
    <x v="9"/>
    <x v="0"/>
    <x v="300"/>
    <n v="15.25"/>
    <n v="15.25"/>
    <x v="2"/>
    <x v="0"/>
    <s v="Mozzarella Cheese, Pepperoni"/>
    <x v="3"/>
  </r>
  <r>
    <n v="1365"/>
    <n v="608"/>
    <n v="0.5"/>
    <s v="hawaiian_l"/>
    <n v="1"/>
    <x v="9"/>
    <x v="0"/>
    <x v="301"/>
    <n v="16.5"/>
    <n v="16.5"/>
    <x v="2"/>
    <x v="0"/>
    <s v="Sliced Ham, Pineapple, Mozzarella Cheese"/>
    <x v="0"/>
  </r>
  <r>
    <n v="1366"/>
    <n v="608"/>
    <n v="0.5"/>
    <s v="pepperoni_m"/>
    <n v="1"/>
    <x v="9"/>
    <x v="0"/>
    <x v="301"/>
    <n v="12.5"/>
    <n v="12.5"/>
    <x v="0"/>
    <x v="0"/>
    <s v="Mozzarella Cheese, Pepperoni"/>
    <x v="3"/>
  </r>
  <r>
    <n v="1370"/>
    <n v="610"/>
    <n v="0.5"/>
    <s v="big_meat_s"/>
    <n v="1"/>
    <x v="9"/>
    <x v="0"/>
    <x v="302"/>
    <n v="12"/>
    <n v="12"/>
    <x v="1"/>
    <x v="0"/>
    <s v="Bacon, Pepperoni, Italian Sausage, Chorizo Sausage"/>
    <x v="4"/>
  </r>
  <r>
    <n v="1371"/>
    <n v="610"/>
    <n v="0.5"/>
    <s v="pepperoni_l"/>
    <n v="1"/>
    <x v="9"/>
    <x v="0"/>
    <x v="302"/>
    <n v="15.25"/>
    <n v="15.25"/>
    <x v="2"/>
    <x v="0"/>
    <s v="Mozzarella Cheese, Pepperoni"/>
    <x v="3"/>
  </r>
  <r>
    <n v="1373"/>
    <n v="611"/>
    <n v="0.5"/>
    <s v="mexicana_s"/>
    <n v="1"/>
    <x v="9"/>
    <x v="0"/>
    <x v="303"/>
    <n v="12"/>
    <n v="12"/>
    <x v="1"/>
    <x v="1"/>
    <s v="Tomatoes, Red Peppers, Jalapeno Peppers, Red Onions, Cilantro, Corn, Chipotle Sauce, Garlic"/>
    <x v="1"/>
  </r>
  <r>
    <n v="1375"/>
    <n v="611"/>
    <n v="0.5"/>
    <s v="the_greek_xl"/>
    <n v="1"/>
    <x v="9"/>
    <x v="0"/>
    <x v="303"/>
    <n v="25.5"/>
    <n v="25.5"/>
    <x v="3"/>
    <x v="0"/>
    <s v="Kalamata Olives, Feta Cheese, Tomatoes, Garlic, Beef Chuck Roast, Red Onions"/>
    <x v="2"/>
  </r>
  <r>
    <n v="1376"/>
    <n v="612"/>
    <n v="0.5"/>
    <s v="big_meat_s"/>
    <n v="1"/>
    <x v="9"/>
    <x v="0"/>
    <x v="304"/>
    <n v="12"/>
    <n v="12"/>
    <x v="1"/>
    <x v="0"/>
    <s v="Bacon, Pepperoni, Italian Sausage, Chorizo Sausage"/>
    <x v="4"/>
  </r>
  <r>
    <n v="1378"/>
    <n v="612"/>
    <n v="0.5"/>
    <s v="mexicana_l"/>
    <n v="1"/>
    <x v="9"/>
    <x v="0"/>
    <x v="304"/>
    <n v="20.25"/>
    <n v="20.25"/>
    <x v="2"/>
    <x v="1"/>
    <s v="Tomatoes, Red Peppers, Jalapeno Peppers, Red Onions, Cilantro, Corn, Chipotle Sauce, Garlic"/>
    <x v="1"/>
  </r>
  <r>
    <n v="1380"/>
    <n v="613"/>
    <n v="1"/>
    <s v="napolitana_s"/>
    <n v="1"/>
    <x v="9"/>
    <x v="0"/>
    <x v="305"/>
    <n v="12"/>
    <n v="12"/>
    <x v="1"/>
    <x v="0"/>
    <s v="Tomatoes, Anchovies, Green Olives, Red Onions, Garlic"/>
    <x v="5"/>
  </r>
  <r>
    <n v="1394"/>
    <n v="620"/>
    <n v="1"/>
    <s v="the_greek_s"/>
    <n v="1"/>
    <x v="9"/>
    <x v="0"/>
    <x v="306"/>
    <n v="12"/>
    <n v="12"/>
    <x v="1"/>
    <x v="0"/>
    <s v="Kalamata Olives, Feta Cheese, Tomatoes, Garlic, Beef Chuck Roast, Red Onions"/>
    <x v="2"/>
  </r>
  <r>
    <n v="1395"/>
    <n v="621"/>
    <n v="0.5"/>
    <s v="calabrese_m"/>
    <n v="1"/>
    <x v="9"/>
    <x v="0"/>
    <x v="307"/>
    <n v="16.25"/>
    <n v="16.25"/>
    <x v="0"/>
    <x v="2"/>
    <s v="?duja Salami, Pancetta, Tomatoes, Red Onions, Friggitello Peppers, Garlic"/>
    <x v="6"/>
  </r>
  <r>
    <n v="1397"/>
    <n v="621"/>
    <n v="0.5"/>
    <s v="mexicana_l"/>
    <n v="1"/>
    <x v="9"/>
    <x v="0"/>
    <x v="307"/>
    <n v="20.25"/>
    <n v="20.25"/>
    <x v="2"/>
    <x v="1"/>
    <s v="Tomatoes, Red Peppers, Jalapeno Peppers, Red Onions, Cilantro, Corn, Chipotle Sauce, Garlic"/>
    <x v="1"/>
  </r>
  <r>
    <n v="1402"/>
    <n v="623"/>
    <n v="1"/>
    <s v="hawaiian_l"/>
    <n v="1"/>
    <x v="9"/>
    <x v="0"/>
    <x v="308"/>
    <n v="16.5"/>
    <n v="16.5"/>
    <x v="2"/>
    <x v="0"/>
    <s v="Sliced Ham, Pineapple, Mozzarella Cheese"/>
    <x v="0"/>
  </r>
  <r>
    <n v="1409"/>
    <n v="627"/>
    <n v="0.5"/>
    <s v="the_greek_l"/>
    <n v="1"/>
    <x v="9"/>
    <x v="0"/>
    <x v="309"/>
    <n v="20.5"/>
    <n v="20.5"/>
    <x v="2"/>
    <x v="0"/>
    <s v="Kalamata Olives, Feta Cheese, Tomatoes, Garlic, Beef Chuck Roast, Red Onions"/>
    <x v="2"/>
  </r>
  <r>
    <n v="1410"/>
    <n v="627"/>
    <n v="0.5"/>
    <s v="the_greek_m"/>
    <n v="1"/>
    <x v="9"/>
    <x v="0"/>
    <x v="309"/>
    <n v="16"/>
    <n v="16"/>
    <x v="0"/>
    <x v="0"/>
    <s v="Kalamata Olives, Feta Cheese, Tomatoes, Garlic, Beef Chuck Roast, Red Onions"/>
    <x v="2"/>
  </r>
  <r>
    <n v="1413"/>
    <n v="628"/>
    <n v="1"/>
    <s v="the_greek_s"/>
    <n v="1"/>
    <x v="9"/>
    <x v="0"/>
    <x v="310"/>
    <n v="12"/>
    <n v="12"/>
    <x v="1"/>
    <x v="0"/>
    <s v="Kalamata Olives, Feta Cheese, Tomatoes, Garlic, Beef Chuck Roast, Red Onions"/>
    <x v="2"/>
  </r>
  <r>
    <n v="1415"/>
    <n v="629"/>
    <n v="1"/>
    <s v="calabrese_m"/>
    <n v="1"/>
    <x v="9"/>
    <x v="0"/>
    <x v="311"/>
    <n v="16.25"/>
    <n v="16.25"/>
    <x v="0"/>
    <x v="2"/>
    <s v="?duja Salami, Pancetta, Tomatoes, Red Onions, Friggitello Peppers, Garlic"/>
    <x v="6"/>
  </r>
  <r>
    <n v="1419"/>
    <n v="630"/>
    <n v="1"/>
    <s v="sicilian_s"/>
    <n v="1"/>
    <x v="11"/>
    <x v="1"/>
    <x v="312"/>
    <n v="12.25"/>
    <n v="12.25"/>
    <x v="1"/>
    <x v="2"/>
    <s v="Coarse Sicilian Salami, Tomatoes, Green Olives, Luganega Sausage, Onions, Garlic"/>
    <x v="7"/>
  </r>
  <r>
    <n v="1420"/>
    <n v="631"/>
    <n v="1"/>
    <s v="pepperoni_l"/>
    <n v="1"/>
    <x v="11"/>
    <x v="1"/>
    <x v="313"/>
    <n v="15.25"/>
    <n v="15.25"/>
    <x v="2"/>
    <x v="0"/>
    <s v="Mozzarella Cheese, Pepperoni"/>
    <x v="3"/>
  </r>
  <r>
    <n v="1423"/>
    <n v="633"/>
    <n v="1"/>
    <s v="pepperoni_l"/>
    <n v="1"/>
    <x v="11"/>
    <x v="1"/>
    <x v="314"/>
    <n v="15.25"/>
    <n v="15.25"/>
    <x v="2"/>
    <x v="0"/>
    <s v="Mozzarella Cheese, Pepperoni"/>
    <x v="3"/>
  </r>
  <r>
    <n v="1425"/>
    <n v="634"/>
    <n v="1"/>
    <s v="pepperoni_l"/>
    <n v="1"/>
    <x v="11"/>
    <x v="1"/>
    <x v="315"/>
    <n v="15.25"/>
    <n v="15.25"/>
    <x v="2"/>
    <x v="0"/>
    <s v="Mozzarella Cheese, Pepperoni"/>
    <x v="3"/>
  </r>
  <r>
    <n v="1426"/>
    <n v="635"/>
    <n v="0.16666666666666666"/>
    <s v="calabrese_l"/>
    <n v="1"/>
    <x v="11"/>
    <x v="1"/>
    <x v="316"/>
    <n v="20.25"/>
    <n v="20.25"/>
    <x v="2"/>
    <x v="2"/>
    <s v="?duja Salami, Pancetta, Tomatoes, Red Onions, Friggitello Peppers, Garlic"/>
    <x v="6"/>
  </r>
  <r>
    <n v="1428"/>
    <n v="635"/>
    <n v="0.16666666666666666"/>
    <s v="hawaiian_s"/>
    <n v="1"/>
    <x v="11"/>
    <x v="1"/>
    <x v="316"/>
    <n v="10.5"/>
    <n v="10.5"/>
    <x v="1"/>
    <x v="0"/>
    <s v="Sliced Ham, Pineapple, Mozzarella Cheese"/>
    <x v="0"/>
  </r>
  <r>
    <n v="1429"/>
    <n v="635"/>
    <n v="0.16666666666666666"/>
    <s v="mexicana_l"/>
    <n v="1"/>
    <x v="11"/>
    <x v="1"/>
    <x v="316"/>
    <n v="20.25"/>
    <n v="20.25"/>
    <x v="2"/>
    <x v="1"/>
    <s v="Tomatoes, Red Peppers, Jalapeno Peppers, Red Onions, Cilantro, Corn, Chipotle Sauce, Garlic"/>
    <x v="1"/>
  </r>
  <r>
    <n v="1430"/>
    <n v="635"/>
    <n v="0.16666666666666666"/>
    <s v="pepperoni_m"/>
    <n v="1"/>
    <x v="11"/>
    <x v="1"/>
    <x v="316"/>
    <n v="12.5"/>
    <n v="12.5"/>
    <x v="0"/>
    <x v="0"/>
    <s v="Mozzarella Cheese, Pepperoni"/>
    <x v="3"/>
  </r>
  <r>
    <n v="1431"/>
    <n v="635"/>
    <n v="0.16666666666666666"/>
    <s v="pepperoni_s"/>
    <n v="1"/>
    <x v="11"/>
    <x v="1"/>
    <x v="316"/>
    <n v="9.75"/>
    <n v="9.75"/>
    <x v="1"/>
    <x v="0"/>
    <s v="Mozzarella Cheese, Pepperoni"/>
    <x v="3"/>
  </r>
  <r>
    <n v="1433"/>
    <n v="635"/>
    <n v="0.16666666666666666"/>
    <s v="sicilian_s"/>
    <n v="1"/>
    <x v="11"/>
    <x v="1"/>
    <x v="316"/>
    <n v="12.25"/>
    <n v="12.25"/>
    <x v="1"/>
    <x v="2"/>
    <s v="Coarse Sicilian Salami, Tomatoes, Green Olives, Luganega Sausage, Onions, Garlic"/>
    <x v="7"/>
  </r>
  <r>
    <n v="1437"/>
    <n v="637"/>
    <n v="1"/>
    <s v="the_greek_l"/>
    <n v="1"/>
    <x v="11"/>
    <x v="1"/>
    <x v="317"/>
    <n v="20.5"/>
    <n v="20.5"/>
    <x v="2"/>
    <x v="0"/>
    <s v="Kalamata Olives, Feta Cheese, Tomatoes, Garlic, Beef Chuck Roast, Red Onions"/>
    <x v="2"/>
  </r>
  <r>
    <n v="1439"/>
    <n v="638"/>
    <n v="1"/>
    <s v="mexicana_l"/>
    <n v="1"/>
    <x v="11"/>
    <x v="1"/>
    <x v="318"/>
    <n v="20.25"/>
    <n v="20.25"/>
    <x v="2"/>
    <x v="1"/>
    <s v="Tomatoes, Red Peppers, Jalapeno Peppers, Red Onions, Cilantro, Corn, Chipotle Sauce, Garlic"/>
    <x v="1"/>
  </r>
  <r>
    <n v="1443"/>
    <n v="640"/>
    <n v="1"/>
    <s v="napolitana_s"/>
    <n v="1"/>
    <x v="11"/>
    <x v="1"/>
    <x v="319"/>
    <n v="12"/>
    <n v="12"/>
    <x v="1"/>
    <x v="0"/>
    <s v="Tomatoes, Anchovies, Green Olives, Red Onions, Garlic"/>
    <x v="5"/>
  </r>
  <r>
    <n v="1444"/>
    <n v="641"/>
    <n v="1"/>
    <s v="pepperoni_m"/>
    <n v="1"/>
    <x v="11"/>
    <x v="1"/>
    <x v="320"/>
    <n v="12.5"/>
    <n v="12.5"/>
    <x v="0"/>
    <x v="0"/>
    <s v="Mozzarella Cheese, Pepperoni"/>
    <x v="3"/>
  </r>
  <r>
    <n v="1448"/>
    <n v="642"/>
    <n v="1"/>
    <s v="calabrese_m"/>
    <n v="1"/>
    <x v="11"/>
    <x v="1"/>
    <x v="321"/>
    <n v="16.25"/>
    <n v="16.25"/>
    <x v="0"/>
    <x v="2"/>
    <s v="?duja Salami, Pancetta, Tomatoes, Red Onions, Friggitello Peppers, Garlic"/>
    <x v="6"/>
  </r>
  <r>
    <n v="1456"/>
    <n v="645"/>
    <n v="1"/>
    <s v="big_meat_s"/>
    <n v="1"/>
    <x v="11"/>
    <x v="1"/>
    <x v="322"/>
    <n v="12"/>
    <n v="12"/>
    <x v="1"/>
    <x v="0"/>
    <s v="Bacon, Pepperoni, Italian Sausage, Chorizo Sausage"/>
    <x v="4"/>
  </r>
  <r>
    <n v="1457"/>
    <n v="646"/>
    <n v="1"/>
    <s v="hawaiian_s"/>
    <n v="1"/>
    <x v="11"/>
    <x v="1"/>
    <x v="323"/>
    <n v="10.5"/>
    <n v="10.5"/>
    <x v="1"/>
    <x v="0"/>
    <s v="Sliced Ham, Pineapple, Mozzarella Cheese"/>
    <x v="0"/>
  </r>
  <r>
    <n v="1459"/>
    <n v="647"/>
    <n v="1"/>
    <s v="hawaiian_s"/>
    <n v="1"/>
    <x v="11"/>
    <x v="1"/>
    <x v="324"/>
    <n v="10.5"/>
    <n v="10.5"/>
    <x v="1"/>
    <x v="0"/>
    <s v="Sliced Ham, Pineapple, Mozzarella Cheese"/>
    <x v="0"/>
  </r>
  <r>
    <n v="1461"/>
    <n v="648"/>
    <n v="1"/>
    <s v="pepperoni_m"/>
    <n v="1"/>
    <x v="11"/>
    <x v="1"/>
    <x v="325"/>
    <n v="12.5"/>
    <n v="12.5"/>
    <x v="0"/>
    <x v="0"/>
    <s v="Mozzarella Cheese, Pepperoni"/>
    <x v="3"/>
  </r>
  <r>
    <n v="1463"/>
    <n v="649"/>
    <n v="0.5"/>
    <s v="pepperoni_m"/>
    <n v="1"/>
    <x v="11"/>
    <x v="1"/>
    <x v="326"/>
    <n v="12.5"/>
    <n v="12.5"/>
    <x v="0"/>
    <x v="0"/>
    <s v="Mozzarella Cheese, Pepperoni"/>
    <x v="3"/>
  </r>
  <r>
    <n v="1465"/>
    <n v="649"/>
    <n v="0.5"/>
    <s v="sicilian_s"/>
    <n v="1"/>
    <x v="11"/>
    <x v="1"/>
    <x v="326"/>
    <n v="12.25"/>
    <n v="12.25"/>
    <x v="1"/>
    <x v="2"/>
    <s v="Coarse Sicilian Salami, Tomatoes, Green Olives, Luganega Sausage, Onions, Garlic"/>
    <x v="7"/>
  </r>
  <r>
    <n v="1466"/>
    <n v="650"/>
    <n v="1"/>
    <s v="pepperoni_m"/>
    <n v="1"/>
    <x v="11"/>
    <x v="1"/>
    <x v="327"/>
    <n v="12.5"/>
    <n v="12.5"/>
    <x v="0"/>
    <x v="0"/>
    <s v="Mozzarella Cheese, Pepperoni"/>
    <x v="3"/>
  </r>
  <r>
    <n v="1468"/>
    <n v="651"/>
    <n v="0.5"/>
    <s v="calabrese_m"/>
    <n v="1"/>
    <x v="11"/>
    <x v="1"/>
    <x v="328"/>
    <n v="16.25"/>
    <n v="16.25"/>
    <x v="0"/>
    <x v="2"/>
    <s v="?duja Salami, Pancetta, Tomatoes, Red Onions, Friggitello Peppers, Garlic"/>
    <x v="6"/>
  </r>
  <r>
    <n v="1469"/>
    <n v="651"/>
    <n v="0.5"/>
    <s v="pepperoni_m"/>
    <n v="1"/>
    <x v="11"/>
    <x v="1"/>
    <x v="328"/>
    <n v="12.5"/>
    <n v="12.5"/>
    <x v="0"/>
    <x v="0"/>
    <s v="Mozzarella Cheese, Pepperoni"/>
    <x v="3"/>
  </r>
  <r>
    <n v="1470"/>
    <n v="652"/>
    <n v="1"/>
    <s v="big_meat_s"/>
    <n v="1"/>
    <x v="11"/>
    <x v="1"/>
    <x v="329"/>
    <n v="12"/>
    <n v="12"/>
    <x v="1"/>
    <x v="0"/>
    <s v="Bacon, Pepperoni, Italian Sausage, Chorizo Sausage"/>
    <x v="4"/>
  </r>
  <r>
    <n v="1475"/>
    <n v="654"/>
    <n v="0.5"/>
    <s v="mexicana_l"/>
    <n v="1"/>
    <x v="11"/>
    <x v="1"/>
    <x v="330"/>
    <n v="20.25"/>
    <n v="20.25"/>
    <x v="2"/>
    <x v="1"/>
    <s v="Tomatoes, Red Peppers, Jalapeno Peppers, Red Onions, Cilantro, Corn, Chipotle Sauce, Garlic"/>
    <x v="1"/>
  </r>
  <r>
    <n v="1476"/>
    <n v="654"/>
    <n v="0.5"/>
    <s v="sicilian_l"/>
    <n v="1"/>
    <x v="11"/>
    <x v="1"/>
    <x v="330"/>
    <n v="20.25"/>
    <n v="20.25"/>
    <x v="2"/>
    <x v="2"/>
    <s v="Coarse Sicilian Salami, Tomatoes, Green Olives, Luganega Sausage, Onions, Garlic"/>
    <x v="7"/>
  </r>
  <r>
    <n v="1483"/>
    <n v="658"/>
    <n v="1"/>
    <s v="napolitana_m"/>
    <n v="1"/>
    <x v="11"/>
    <x v="1"/>
    <x v="331"/>
    <n v="16"/>
    <n v="16"/>
    <x v="0"/>
    <x v="0"/>
    <s v="Tomatoes, Anchovies, Green Olives, Red Onions, Garlic"/>
    <x v="5"/>
  </r>
  <r>
    <n v="1487"/>
    <n v="659"/>
    <n v="1"/>
    <s v="sicilian_l"/>
    <n v="1"/>
    <x v="11"/>
    <x v="1"/>
    <x v="332"/>
    <n v="20.25"/>
    <n v="20.25"/>
    <x v="2"/>
    <x v="2"/>
    <s v="Coarse Sicilian Salami, Tomatoes, Green Olives, Luganega Sausage, Onions, Garlic"/>
    <x v="7"/>
  </r>
  <r>
    <n v="1490"/>
    <n v="661"/>
    <n v="1"/>
    <s v="napolitana_s"/>
    <n v="1"/>
    <x v="11"/>
    <x v="1"/>
    <x v="333"/>
    <n v="12"/>
    <n v="12"/>
    <x v="1"/>
    <x v="0"/>
    <s v="Tomatoes, Anchovies, Green Olives, Red Onions, Garlic"/>
    <x v="5"/>
  </r>
  <r>
    <n v="1494"/>
    <n v="664"/>
    <n v="0.5"/>
    <s v="calabrese_m"/>
    <n v="1"/>
    <x v="11"/>
    <x v="1"/>
    <x v="334"/>
    <n v="16.25"/>
    <n v="16.25"/>
    <x v="0"/>
    <x v="2"/>
    <s v="?duja Salami, Pancetta, Tomatoes, Red Onions, Friggitello Peppers, Garlic"/>
    <x v="6"/>
  </r>
  <r>
    <n v="1496"/>
    <n v="664"/>
    <n v="0.5"/>
    <s v="pepperoni_l"/>
    <n v="1"/>
    <x v="11"/>
    <x v="1"/>
    <x v="334"/>
    <n v="15.25"/>
    <n v="15.25"/>
    <x v="2"/>
    <x v="0"/>
    <s v="Mozzarella Cheese, Pepperoni"/>
    <x v="3"/>
  </r>
  <r>
    <n v="1499"/>
    <n v="666"/>
    <n v="1"/>
    <s v="hawaiian_l"/>
    <n v="1"/>
    <x v="11"/>
    <x v="1"/>
    <x v="335"/>
    <n v="16.5"/>
    <n v="16.5"/>
    <x v="2"/>
    <x v="0"/>
    <s v="Sliced Ham, Pineapple, Mozzarella Cheese"/>
    <x v="0"/>
  </r>
  <r>
    <n v="1500"/>
    <n v="667"/>
    <n v="0.5"/>
    <s v="big_meat_s"/>
    <n v="1"/>
    <x v="11"/>
    <x v="1"/>
    <x v="336"/>
    <n v="12"/>
    <n v="12"/>
    <x v="1"/>
    <x v="0"/>
    <s v="Bacon, Pepperoni, Italian Sausage, Chorizo Sausage"/>
    <x v="4"/>
  </r>
  <r>
    <n v="1501"/>
    <n v="667"/>
    <n v="0.5"/>
    <s v="pepperoni_s"/>
    <n v="1"/>
    <x v="11"/>
    <x v="1"/>
    <x v="336"/>
    <n v="9.75"/>
    <n v="9.75"/>
    <x v="1"/>
    <x v="0"/>
    <s v="Mozzarella Cheese, Pepperoni"/>
    <x v="3"/>
  </r>
  <r>
    <n v="1503"/>
    <n v="668"/>
    <n v="1"/>
    <s v="mexicana_l"/>
    <n v="1"/>
    <x v="11"/>
    <x v="1"/>
    <x v="337"/>
    <n v="20.25"/>
    <n v="20.25"/>
    <x v="2"/>
    <x v="1"/>
    <s v="Tomatoes, Red Peppers, Jalapeno Peppers, Red Onions, Cilantro, Corn, Chipotle Sauce, Garlic"/>
    <x v="1"/>
  </r>
  <r>
    <n v="1507"/>
    <n v="669"/>
    <n v="1"/>
    <s v="mexicana_l"/>
    <n v="1"/>
    <x v="11"/>
    <x v="1"/>
    <x v="338"/>
    <n v="20.25"/>
    <n v="20.25"/>
    <x v="2"/>
    <x v="1"/>
    <s v="Tomatoes, Red Peppers, Jalapeno Peppers, Red Onions, Cilantro, Corn, Chipotle Sauce, Garlic"/>
    <x v="1"/>
  </r>
  <r>
    <n v="1516"/>
    <n v="674"/>
    <n v="1"/>
    <s v="mexicana_l"/>
    <n v="1"/>
    <x v="11"/>
    <x v="1"/>
    <x v="339"/>
    <n v="20.25"/>
    <n v="20.25"/>
    <x v="2"/>
    <x v="1"/>
    <s v="Tomatoes, Red Peppers, Jalapeno Peppers, Red Onions, Cilantro, Corn, Chipotle Sauce, Garlic"/>
    <x v="1"/>
  </r>
  <r>
    <n v="1519"/>
    <n v="675"/>
    <n v="1"/>
    <s v="napolitana_l"/>
    <n v="1"/>
    <x v="11"/>
    <x v="1"/>
    <x v="340"/>
    <n v="20.5"/>
    <n v="20.5"/>
    <x v="2"/>
    <x v="0"/>
    <s v="Tomatoes, Anchovies, Green Olives, Red Onions, Garlic"/>
    <x v="5"/>
  </r>
  <r>
    <n v="1520"/>
    <n v="676"/>
    <n v="1"/>
    <s v="mexicana_l"/>
    <n v="1"/>
    <x v="11"/>
    <x v="1"/>
    <x v="341"/>
    <n v="20.25"/>
    <n v="20.25"/>
    <x v="2"/>
    <x v="1"/>
    <s v="Tomatoes, Red Peppers, Jalapeno Peppers, Red Onions, Cilantro, Corn, Chipotle Sauce, Garlic"/>
    <x v="1"/>
  </r>
  <r>
    <n v="1523"/>
    <n v="678"/>
    <n v="0.5"/>
    <s v="mexicana_s"/>
    <n v="1"/>
    <x v="11"/>
    <x v="1"/>
    <x v="342"/>
    <n v="12"/>
    <n v="12"/>
    <x v="1"/>
    <x v="1"/>
    <s v="Tomatoes, Red Peppers, Jalapeno Peppers, Red Onions, Cilantro, Corn, Chipotle Sauce, Garlic"/>
    <x v="1"/>
  </r>
  <r>
    <n v="1524"/>
    <n v="678"/>
    <n v="0.5"/>
    <s v="napolitana_m"/>
    <n v="1"/>
    <x v="11"/>
    <x v="1"/>
    <x v="342"/>
    <n v="16"/>
    <n v="16"/>
    <x v="0"/>
    <x v="0"/>
    <s v="Tomatoes, Anchovies, Green Olives, Red Onions, Garlic"/>
    <x v="5"/>
  </r>
  <r>
    <n v="1526"/>
    <n v="679"/>
    <n v="1"/>
    <s v="brie_carre_s"/>
    <n v="1"/>
    <x v="11"/>
    <x v="1"/>
    <x v="343"/>
    <n v="23.65"/>
    <n v="23.65"/>
    <x v="1"/>
    <x v="2"/>
    <s v="Brie Carre Cheese, Prosciutto, Caramelized Onions, Pears, Thyme, Garlic"/>
    <x v="8"/>
  </r>
  <r>
    <n v="1531"/>
    <n v="680"/>
    <n v="1"/>
    <s v="sicilian_m"/>
    <n v="1"/>
    <x v="11"/>
    <x v="1"/>
    <x v="344"/>
    <n v="16.25"/>
    <n v="16.25"/>
    <x v="0"/>
    <x v="2"/>
    <s v="Coarse Sicilian Salami, Tomatoes, Green Olives, Luganega Sausage, Onions, Garlic"/>
    <x v="7"/>
  </r>
  <r>
    <n v="1539"/>
    <n v="686"/>
    <n v="1"/>
    <s v="big_meat_s"/>
    <n v="1"/>
    <x v="12"/>
    <x v="6"/>
    <x v="345"/>
    <n v="12"/>
    <n v="12"/>
    <x v="1"/>
    <x v="0"/>
    <s v="Bacon, Pepperoni, Italian Sausage, Chorizo Sausage"/>
    <x v="4"/>
  </r>
  <r>
    <n v="1545"/>
    <n v="690"/>
    <n v="1"/>
    <s v="pepperoni_m"/>
    <n v="1"/>
    <x v="12"/>
    <x v="6"/>
    <x v="346"/>
    <n v="12.5"/>
    <n v="12.5"/>
    <x v="0"/>
    <x v="0"/>
    <s v="Mozzarella Cheese, Pepperoni"/>
    <x v="3"/>
  </r>
  <r>
    <n v="1550"/>
    <n v="693"/>
    <n v="1"/>
    <s v="big_meat_s"/>
    <n v="1"/>
    <x v="12"/>
    <x v="6"/>
    <x v="347"/>
    <n v="12"/>
    <n v="12"/>
    <x v="1"/>
    <x v="0"/>
    <s v="Bacon, Pepperoni, Italian Sausage, Chorizo Sausage"/>
    <x v="4"/>
  </r>
  <r>
    <n v="1555"/>
    <n v="694"/>
    <n v="1"/>
    <s v="pepperoni_l"/>
    <n v="1"/>
    <x v="12"/>
    <x v="6"/>
    <x v="348"/>
    <n v="15.25"/>
    <n v="15.25"/>
    <x v="2"/>
    <x v="0"/>
    <s v="Mozzarella Cheese, Pepperoni"/>
    <x v="3"/>
  </r>
  <r>
    <n v="1561"/>
    <n v="698"/>
    <n v="1"/>
    <s v="big_meat_s"/>
    <n v="1"/>
    <x v="12"/>
    <x v="6"/>
    <x v="349"/>
    <n v="12"/>
    <n v="12"/>
    <x v="1"/>
    <x v="0"/>
    <s v="Bacon, Pepperoni, Italian Sausage, Chorizo Sausage"/>
    <x v="4"/>
  </r>
  <r>
    <n v="1564"/>
    <n v="699"/>
    <n v="1"/>
    <s v="pepperoni_s"/>
    <n v="1"/>
    <x v="12"/>
    <x v="6"/>
    <x v="350"/>
    <n v="9.75"/>
    <n v="9.75"/>
    <x v="1"/>
    <x v="0"/>
    <s v="Mozzarella Cheese, Pepperoni"/>
    <x v="3"/>
  </r>
  <r>
    <n v="1565"/>
    <n v="700"/>
    <n v="0.5"/>
    <s v="brie_carre_s"/>
    <n v="1"/>
    <x v="12"/>
    <x v="6"/>
    <x v="351"/>
    <n v="23.65"/>
    <n v="23.65"/>
    <x v="1"/>
    <x v="2"/>
    <s v="Brie Carre Cheese, Prosciutto, Caramelized Onions, Pears, Thyme, Garlic"/>
    <x v="8"/>
  </r>
  <r>
    <n v="1569"/>
    <n v="700"/>
    <n v="0.5"/>
    <s v="sicilian_s"/>
    <n v="1"/>
    <x v="12"/>
    <x v="6"/>
    <x v="351"/>
    <n v="12.25"/>
    <n v="12.25"/>
    <x v="1"/>
    <x v="2"/>
    <s v="Coarse Sicilian Salami, Tomatoes, Green Olives, Luganega Sausage, Onions, Garlic"/>
    <x v="7"/>
  </r>
  <r>
    <n v="1570"/>
    <n v="701"/>
    <n v="1"/>
    <s v="hawaiian_s"/>
    <n v="1"/>
    <x v="12"/>
    <x v="6"/>
    <x v="352"/>
    <n v="10.5"/>
    <n v="10.5"/>
    <x v="1"/>
    <x v="0"/>
    <s v="Sliced Ham, Pineapple, Mozzarella Cheese"/>
    <x v="0"/>
  </r>
  <r>
    <n v="1573"/>
    <n v="702"/>
    <n v="1"/>
    <s v="sicilian_s"/>
    <n v="1"/>
    <x v="12"/>
    <x v="6"/>
    <x v="353"/>
    <n v="12.25"/>
    <n v="12.25"/>
    <x v="1"/>
    <x v="2"/>
    <s v="Coarse Sicilian Salami, Tomatoes, Green Olives, Luganega Sausage, Onions, Garlic"/>
    <x v="7"/>
  </r>
  <r>
    <n v="1575"/>
    <n v="704"/>
    <n v="1"/>
    <s v="calabrese_m"/>
    <n v="1"/>
    <x v="12"/>
    <x v="6"/>
    <x v="354"/>
    <n v="16.25"/>
    <n v="16.25"/>
    <x v="0"/>
    <x v="2"/>
    <s v="?duja Salami, Pancetta, Tomatoes, Red Onions, Friggitello Peppers, Garlic"/>
    <x v="6"/>
  </r>
  <r>
    <n v="1581"/>
    <n v="706"/>
    <n v="1"/>
    <s v="napolitana_l"/>
    <n v="1"/>
    <x v="12"/>
    <x v="6"/>
    <x v="355"/>
    <n v="20.5"/>
    <n v="20.5"/>
    <x v="2"/>
    <x v="0"/>
    <s v="Tomatoes, Anchovies, Green Olives, Red Onions, Garlic"/>
    <x v="5"/>
  </r>
  <r>
    <n v="1587"/>
    <n v="710"/>
    <n v="0.33333333333333331"/>
    <s v="hawaiian_l"/>
    <n v="1"/>
    <x v="12"/>
    <x v="6"/>
    <x v="356"/>
    <n v="16.5"/>
    <n v="16.5"/>
    <x v="2"/>
    <x v="0"/>
    <s v="Sliced Ham, Pineapple, Mozzarella Cheese"/>
    <x v="0"/>
  </r>
  <r>
    <n v="1589"/>
    <n v="710"/>
    <n v="0.33333333333333331"/>
    <s v="the_greek_s"/>
    <n v="1"/>
    <x v="12"/>
    <x v="6"/>
    <x v="356"/>
    <n v="12"/>
    <n v="12"/>
    <x v="1"/>
    <x v="0"/>
    <s v="Kalamata Olives, Feta Cheese, Tomatoes, Garlic, Beef Chuck Roast, Red Onions"/>
    <x v="2"/>
  </r>
  <r>
    <n v="1590"/>
    <n v="710"/>
    <n v="0.33333333333333331"/>
    <s v="the_greek_xl"/>
    <n v="1"/>
    <x v="12"/>
    <x v="6"/>
    <x v="356"/>
    <n v="25.5"/>
    <n v="25.5"/>
    <x v="3"/>
    <x v="0"/>
    <s v="Kalamata Olives, Feta Cheese, Tomatoes, Garlic, Beef Chuck Roast, Red Onions"/>
    <x v="2"/>
  </r>
  <r>
    <n v="1592"/>
    <n v="711"/>
    <n v="0.5"/>
    <s v="mexicana_l"/>
    <n v="1"/>
    <x v="12"/>
    <x v="6"/>
    <x v="357"/>
    <n v="20.25"/>
    <n v="20.25"/>
    <x v="2"/>
    <x v="1"/>
    <s v="Tomatoes, Red Peppers, Jalapeno Peppers, Red Onions, Cilantro, Corn, Chipotle Sauce, Garlic"/>
    <x v="1"/>
  </r>
  <r>
    <n v="1594"/>
    <n v="711"/>
    <n v="0.5"/>
    <s v="sicilian_l"/>
    <n v="1"/>
    <x v="12"/>
    <x v="6"/>
    <x v="357"/>
    <n v="20.25"/>
    <n v="20.25"/>
    <x v="2"/>
    <x v="2"/>
    <s v="Coarse Sicilian Salami, Tomatoes, Green Olives, Luganega Sausage, Onions, Garlic"/>
    <x v="7"/>
  </r>
  <r>
    <n v="1599"/>
    <n v="714"/>
    <n v="0.5"/>
    <s v="hawaiian_l"/>
    <n v="1"/>
    <x v="12"/>
    <x v="6"/>
    <x v="358"/>
    <n v="16.5"/>
    <n v="16.5"/>
    <x v="2"/>
    <x v="0"/>
    <s v="Sliced Ham, Pineapple, Mozzarella Cheese"/>
    <x v="0"/>
  </r>
  <r>
    <n v="1600"/>
    <n v="714"/>
    <n v="0.5"/>
    <s v="hawaiian_s"/>
    <n v="1"/>
    <x v="12"/>
    <x v="6"/>
    <x v="358"/>
    <n v="10.5"/>
    <n v="10.5"/>
    <x v="1"/>
    <x v="0"/>
    <s v="Sliced Ham, Pineapple, Mozzarella Cheese"/>
    <x v="0"/>
  </r>
  <r>
    <n v="1602"/>
    <n v="715"/>
    <n v="1"/>
    <s v="pepperoni_m"/>
    <n v="1"/>
    <x v="12"/>
    <x v="6"/>
    <x v="359"/>
    <n v="12.5"/>
    <n v="12.5"/>
    <x v="0"/>
    <x v="0"/>
    <s v="Mozzarella Cheese, Pepperoni"/>
    <x v="3"/>
  </r>
  <r>
    <n v="1605"/>
    <n v="716"/>
    <n v="1"/>
    <s v="big_meat_s"/>
    <n v="1"/>
    <x v="12"/>
    <x v="6"/>
    <x v="360"/>
    <n v="12"/>
    <n v="12"/>
    <x v="1"/>
    <x v="0"/>
    <s v="Bacon, Pepperoni, Italian Sausage, Chorizo Sausage"/>
    <x v="4"/>
  </r>
  <r>
    <n v="1611"/>
    <n v="719"/>
    <n v="1"/>
    <s v="mexicana_s"/>
    <n v="1"/>
    <x v="12"/>
    <x v="6"/>
    <x v="361"/>
    <n v="12"/>
    <n v="12"/>
    <x v="1"/>
    <x v="1"/>
    <s v="Tomatoes, Red Peppers, Jalapeno Peppers, Red Onions, Cilantro, Corn, Chipotle Sauce, Garlic"/>
    <x v="1"/>
  </r>
  <r>
    <n v="1613"/>
    <n v="720"/>
    <n v="0.5"/>
    <s v="napolitana_l"/>
    <n v="1"/>
    <x v="12"/>
    <x v="6"/>
    <x v="362"/>
    <n v="20.5"/>
    <n v="20.5"/>
    <x v="2"/>
    <x v="0"/>
    <s v="Tomatoes, Anchovies, Green Olives, Red Onions, Garlic"/>
    <x v="5"/>
  </r>
  <r>
    <n v="1615"/>
    <n v="720"/>
    <n v="0.5"/>
    <s v="sicilian_m"/>
    <n v="1"/>
    <x v="12"/>
    <x v="6"/>
    <x v="362"/>
    <n v="16.25"/>
    <n v="16.25"/>
    <x v="0"/>
    <x v="2"/>
    <s v="Coarse Sicilian Salami, Tomatoes, Green Olives, Luganega Sausage, Onions, Garlic"/>
    <x v="7"/>
  </r>
  <r>
    <n v="1618"/>
    <n v="722"/>
    <n v="1"/>
    <s v="napolitana_l"/>
    <n v="1"/>
    <x v="12"/>
    <x v="6"/>
    <x v="363"/>
    <n v="20.5"/>
    <n v="20.5"/>
    <x v="2"/>
    <x v="0"/>
    <s v="Tomatoes, Anchovies, Green Olives, Red Onions, Garlic"/>
    <x v="5"/>
  </r>
  <r>
    <n v="1621"/>
    <n v="723"/>
    <n v="1"/>
    <s v="pepperoni_s"/>
    <n v="1"/>
    <x v="12"/>
    <x v="6"/>
    <x v="364"/>
    <n v="9.75"/>
    <n v="9.75"/>
    <x v="1"/>
    <x v="0"/>
    <s v="Mozzarella Cheese, Pepperoni"/>
    <x v="3"/>
  </r>
  <r>
    <n v="1622"/>
    <n v="724"/>
    <n v="1"/>
    <s v="big_meat_s"/>
    <n v="1"/>
    <x v="12"/>
    <x v="6"/>
    <x v="365"/>
    <n v="12"/>
    <n v="12"/>
    <x v="1"/>
    <x v="0"/>
    <s v="Bacon, Pepperoni, Italian Sausage, Chorizo Sausage"/>
    <x v="4"/>
  </r>
  <r>
    <n v="1625"/>
    <n v="725"/>
    <n v="0.33333333333333331"/>
    <s v="big_meat_s"/>
    <n v="1"/>
    <x v="12"/>
    <x v="6"/>
    <x v="366"/>
    <n v="12"/>
    <n v="12"/>
    <x v="1"/>
    <x v="0"/>
    <s v="Bacon, Pepperoni, Italian Sausage, Chorizo Sausage"/>
    <x v="4"/>
  </r>
  <r>
    <n v="1626"/>
    <n v="725"/>
    <n v="0.33333333333333331"/>
    <s v="mexicana_s"/>
    <n v="1"/>
    <x v="12"/>
    <x v="6"/>
    <x v="366"/>
    <n v="12"/>
    <n v="12"/>
    <x v="1"/>
    <x v="1"/>
    <s v="Tomatoes, Red Peppers, Jalapeno Peppers, Red Onions, Cilantro, Corn, Chipotle Sauce, Garlic"/>
    <x v="1"/>
  </r>
  <r>
    <n v="1628"/>
    <n v="725"/>
    <n v="0.33333333333333331"/>
    <s v="the_greek_xl"/>
    <n v="1"/>
    <x v="12"/>
    <x v="6"/>
    <x v="366"/>
    <n v="25.5"/>
    <n v="25.5"/>
    <x v="3"/>
    <x v="0"/>
    <s v="Kalamata Olives, Feta Cheese, Tomatoes, Garlic, Beef Chuck Roast, Red Onions"/>
    <x v="2"/>
  </r>
  <r>
    <n v="1629"/>
    <n v="726"/>
    <n v="1"/>
    <s v="sicilian_s"/>
    <n v="1"/>
    <x v="12"/>
    <x v="6"/>
    <x v="367"/>
    <n v="12.25"/>
    <n v="12.25"/>
    <x v="1"/>
    <x v="2"/>
    <s v="Coarse Sicilian Salami, Tomatoes, Green Olives, Luganega Sausage, Onions, Garlic"/>
    <x v="7"/>
  </r>
  <r>
    <n v="1630"/>
    <n v="727"/>
    <n v="1"/>
    <s v="sicilian_s"/>
    <n v="1"/>
    <x v="12"/>
    <x v="6"/>
    <x v="368"/>
    <n v="12.25"/>
    <n v="12.25"/>
    <x v="1"/>
    <x v="2"/>
    <s v="Coarse Sicilian Salami, Tomatoes, Green Olives, Luganega Sausage, Onions, Garlic"/>
    <x v="7"/>
  </r>
  <r>
    <n v="1633"/>
    <n v="728"/>
    <n v="1"/>
    <s v="the_greek_m"/>
    <n v="1"/>
    <x v="12"/>
    <x v="6"/>
    <x v="369"/>
    <n v="16"/>
    <n v="16"/>
    <x v="0"/>
    <x v="0"/>
    <s v="Kalamata Olives, Feta Cheese, Tomatoes, Garlic, Beef Chuck Roast, Red Onions"/>
    <x v="2"/>
  </r>
  <r>
    <n v="1635"/>
    <n v="729"/>
    <n v="0.5"/>
    <s v="hawaiian_l"/>
    <n v="1"/>
    <x v="12"/>
    <x v="6"/>
    <x v="370"/>
    <n v="16.5"/>
    <n v="16.5"/>
    <x v="2"/>
    <x v="0"/>
    <s v="Sliced Ham, Pineapple, Mozzarella Cheese"/>
    <x v="0"/>
  </r>
  <r>
    <n v="1636"/>
    <n v="729"/>
    <n v="0.5"/>
    <s v="sicilian_s"/>
    <n v="1"/>
    <x v="12"/>
    <x v="6"/>
    <x v="370"/>
    <n v="12.25"/>
    <n v="12.25"/>
    <x v="1"/>
    <x v="2"/>
    <s v="Coarse Sicilian Salami, Tomatoes, Green Olives, Luganega Sausage, Onions, Garlic"/>
    <x v="7"/>
  </r>
  <r>
    <n v="1638"/>
    <n v="731"/>
    <n v="1"/>
    <s v="sicilian_m"/>
    <n v="1"/>
    <x v="12"/>
    <x v="6"/>
    <x v="371"/>
    <n v="16.25"/>
    <n v="16.25"/>
    <x v="0"/>
    <x v="2"/>
    <s v="Coarse Sicilian Salami, Tomatoes, Green Olives, Luganega Sausage, Onions, Garlic"/>
    <x v="7"/>
  </r>
  <r>
    <n v="1643"/>
    <n v="733"/>
    <n v="1"/>
    <s v="pepperoni_s"/>
    <n v="1"/>
    <x v="12"/>
    <x v="6"/>
    <x v="372"/>
    <n v="9.75"/>
    <n v="9.75"/>
    <x v="1"/>
    <x v="0"/>
    <s v="Mozzarella Cheese, Pepperoni"/>
    <x v="3"/>
  </r>
  <r>
    <n v="1645"/>
    <n v="734"/>
    <n v="1"/>
    <s v="pepperoni_s"/>
    <n v="1"/>
    <x v="12"/>
    <x v="6"/>
    <x v="373"/>
    <n v="9.75"/>
    <n v="9.75"/>
    <x v="1"/>
    <x v="0"/>
    <s v="Mozzarella Cheese, Pepperoni"/>
    <x v="3"/>
  </r>
  <r>
    <n v="4157"/>
    <n v="1846"/>
    <n v="1"/>
    <s v="big_meat_s"/>
    <n v="1"/>
    <x v="13"/>
    <x v="3"/>
    <x v="374"/>
    <n v="12"/>
    <n v="12"/>
    <x v="1"/>
    <x v="0"/>
    <s v="Bacon, Pepperoni, Italian Sausage, Chorizo Sausage"/>
    <x v="4"/>
  </r>
  <r>
    <n v="4163"/>
    <n v="1849"/>
    <n v="1"/>
    <s v="sicilian_s"/>
    <n v="1"/>
    <x v="13"/>
    <x v="3"/>
    <x v="375"/>
    <n v="12.25"/>
    <n v="12.25"/>
    <x v="1"/>
    <x v="2"/>
    <s v="Coarse Sicilian Salami, Tomatoes, Green Olives, Luganega Sausage, Onions, Garlic"/>
    <x v="7"/>
  </r>
  <r>
    <n v="4164"/>
    <n v="1850"/>
    <n v="0.5"/>
    <s v="hawaiian_s"/>
    <n v="1"/>
    <x v="13"/>
    <x v="3"/>
    <x v="376"/>
    <n v="10.5"/>
    <n v="10.5"/>
    <x v="1"/>
    <x v="0"/>
    <s v="Sliced Ham, Pineapple, Mozzarella Cheese"/>
    <x v="0"/>
  </r>
  <r>
    <n v="4165"/>
    <n v="1850"/>
    <n v="0.5"/>
    <s v="mexicana_s"/>
    <n v="1"/>
    <x v="13"/>
    <x v="3"/>
    <x v="376"/>
    <n v="12"/>
    <n v="12"/>
    <x v="1"/>
    <x v="1"/>
    <s v="Tomatoes, Red Peppers, Jalapeno Peppers, Red Onions, Cilantro, Corn, Chipotle Sauce, Garlic"/>
    <x v="1"/>
  </r>
  <r>
    <n v="4166"/>
    <n v="1851"/>
    <n v="0.33333333333333331"/>
    <s v="big_meat_s"/>
    <n v="2"/>
    <x v="13"/>
    <x v="3"/>
    <x v="377"/>
    <n v="12"/>
    <n v="24"/>
    <x v="1"/>
    <x v="0"/>
    <s v="Bacon, Pepperoni, Italian Sausage, Chorizo Sausage"/>
    <x v="4"/>
  </r>
  <r>
    <n v="4170"/>
    <n v="1851"/>
    <n v="0.33333333333333331"/>
    <s v="napolitana_m"/>
    <n v="1"/>
    <x v="13"/>
    <x v="3"/>
    <x v="377"/>
    <n v="16"/>
    <n v="16"/>
    <x v="0"/>
    <x v="0"/>
    <s v="Tomatoes, Anchovies, Green Olives, Red Onions, Garlic"/>
    <x v="5"/>
  </r>
  <r>
    <n v="4171"/>
    <n v="1851"/>
    <n v="0.33333333333333331"/>
    <s v="pepperoni_s"/>
    <n v="1"/>
    <x v="13"/>
    <x v="3"/>
    <x v="377"/>
    <n v="9.75"/>
    <n v="9.75"/>
    <x v="1"/>
    <x v="0"/>
    <s v="Mozzarella Cheese, Pepperoni"/>
    <x v="3"/>
  </r>
  <r>
    <n v="4178"/>
    <n v="1852"/>
    <n v="1"/>
    <s v="calabrese_m"/>
    <n v="1"/>
    <x v="13"/>
    <x v="3"/>
    <x v="378"/>
    <n v="16.25"/>
    <n v="16.25"/>
    <x v="0"/>
    <x v="2"/>
    <s v="?duja Salami, Pancetta, Tomatoes, Red Onions, Friggitello Peppers, Garlic"/>
    <x v="6"/>
  </r>
  <r>
    <n v="4181"/>
    <n v="1853"/>
    <n v="1"/>
    <s v="napolitana_m"/>
    <n v="1"/>
    <x v="13"/>
    <x v="3"/>
    <x v="379"/>
    <n v="16"/>
    <n v="16"/>
    <x v="0"/>
    <x v="0"/>
    <s v="Tomatoes, Anchovies, Green Olives, Red Onions, Garlic"/>
    <x v="5"/>
  </r>
  <r>
    <n v="4182"/>
    <n v="1854"/>
    <n v="1"/>
    <s v="big_meat_s"/>
    <n v="1"/>
    <x v="13"/>
    <x v="3"/>
    <x v="380"/>
    <n v="12"/>
    <n v="12"/>
    <x v="1"/>
    <x v="0"/>
    <s v="Bacon, Pepperoni, Italian Sausage, Chorizo Sausage"/>
    <x v="4"/>
  </r>
  <r>
    <n v="4187"/>
    <n v="1856"/>
    <n v="1"/>
    <s v="sicilian_m"/>
    <n v="1"/>
    <x v="13"/>
    <x v="3"/>
    <x v="381"/>
    <n v="16.25"/>
    <n v="16.25"/>
    <x v="0"/>
    <x v="2"/>
    <s v="Coarse Sicilian Salami, Tomatoes, Green Olives, Luganega Sausage, Onions, Garlic"/>
    <x v="7"/>
  </r>
  <r>
    <n v="4188"/>
    <n v="1857"/>
    <n v="1"/>
    <s v="calabrese_l"/>
    <n v="1"/>
    <x v="13"/>
    <x v="3"/>
    <x v="382"/>
    <n v="20.25"/>
    <n v="20.25"/>
    <x v="2"/>
    <x v="2"/>
    <s v="?duja Salami, Pancetta, Tomatoes, Red Onions, Friggitello Peppers, Garlic"/>
    <x v="6"/>
  </r>
  <r>
    <n v="4194"/>
    <n v="1862"/>
    <n v="1"/>
    <s v="mexicana_l"/>
    <n v="1"/>
    <x v="13"/>
    <x v="3"/>
    <x v="383"/>
    <n v="20.25"/>
    <n v="20.25"/>
    <x v="2"/>
    <x v="1"/>
    <s v="Tomatoes, Red Peppers, Jalapeno Peppers, Red Onions, Cilantro, Corn, Chipotle Sauce, Garlic"/>
    <x v="1"/>
  </r>
  <r>
    <n v="4195"/>
    <n v="1863"/>
    <n v="1"/>
    <s v="brie_carre_s"/>
    <n v="1"/>
    <x v="13"/>
    <x v="3"/>
    <x v="384"/>
    <n v="23.65"/>
    <n v="23.65"/>
    <x v="1"/>
    <x v="2"/>
    <s v="Brie Carre Cheese, Prosciutto, Caramelized Onions, Pears, Thyme, Garlic"/>
    <x v="8"/>
  </r>
  <r>
    <n v="4201"/>
    <n v="1866"/>
    <n v="1"/>
    <s v="brie_carre_s"/>
    <n v="1"/>
    <x v="13"/>
    <x v="3"/>
    <x v="385"/>
    <n v="23.65"/>
    <n v="23.65"/>
    <x v="1"/>
    <x v="2"/>
    <s v="Brie Carre Cheese, Prosciutto, Caramelized Onions, Pears, Thyme, Garlic"/>
    <x v="8"/>
  </r>
  <r>
    <n v="4211"/>
    <n v="1869"/>
    <n v="1"/>
    <s v="pepperoni_m"/>
    <n v="1"/>
    <x v="13"/>
    <x v="3"/>
    <x v="386"/>
    <n v="12.5"/>
    <n v="12.5"/>
    <x v="0"/>
    <x v="0"/>
    <s v="Mozzarella Cheese, Pepperoni"/>
    <x v="3"/>
  </r>
  <r>
    <n v="4214"/>
    <n v="1870"/>
    <n v="1"/>
    <s v="big_meat_s"/>
    <n v="1"/>
    <x v="13"/>
    <x v="3"/>
    <x v="387"/>
    <n v="12"/>
    <n v="12"/>
    <x v="1"/>
    <x v="0"/>
    <s v="Bacon, Pepperoni, Italian Sausage, Chorizo Sausage"/>
    <x v="4"/>
  </r>
  <r>
    <n v="4217"/>
    <n v="1872"/>
    <n v="1"/>
    <s v="mexicana_l"/>
    <n v="1"/>
    <x v="13"/>
    <x v="3"/>
    <x v="388"/>
    <n v="20.25"/>
    <n v="20.25"/>
    <x v="2"/>
    <x v="1"/>
    <s v="Tomatoes, Red Peppers, Jalapeno Peppers, Red Onions, Cilantro, Corn, Chipotle Sauce, Garlic"/>
    <x v="1"/>
  </r>
  <r>
    <n v="4221"/>
    <n v="1873"/>
    <n v="1"/>
    <s v="sicilian_l"/>
    <n v="1"/>
    <x v="13"/>
    <x v="3"/>
    <x v="389"/>
    <n v="20.25"/>
    <n v="20.25"/>
    <x v="2"/>
    <x v="2"/>
    <s v="Coarse Sicilian Salami, Tomatoes, Green Olives, Luganega Sausage, Onions, Garlic"/>
    <x v="7"/>
  </r>
  <r>
    <n v="4222"/>
    <n v="1874"/>
    <n v="1"/>
    <s v="sicilian_l"/>
    <n v="1"/>
    <x v="13"/>
    <x v="3"/>
    <x v="390"/>
    <n v="20.25"/>
    <n v="20.25"/>
    <x v="2"/>
    <x v="2"/>
    <s v="Coarse Sicilian Salami, Tomatoes, Green Olives, Luganega Sausage, Onions, Garlic"/>
    <x v="7"/>
  </r>
  <r>
    <n v="4223"/>
    <n v="1875"/>
    <n v="1"/>
    <s v="pepperoni_m"/>
    <n v="1"/>
    <x v="13"/>
    <x v="3"/>
    <x v="391"/>
    <n v="12.5"/>
    <n v="12.5"/>
    <x v="0"/>
    <x v="0"/>
    <s v="Mozzarella Cheese, Pepperoni"/>
    <x v="3"/>
  </r>
  <r>
    <n v="4226"/>
    <n v="1876"/>
    <n v="1"/>
    <s v="calabrese_m"/>
    <n v="1"/>
    <x v="13"/>
    <x v="3"/>
    <x v="392"/>
    <n v="16.25"/>
    <n v="16.25"/>
    <x v="0"/>
    <x v="2"/>
    <s v="?duja Salami, Pancetta, Tomatoes, Red Onions, Friggitello Peppers, Garlic"/>
    <x v="6"/>
  </r>
  <r>
    <n v="4232"/>
    <n v="1878"/>
    <n v="1"/>
    <s v="napolitana_l"/>
    <n v="1"/>
    <x v="13"/>
    <x v="3"/>
    <x v="393"/>
    <n v="20.5"/>
    <n v="20.5"/>
    <x v="2"/>
    <x v="0"/>
    <s v="Tomatoes, Anchovies, Green Olives, Red Onions, Garlic"/>
    <x v="5"/>
  </r>
  <r>
    <n v="4233"/>
    <n v="1879"/>
    <n v="1"/>
    <s v="big_meat_s"/>
    <n v="2"/>
    <x v="13"/>
    <x v="3"/>
    <x v="394"/>
    <n v="12"/>
    <n v="24"/>
    <x v="1"/>
    <x v="0"/>
    <s v="Bacon, Pepperoni, Italian Sausage, Chorizo Sausage"/>
    <x v="4"/>
  </r>
  <r>
    <n v="4236"/>
    <n v="1880"/>
    <n v="1"/>
    <s v="mexicana_m"/>
    <n v="1"/>
    <x v="13"/>
    <x v="3"/>
    <x v="395"/>
    <n v="16"/>
    <n v="16"/>
    <x v="0"/>
    <x v="1"/>
    <s v="Tomatoes, Red Peppers, Jalapeno Peppers, Red Onions, Cilantro, Corn, Chipotle Sauce, Garlic"/>
    <x v="1"/>
  </r>
  <r>
    <n v="4237"/>
    <n v="1881"/>
    <n v="0.5"/>
    <s v="napolitana_m"/>
    <n v="1"/>
    <x v="13"/>
    <x v="3"/>
    <x v="396"/>
    <n v="16"/>
    <n v="16"/>
    <x v="0"/>
    <x v="0"/>
    <s v="Tomatoes, Anchovies, Green Olives, Red Onions, Garlic"/>
    <x v="5"/>
  </r>
  <r>
    <n v="4238"/>
    <n v="1881"/>
    <n v="0.5"/>
    <s v="pepperoni_s"/>
    <n v="1"/>
    <x v="13"/>
    <x v="3"/>
    <x v="396"/>
    <n v="9.75"/>
    <n v="9.75"/>
    <x v="1"/>
    <x v="0"/>
    <s v="Mozzarella Cheese, Pepperoni"/>
    <x v="3"/>
  </r>
  <r>
    <n v="4241"/>
    <n v="1883"/>
    <n v="1"/>
    <s v="hawaiian_s"/>
    <n v="2"/>
    <x v="13"/>
    <x v="3"/>
    <x v="397"/>
    <n v="10.5"/>
    <n v="21"/>
    <x v="1"/>
    <x v="0"/>
    <s v="Sliced Ham, Pineapple, Mozzarella Cheese"/>
    <x v="0"/>
  </r>
  <r>
    <n v="4244"/>
    <n v="1884"/>
    <n v="1"/>
    <s v="hawaiian_m"/>
    <n v="1"/>
    <x v="13"/>
    <x v="3"/>
    <x v="398"/>
    <n v="13.25"/>
    <n v="13.25"/>
    <x v="0"/>
    <x v="0"/>
    <s v="Sliced Ham, Pineapple, Mozzarella Cheese"/>
    <x v="0"/>
  </r>
  <r>
    <n v="4250"/>
    <n v="1886"/>
    <n v="1"/>
    <s v="mexicana_l"/>
    <n v="1"/>
    <x v="13"/>
    <x v="3"/>
    <x v="399"/>
    <n v="20.25"/>
    <n v="20.25"/>
    <x v="2"/>
    <x v="1"/>
    <s v="Tomatoes, Red Peppers, Jalapeno Peppers, Red Onions, Cilantro, Corn, Chipotle Sauce, Garlic"/>
    <x v="1"/>
  </r>
  <r>
    <n v="4254"/>
    <n v="1887"/>
    <n v="1"/>
    <s v="pepperoni_s"/>
    <n v="1"/>
    <x v="13"/>
    <x v="3"/>
    <x v="400"/>
    <n v="9.75"/>
    <n v="9.75"/>
    <x v="1"/>
    <x v="0"/>
    <s v="Mozzarella Cheese, Pepperoni"/>
    <x v="3"/>
  </r>
  <r>
    <n v="4256"/>
    <n v="1888"/>
    <n v="0.5"/>
    <s v="calabrese_m"/>
    <n v="1"/>
    <x v="13"/>
    <x v="3"/>
    <x v="401"/>
    <n v="16.25"/>
    <n v="16.25"/>
    <x v="0"/>
    <x v="2"/>
    <s v="?duja Salami, Pancetta, Tomatoes, Red Onions, Friggitello Peppers, Garlic"/>
    <x v="6"/>
  </r>
  <r>
    <n v="4257"/>
    <n v="1888"/>
    <n v="0.5"/>
    <s v="napolitana_s"/>
    <n v="1"/>
    <x v="13"/>
    <x v="3"/>
    <x v="401"/>
    <n v="12"/>
    <n v="12"/>
    <x v="1"/>
    <x v="0"/>
    <s v="Tomatoes, Anchovies, Green Olives, Red Onions, Garlic"/>
    <x v="5"/>
  </r>
  <r>
    <n v="4262"/>
    <n v="1891"/>
    <n v="0.5"/>
    <s v="calabrese_l"/>
    <n v="1"/>
    <x v="13"/>
    <x v="3"/>
    <x v="402"/>
    <n v="20.25"/>
    <n v="20.25"/>
    <x v="2"/>
    <x v="2"/>
    <s v="?duja Salami, Pancetta, Tomatoes, Red Onions, Friggitello Peppers, Garlic"/>
    <x v="6"/>
  </r>
  <r>
    <n v="4265"/>
    <n v="1891"/>
    <n v="0.5"/>
    <s v="the_greek_l"/>
    <n v="1"/>
    <x v="13"/>
    <x v="3"/>
    <x v="402"/>
    <n v="20.5"/>
    <n v="20.5"/>
    <x v="2"/>
    <x v="0"/>
    <s v="Kalamata Olives, Feta Cheese, Tomatoes, Garlic, Beef Chuck Roast, Red Onions"/>
    <x v="2"/>
  </r>
  <r>
    <n v="4267"/>
    <n v="1892"/>
    <n v="0.5"/>
    <s v="hawaiian_s"/>
    <n v="1"/>
    <x v="13"/>
    <x v="3"/>
    <x v="403"/>
    <n v="10.5"/>
    <n v="10.5"/>
    <x v="1"/>
    <x v="0"/>
    <s v="Sliced Ham, Pineapple, Mozzarella Cheese"/>
    <x v="0"/>
  </r>
  <r>
    <n v="4268"/>
    <n v="1892"/>
    <n v="0.5"/>
    <s v="sicilian_l"/>
    <n v="1"/>
    <x v="13"/>
    <x v="3"/>
    <x v="403"/>
    <n v="20.25"/>
    <n v="20.25"/>
    <x v="2"/>
    <x v="2"/>
    <s v="Coarse Sicilian Salami, Tomatoes, Green Olives, Luganega Sausage, Onions, Garlic"/>
    <x v="7"/>
  </r>
  <r>
    <n v="4271"/>
    <n v="1894"/>
    <n v="1"/>
    <s v="the_greek_xl"/>
    <n v="1"/>
    <x v="13"/>
    <x v="3"/>
    <x v="404"/>
    <n v="25.5"/>
    <n v="25.5"/>
    <x v="3"/>
    <x v="0"/>
    <s v="Kalamata Olives, Feta Cheese, Tomatoes, Garlic, Beef Chuck Roast, Red Onions"/>
    <x v="2"/>
  </r>
  <r>
    <n v="4272"/>
    <n v="1895"/>
    <n v="1"/>
    <s v="calabrese_m"/>
    <n v="1"/>
    <x v="13"/>
    <x v="3"/>
    <x v="405"/>
    <n v="16.25"/>
    <n v="16.25"/>
    <x v="0"/>
    <x v="2"/>
    <s v="?duja Salami, Pancetta, Tomatoes, Red Onions, Friggitello Peppers, Garlic"/>
    <x v="6"/>
  </r>
  <r>
    <n v="4283"/>
    <n v="1900"/>
    <n v="1"/>
    <s v="hawaiian_l"/>
    <n v="1"/>
    <x v="13"/>
    <x v="3"/>
    <x v="406"/>
    <n v="16.5"/>
    <n v="16.5"/>
    <x v="2"/>
    <x v="0"/>
    <s v="Sliced Ham, Pineapple, Mozzarella Cheese"/>
    <x v="0"/>
  </r>
  <r>
    <n v="4289"/>
    <n v="1904"/>
    <n v="0.5"/>
    <s v="big_meat_s"/>
    <n v="1"/>
    <x v="13"/>
    <x v="3"/>
    <x v="407"/>
    <n v="12"/>
    <n v="12"/>
    <x v="1"/>
    <x v="0"/>
    <s v="Bacon, Pepperoni, Italian Sausage, Chorizo Sausage"/>
    <x v="4"/>
  </r>
  <r>
    <n v="4292"/>
    <n v="1904"/>
    <n v="0.5"/>
    <s v="pepperoni_s"/>
    <n v="1"/>
    <x v="13"/>
    <x v="3"/>
    <x v="407"/>
    <n v="9.75"/>
    <n v="9.75"/>
    <x v="1"/>
    <x v="0"/>
    <s v="Mozzarella Cheese, Pepperoni"/>
    <x v="3"/>
  </r>
  <r>
    <n v="4305"/>
    <n v="1914"/>
    <n v="1"/>
    <s v="pepperoni_s"/>
    <n v="1"/>
    <x v="13"/>
    <x v="3"/>
    <x v="408"/>
    <n v="9.75"/>
    <n v="9.75"/>
    <x v="1"/>
    <x v="0"/>
    <s v="Mozzarella Cheese, Pepperoni"/>
    <x v="3"/>
  </r>
  <r>
    <n v="4306"/>
    <n v="1915"/>
    <n v="1"/>
    <s v="pepperoni_m"/>
    <n v="1"/>
    <x v="13"/>
    <x v="3"/>
    <x v="409"/>
    <n v="12.5"/>
    <n v="12.5"/>
    <x v="0"/>
    <x v="0"/>
    <s v="Mozzarella Cheese, Pepperoni"/>
    <x v="3"/>
  </r>
  <r>
    <n v="4309"/>
    <n v="1916"/>
    <n v="1"/>
    <s v="napolitana_m"/>
    <n v="1"/>
    <x v="13"/>
    <x v="3"/>
    <x v="410"/>
    <n v="16"/>
    <n v="16"/>
    <x v="0"/>
    <x v="0"/>
    <s v="Tomatoes, Anchovies, Green Olives, Red Onions, Garlic"/>
    <x v="5"/>
  </r>
  <r>
    <n v="4310"/>
    <n v="1917"/>
    <n v="0.33333333333333331"/>
    <s v="brie_carre_s"/>
    <n v="1"/>
    <x v="13"/>
    <x v="3"/>
    <x v="411"/>
    <n v="23.65"/>
    <n v="23.65"/>
    <x v="1"/>
    <x v="2"/>
    <s v="Brie Carre Cheese, Prosciutto, Caramelized Onions, Pears, Thyme, Garlic"/>
    <x v="8"/>
  </r>
  <r>
    <n v="4311"/>
    <n v="1917"/>
    <n v="0.33333333333333331"/>
    <s v="mexicana_l"/>
    <n v="1"/>
    <x v="13"/>
    <x v="3"/>
    <x v="411"/>
    <n v="20.25"/>
    <n v="20.25"/>
    <x v="2"/>
    <x v="1"/>
    <s v="Tomatoes, Red Peppers, Jalapeno Peppers, Red Onions, Cilantro, Corn, Chipotle Sauce, Garlic"/>
    <x v="1"/>
  </r>
  <r>
    <n v="4313"/>
    <n v="1917"/>
    <n v="0.33333333333333331"/>
    <s v="the_greek_m"/>
    <n v="1"/>
    <x v="13"/>
    <x v="3"/>
    <x v="411"/>
    <n v="16"/>
    <n v="16"/>
    <x v="0"/>
    <x v="0"/>
    <s v="Kalamata Olives, Feta Cheese, Tomatoes, Garlic, Beef Chuck Roast, Red Onions"/>
    <x v="2"/>
  </r>
  <r>
    <n v="4321"/>
    <n v="1922"/>
    <n v="1"/>
    <s v="the_greek_xl"/>
    <n v="1"/>
    <x v="13"/>
    <x v="3"/>
    <x v="412"/>
    <n v="25.5"/>
    <n v="25.5"/>
    <x v="3"/>
    <x v="0"/>
    <s v="Kalamata Olives, Feta Cheese, Tomatoes, Garlic, Beef Chuck Roast, Red Onions"/>
    <x v="2"/>
  </r>
  <r>
    <n v="4329"/>
    <n v="1925"/>
    <n v="1"/>
    <s v="pepperoni_s"/>
    <n v="1"/>
    <x v="13"/>
    <x v="3"/>
    <x v="413"/>
    <n v="9.75"/>
    <n v="9.75"/>
    <x v="1"/>
    <x v="0"/>
    <s v="Mozzarella Cheese, Pepperoni"/>
    <x v="3"/>
  </r>
  <r>
    <n v="4331"/>
    <n v="1926"/>
    <n v="1"/>
    <s v="pepperoni_s"/>
    <n v="1"/>
    <x v="13"/>
    <x v="3"/>
    <x v="414"/>
    <n v="9.75"/>
    <n v="9.75"/>
    <x v="1"/>
    <x v="0"/>
    <s v="Mozzarella Cheese, Pepperoni"/>
    <x v="3"/>
  </r>
  <r>
    <n v="4338"/>
    <n v="1929"/>
    <n v="0.5"/>
    <s v="hawaiian_l"/>
    <n v="1"/>
    <x v="13"/>
    <x v="3"/>
    <x v="415"/>
    <n v="16.5"/>
    <n v="16.5"/>
    <x v="2"/>
    <x v="0"/>
    <s v="Sliced Ham, Pineapple, Mozzarella Cheese"/>
    <x v="0"/>
  </r>
  <r>
    <n v="4339"/>
    <n v="1929"/>
    <n v="0.5"/>
    <s v="napolitana_l"/>
    <n v="1"/>
    <x v="13"/>
    <x v="3"/>
    <x v="415"/>
    <n v="20.5"/>
    <n v="20.5"/>
    <x v="2"/>
    <x v="0"/>
    <s v="Tomatoes, Anchovies, Green Olives, Red Onions, Garlic"/>
    <x v="5"/>
  </r>
  <r>
    <n v="4340"/>
    <n v="1930"/>
    <n v="1"/>
    <s v="calabrese_m"/>
    <n v="1"/>
    <x v="13"/>
    <x v="3"/>
    <x v="416"/>
    <n v="16.25"/>
    <n v="16.25"/>
    <x v="0"/>
    <x v="2"/>
    <s v="?duja Salami, Pancetta, Tomatoes, Red Onions, Friggitello Peppers, Garlic"/>
    <x v="6"/>
  </r>
  <r>
    <n v="4341"/>
    <n v="1931"/>
    <n v="1"/>
    <s v="big_meat_s"/>
    <n v="1"/>
    <x v="13"/>
    <x v="3"/>
    <x v="417"/>
    <n v="12"/>
    <n v="12"/>
    <x v="1"/>
    <x v="0"/>
    <s v="Bacon, Pepperoni, Italian Sausage, Chorizo Sausage"/>
    <x v="4"/>
  </r>
  <r>
    <n v="4352"/>
    <n v="1936"/>
    <n v="1"/>
    <s v="hawaiian_l"/>
    <n v="1"/>
    <x v="14"/>
    <x v="4"/>
    <x v="418"/>
    <n v="16.5"/>
    <n v="16.5"/>
    <x v="2"/>
    <x v="0"/>
    <s v="Sliced Ham, Pineapple, Mozzarella Cheese"/>
    <x v="0"/>
  </r>
  <r>
    <n v="4354"/>
    <n v="1937"/>
    <n v="1"/>
    <s v="sicilian_m"/>
    <n v="1"/>
    <x v="14"/>
    <x v="4"/>
    <x v="419"/>
    <n v="16.25"/>
    <n v="16.25"/>
    <x v="0"/>
    <x v="2"/>
    <s v="Coarse Sicilian Salami, Tomatoes, Green Olives, Luganega Sausage, Onions, Garlic"/>
    <x v="7"/>
  </r>
  <r>
    <n v="4355"/>
    <n v="1938"/>
    <n v="1"/>
    <s v="pepperoni_l"/>
    <n v="1"/>
    <x v="14"/>
    <x v="4"/>
    <x v="420"/>
    <n v="15.25"/>
    <n v="15.25"/>
    <x v="2"/>
    <x v="0"/>
    <s v="Mozzarella Cheese, Pepperoni"/>
    <x v="3"/>
  </r>
  <r>
    <n v="4356"/>
    <n v="1939"/>
    <n v="1"/>
    <s v="pepperoni_s"/>
    <n v="1"/>
    <x v="14"/>
    <x v="4"/>
    <x v="421"/>
    <n v="9.75"/>
    <n v="9.75"/>
    <x v="1"/>
    <x v="0"/>
    <s v="Mozzarella Cheese, Pepperoni"/>
    <x v="3"/>
  </r>
  <r>
    <n v="4358"/>
    <n v="1941"/>
    <n v="1"/>
    <s v="pepperoni_s"/>
    <n v="1"/>
    <x v="14"/>
    <x v="4"/>
    <x v="422"/>
    <n v="9.75"/>
    <n v="9.75"/>
    <x v="1"/>
    <x v="0"/>
    <s v="Mozzarella Cheese, Pepperoni"/>
    <x v="3"/>
  </r>
  <r>
    <n v="4362"/>
    <n v="1943"/>
    <n v="1"/>
    <s v="hawaiian_l"/>
    <n v="1"/>
    <x v="14"/>
    <x v="4"/>
    <x v="423"/>
    <n v="16.5"/>
    <n v="16.5"/>
    <x v="2"/>
    <x v="0"/>
    <s v="Sliced Ham, Pineapple, Mozzarella Cheese"/>
    <x v="0"/>
  </r>
  <r>
    <n v="4371"/>
    <n v="1946"/>
    <n v="0.5"/>
    <s v="mexicana_m"/>
    <n v="2"/>
    <x v="14"/>
    <x v="4"/>
    <x v="424"/>
    <n v="16"/>
    <n v="32"/>
    <x v="0"/>
    <x v="1"/>
    <s v="Tomatoes, Red Peppers, Jalapeno Peppers, Red Onions, Cilantro, Corn, Chipotle Sauce, Garlic"/>
    <x v="1"/>
  </r>
  <r>
    <n v="4372"/>
    <n v="1946"/>
    <n v="0.5"/>
    <s v="sicilian_s"/>
    <n v="1"/>
    <x v="14"/>
    <x v="4"/>
    <x v="424"/>
    <n v="12.25"/>
    <n v="12.25"/>
    <x v="1"/>
    <x v="2"/>
    <s v="Coarse Sicilian Salami, Tomatoes, Green Olives, Luganega Sausage, Onions, Garlic"/>
    <x v="7"/>
  </r>
  <r>
    <n v="4377"/>
    <n v="1948"/>
    <n v="1"/>
    <s v="mexicana_l"/>
    <n v="1"/>
    <x v="14"/>
    <x v="4"/>
    <x v="425"/>
    <n v="20.25"/>
    <n v="20.25"/>
    <x v="2"/>
    <x v="1"/>
    <s v="Tomatoes, Red Peppers, Jalapeno Peppers, Red Onions, Cilantro, Corn, Chipotle Sauce, Garlic"/>
    <x v="1"/>
  </r>
  <r>
    <n v="4381"/>
    <n v="1951"/>
    <n v="1"/>
    <s v="pepperoni_l"/>
    <n v="1"/>
    <x v="14"/>
    <x v="4"/>
    <x v="426"/>
    <n v="15.25"/>
    <n v="15.25"/>
    <x v="2"/>
    <x v="0"/>
    <s v="Mozzarella Cheese, Pepperoni"/>
    <x v="3"/>
  </r>
  <r>
    <n v="4383"/>
    <n v="1952"/>
    <n v="1"/>
    <s v="mexicana_l"/>
    <n v="1"/>
    <x v="14"/>
    <x v="4"/>
    <x v="427"/>
    <n v="20.25"/>
    <n v="20.25"/>
    <x v="2"/>
    <x v="1"/>
    <s v="Tomatoes, Red Peppers, Jalapeno Peppers, Red Onions, Cilantro, Corn, Chipotle Sauce, Garlic"/>
    <x v="1"/>
  </r>
  <r>
    <n v="4386"/>
    <n v="1955"/>
    <n v="1"/>
    <s v="the_greek_s"/>
    <n v="1"/>
    <x v="14"/>
    <x v="4"/>
    <x v="428"/>
    <n v="12"/>
    <n v="12"/>
    <x v="1"/>
    <x v="0"/>
    <s v="Kalamata Olives, Feta Cheese, Tomatoes, Garlic, Beef Chuck Roast, Red Onions"/>
    <x v="2"/>
  </r>
  <r>
    <n v="4387"/>
    <n v="1956"/>
    <n v="1"/>
    <s v="calabrese_m"/>
    <n v="1"/>
    <x v="14"/>
    <x v="4"/>
    <x v="429"/>
    <n v="16.25"/>
    <n v="16.25"/>
    <x v="0"/>
    <x v="2"/>
    <s v="?duja Salami, Pancetta, Tomatoes, Red Onions, Friggitello Peppers, Garlic"/>
    <x v="6"/>
  </r>
  <r>
    <n v="4390"/>
    <n v="1957"/>
    <n v="0.5"/>
    <s v="big_meat_s"/>
    <n v="1"/>
    <x v="14"/>
    <x v="4"/>
    <x v="430"/>
    <n v="12"/>
    <n v="12"/>
    <x v="1"/>
    <x v="0"/>
    <s v="Bacon, Pepperoni, Italian Sausage, Chorizo Sausage"/>
    <x v="4"/>
  </r>
  <r>
    <n v="4396"/>
    <n v="1957"/>
    <n v="0.5"/>
    <s v="pepperoni_l"/>
    <n v="1"/>
    <x v="14"/>
    <x v="4"/>
    <x v="430"/>
    <n v="15.25"/>
    <n v="15.25"/>
    <x v="2"/>
    <x v="0"/>
    <s v="Mozzarella Cheese, Pepperoni"/>
    <x v="3"/>
  </r>
  <r>
    <n v="4406"/>
    <n v="1960"/>
    <n v="1"/>
    <s v="pepperoni_m"/>
    <n v="1"/>
    <x v="14"/>
    <x v="4"/>
    <x v="431"/>
    <n v="12.5"/>
    <n v="12.5"/>
    <x v="0"/>
    <x v="0"/>
    <s v="Mozzarella Cheese, Pepperoni"/>
    <x v="3"/>
  </r>
  <r>
    <n v="4407"/>
    <n v="1961"/>
    <n v="0.5"/>
    <s v="big_meat_s"/>
    <n v="1"/>
    <x v="14"/>
    <x v="4"/>
    <x v="432"/>
    <n v="12"/>
    <n v="12"/>
    <x v="1"/>
    <x v="0"/>
    <s v="Bacon, Pepperoni, Italian Sausage, Chorizo Sausage"/>
    <x v="4"/>
  </r>
  <r>
    <n v="4408"/>
    <n v="1961"/>
    <n v="0.5"/>
    <s v="mexicana_l"/>
    <n v="1"/>
    <x v="14"/>
    <x v="4"/>
    <x v="432"/>
    <n v="20.25"/>
    <n v="20.25"/>
    <x v="2"/>
    <x v="1"/>
    <s v="Tomatoes, Red Peppers, Jalapeno Peppers, Red Onions, Cilantro, Corn, Chipotle Sauce, Garlic"/>
    <x v="1"/>
  </r>
  <r>
    <n v="4410"/>
    <n v="1963"/>
    <n v="1"/>
    <s v="big_meat_s"/>
    <n v="1"/>
    <x v="14"/>
    <x v="4"/>
    <x v="433"/>
    <n v="12"/>
    <n v="12"/>
    <x v="1"/>
    <x v="0"/>
    <s v="Bacon, Pepperoni, Italian Sausage, Chorizo Sausage"/>
    <x v="4"/>
  </r>
  <r>
    <n v="4413"/>
    <n v="1964"/>
    <n v="1"/>
    <s v="sicilian_s"/>
    <n v="1"/>
    <x v="14"/>
    <x v="4"/>
    <x v="434"/>
    <n v="12.25"/>
    <n v="12.25"/>
    <x v="1"/>
    <x v="2"/>
    <s v="Coarse Sicilian Salami, Tomatoes, Green Olives, Luganega Sausage, Onions, Garlic"/>
    <x v="7"/>
  </r>
  <r>
    <n v="4418"/>
    <n v="1965"/>
    <n v="1"/>
    <s v="hawaiian_l"/>
    <n v="1"/>
    <x v="14"/>
    <x v="4"/>
    <x v="435"/>
    <n v="16.5"/>
    <n v="16.5"/>
    <x v="2"/>
    <x v="0"/>
    <s v="Sliced Ham, Pineapple, Mozzarella Cheese"/>
    <x v="0"/>
  </r>
  <r>
    <n v="4420"/>
    <n v="1966"/>
    <n v="1"/>
    <s v="sicilian_m"/>
    <n v="1"/>
    <x v="14"/>
    <x v="4"/>
    <x v="436"/>
    <n v="16.25"/>
    <n v="16.25"/>
    <x v="0"/>
    <x v="2"/>
    <s v="Coarse Sicilian Salami, Tomatoes, Green Olives, Luganega Sausage, Onions, Garlic"/>
    <x v="7"/>
  </r>
  <r>
    <n v="4424"/>
    <n v="1967"/>
    <n v="1"/>
    <s v="hawaiian_s"/>
    <n v="1"/>
    <x v="14"/>
    <x v="4"/>
    <x v="437"/>
    <n v="10.5"/>
    <n v="10.5"/>
    <x v="1"/>
    <x v="0"/>
    <s v="Sliced Ham, Pineapple, Mozzarella Cheese"/>
    <x v="0"/>
  </r>
  <r>
    <n v="4428"/>
    <n v="1968"/>
    <n v="0.5"/>
    <s v="big_meat_s"/>
    <n v="1"/>
    <x v="14"/>
    <x v="4"/>
    <x v="438"/>
    <n v="12"/>
    <n v="12"/>
    <x v="1"/>
    <x v="0"/>
    <s v="Bacon, Pepperoni, Italian Sausage, Chorizo Sausage"/>
    <x v="4"/>
  </r>
  <r>
    <n v="4429"/>
    <n v="1968"/>
    <n v="0.5"/>
    <s v="brie_carre_s"/>
    <n v="1"/>
    <x v="14"/>
    <x v="4"/>
    <x v="438"/>
    <n v="23.65"/>
    <n v="23.65"/>
    <x v="1"/>
    <x v="2"/>
    <s v="Brie Carre Cheese, Prosciutto, Caramelized Onions, Pears, Thyme, Garlic"/>
    <x v="8"/>
  </r>
  <r>
    <n v="4431"/>
    <n v="1969"/>
    <n v="1"/>
    <s v="hawaiian_s"/>
    <n v="1"/>
    <x v="14"/>
    <x v="4"/>
    <x v="439"/>
    <n v="10.5"/>
    <n v="10.5"/>
    <x v="1"/>
    <x v="0"/>
    <s v="Sliced Ham, Pineapple, Mozzarella Cheese"/>
    <x v="0"/>
  </r>
  <r>
    <n v="4435"/>
    <n v="1972"/>
    <n v="0.33333333333333331"/>
    <s v="calabrese_m"/>
    <n v="1"/>
    <x v="14"/>
    <x v="4"/>
    <x v="440"/>
    <n v="16.25"/>
    <n v="16.25"/>
    <x v="0"/>
    <x v="2"/>
    <s v="?duja Salami, Pancetta, Tomatoes, Red Onions, Friggitello Peppers, Garlic"/>
    <x v="6"/>
  </r>
  <r>
    <n v="4436"/>
    <n v="1972"/>
    <n v="0.33333333333333331"/>
    <s v="mexicana_m"/>
    <n v="1"/>
    <x v="14"/>
    <x v="4"/>
    <x v="440"/>
    <n v="16"/>
    <n v="16"/>
    <x v="0"/>
    <x v="1"/>
    <s v="Tomatoes, Red Peppers, Jalapeno Peppers, Red Onions, Cilantro, Corn, Chipotle Sauce, Garlic"/>
    <x v="1"/>
  </r>
  <r>
    <n v="4437"/>
    <n v="1972"/>
    <n v="0.33333333333333331"/>
    <s v="pepperoni_m"/>
    <n v="1"/>
    <x v="14"/>
    <x v="4"/>
    <x v="440"/>
    <n v="12.5"/>
    <n v="12.5"/>
    <x v="0"/>
    <x v="0"/>
    <s v="Mozzarella Cheese, Pepperoni"/>
    <x v="3"/>
  </r>
  <r>
    <n v="4440"/>
    <n v="1974"/>
    <n v="1"/>
    <s v="big_meat_s"/>
    <n v="1"/>
    <x v="14"/>
    <x v="4"/>
    <x v="441"/>
    <n v="12"/>
    <n v="12"/>
    <x v="1"/>
    <x v="0"/>
    <s v="Bacon, Pepperoni, Italian Sausage, Chorizo Sausage"/>
    <x v="4"/>
  </r>
  <r>
    <n v="4444"/>
    <n v="1975"/>
    <n v="1"/>
    <s v="pepperoni_s"/>
    <n v="1"/>
    <x v="14"/>
    <x v="4"/>
    <x v="442"/>
    <n v="9.75"/>
    <n v="9.75"/>
    <x v="1"/>
    <x v="0"/>
    <s v="Mozzarella Cheese, Pepperoni"/>
    <x v="3"/>
  </r>
  <r>
    <n v="4449"/>
    <n v="1978"/>
    <n v="1"/>
    <s v="pepperoni_m"/>
    <n v="1"/>
    <x v="14"/>
    <x v="4"/>
    <x v="443"/>
    <n v="12.5"/>
    <n v="12.5"/>
    <x v="0"/>
    <x v="0"/>
    <s v="Mozzarella Cheese, Pepperoni"/>
    <x v="3"/>
  </r>
  <r>
    <n v="4450"/>
    <n v="1979"/>
    <n v="1"/>
    <s v="the_greek_m"/>
    <n v="1"/>
    <x v="14"/>
    <x v="4"/>
    <x v="444"/>
    <n v="16"/>
    <n v="16"/>
    <x v="0"/>
    <x v="0"/>
    <s v="Kalamata Olives, Feta Cheese, Tomatoes, Garlic, Beef Chuck Roast, Red Onions"/>
    <x v="2"/>
  </r>
  <r>
    <n v="4453"/>
    <n v="1981"/>
    <n v="1"/>
    <s v="hawaiian_l"/>
    <n v="1"/>
    <x v="14"/>
    <x v="4"/>
    <x v="445"/>
    <n v="16.5"/>
    <n v="16.5"/>
    <x v="2"/>
    <x v="0"/>
    <s v="Sliced Ham, Pineapple, Mozzarella Cheese"/>
    <x v="0"/>
  </r>
  <r>
    <n v="4456"/>
    <n v="1982"/>
    <n v="1"/>
    <s v="pepperoni_m"/>
    <n v="1"/>
    <x v="14"/>
    <x v="4"/>
    <x v="446"/>
    <n v="12.5"/>
    <n v="12.5"/>
    <x v="0"/>
    <x v="0"/>
    <s v="Mozzarella Cheese, Pepperoni"/>
    <x v="3"/>
  </r>
  <r>
    <n v="4458"/>
    <n v="1984"/>
    <n v="1"/>
    <s v="big_meat_s"/>
    <n v="1"/>
    <x v="14"/>
    <x v="4"/>
    <x v="447"/>
    <n v="12"/>
    <n v="12"/>
    <x v="1"/>
    <x v="0"/>
    <s v="Bacon, Pepperoni, Italian Sausage, Chorizo Sausage"/>
    <x v="4"/>
  </r>
  <r>
    <n v="4463"/>
    <n v="1986"/>
    <n v="1"/>
    <s v="napolitana_l"/>
    <n v="1"/>
    <x v="14"/>
    <x v="4"/>
    <x v="448"/>
    <n v="20.5"/>
    <n v="20.5"/>
    <x v="2"/>
    <x v="0"/>
    <s v="Tomatoes, Anchovies, Green Olives, Red Onions, Garlic"/>
    <x v="5"/>
  </r>
  <r>
    <n v="4466"/>
    <n v="1987"/>
    <n v="1"/>
    <s v="calabrese_m"/>
    <n v="1"/>
    <x v="14"/>
    <x v="4"/>
    <x v="449"/>
    <n v="16.25"/>
    <n v="16.25"/>
    <x v="0"/>
    <x v="2"/>
    <s v="?duja Salami, Pancetta, Tomatoes, Red Onions, Friggitello Peppers, Garlic"/>
    <x v="6"/>
  </r>
  <r>
    <n v="4474"/>
    <n v="1990"/>
    <n v="0.5"/>
    <s v="calabrese_m"/>
    <n v="1"/>
    <x v="14"/>
    <x v="4"/>
    <x v="450"/>
    <n v="16.25"/>
    <n v="16.25"/>
    <x v="0"/>
    <x v="2"/>
    <s v="?duja Salami, Pancetta, Tomatoes, Red Onions, Friggitello Peppers, Garlic"/>
    <x v="6"/>
  </r>
  <r>
    <n v="4475"/>
    <n v="1990"/>
    <n v="0.5"/>
    <s v="hawaiian_l"/>
    <n v="1"/>
    <x v="14"/>
    <x v="4"/>
    <x v="450"/>
    <n v="16.5"/>
    <n v="16.5"/>
    <x v="2"/>
    <x v="0"/>
    <s v="Sliced Ham, Pineapple, Mozzarella Cheese"/>
    <x v="0"/>
  </r>
  <r>
    <n v="4481"/>
    <n v="1994"/>
    <n v="1"/>
    <s v="hawaiian_s"/>
    <n v="1"/>
    <x v="14"/>
    <x v="4"/>
    <x v="451"/>
    <n v="10.5"/>
    <n v="10.5"/>
    <x v="1"/>
    <x v="0"/>
    <s v="Sliced Ham, Pineapple, Mozzarella Cheese"/>
    <x v="0"/>
  </r>
  <r>
    <n v="4485"/>
    <n v="1995"/>
    <n v="1"/>
    <s v="calabrese_m"/>
    <n v="1"/>
    <x v="14"/>
    <x v="4"/>
    <x v="452"/>
    <n v="16.25"/>
    <n v="16.25"/>
    <x v="0"/>
    <x v="2"/>
    <s v="?duja Salami, Pancetta, Tomatoes, Red Onions, Friggitello Peppers, Garlic"/>
    <x v="6"/>
  </r>
  <r>
    <n v="4490"/>
    <n v="1996"/>
    <n v="1"/>
    <s v="sicilian_s"/>
    <n v="1"/>
    <x v="15"/>
    <x v="4"/>
    <x v="453"/>
    <n v="12.25"/>
    <n v="12.25"/>
    <x v="1"/>
    <x v="2"/>
    <s v="Coarse Sicilian Salami, Tomatoes, Green Olives, Luganega Sausage, Onions, Garlic"/>
    <x v="7"/>
  </r>
  <r>
    <n v="4493"/>
    <n v="1999"/>
    <n v="0.25"/>
    <s v="big_meat_s"/>
    <n v="1"/>
    <x v="15"/>
    <x v="4"/>
    <x v="454"/>
    <n v="12"/>
    <n v="12"/>
    <x v="1"/>
    <x v="0"/>
    <s v="Bacon, Pepperoni, Italian Sausage, Chorizo Sausage"/>
    <x v="4"/>
  </r>
  <r>
    <n v="4494"/>
    <n v="1999"/>
    <n v="0.25"/>
    <s v="calabrese_l"/>
    <n v="1"/>
    <x v="15"/>
    <x v="4"/>
    <x v="454"/>
    <n v="20.25"/>
    <n v="20.25"/>
    <x v="2"/>
    <x v="2"/>
    <s v="?duja Salami, Pancetta, Tomatoes, Red Onions, Friggitello Peppers, Garlic"/>
    <x v="6"/>
  </r>
  <r>
    <n v="4495"/>
    <n v="1999"/>
    <n v="0.25"/>
    <s v="calabrese_m"/>
    <n v="1"/>
    <x v="15"/>
    <x v="4"/>
    <x v="454"/>
    <n v="16.25"/>
    <n v="16.25"/>
    <x v="0"/>
    <x v="2"/>
    <s v="?duja Salami, Pancetta, Tomatoes, Red Onions, Friggitello Peppers, Garlic"/>
    <x v="6"/>
  </r>
  <r>
    <n v="4499"/>
    <n v="1999"/>
    <n v="0.25"/>
    <s v="napolitana_l"/>
    <n v="1"/>
    <x v="15"/>
    <x v="4"/>
    <x v="454"/>
    <n v="20.5"/>
    <n v="20.5"/>
    <x v="2"/>
    <x v="0"/>
    <s v="Tomatoes, Anchovies, Green Olives, Red Onions, Garlic"/>
    <x v="5"/>
  </r>
  <r>
    <n v="4504"/>
    <n v="2000"/>
    <n v="0.33333333333333331"/>
    <s v="big_meat_s"/>
    <n v="2"/>
    <x v="15"/>
    <x v="4"/>
    <x v="455"/>
    <n v="12"/>
    <n v="24"/>
    <x v="1"/>
    <x v="0"/>
    <s v="Bacon, Pepperoni, Italian Sausage, Chorizo Sausage"/>
    <x v="4"/>
  </r>
  <r>
    <n v="4505"/>
    <n v="2000"/>
    <n v="0.33333333333333331"/>
    <s v="calabrese_m"/>
    <n v="1"/>
    <x v="15"/>
    <x v="4"/>
    <x v="455"/>
    <n v="16.25"/>
    <n v="16.25"/>
    <x v="0"/>
    <x v="2"/>
    <s v="?duja Salami, Pancetta, Tomatoes, Red Onions, Friggitello Peppers, Garlic"/>
    <x v="6"/>
  </r>
  <r>
    <n v="4508"/>
    <n v="2000"/>
    <n v="0.33333333333333331"/>
    <s v="pepperoni_s"/>
    <n v="2"/>
    <x v="15"/>
    <x v="4"/>
    <x v="455"/>
    <n v="9.75"/>
    <n v="19.5"/>
    <x v="1"/>
    <x v="0"/>
    <s v="Mozzarella Cheese, Pepperoni"/>
    <x v="3"/>
  </r>
  <r>
    <n v="4514"/>
    <n v="2001"/>
    <n v="0.5"/>
    <s v="calabrese_m"/>
    <n v="1"/>
    <x v="15"/>
    <x v="4"/>
    <x v="456"/>
    <n v="16.25"/>
    <n v="16.25"/>
    <x v="0"/>
    <x v="2"/>
    <s v="?duja Salami, Pancetta, Tomatoes, Red Onions, Friggitello Peppers, Garlic"/>
    <x v="6"/>
  </r>
  <r>
    <n v="4515"/>
    <n v="2001"/>
    <n v="0.5"/>
    <s v="calabrese_s"/>
    <n v="1"/>
    <x v="15"/>
    <x v="4"/>
    <x v="456"/>
    <n v="12.25"/>
    <n v="12.25"/>
    <x v="1"/>
    <x v="2"/>
    <s v="?duja Salami, Pancetta, Tomatoes, Red Onions, Friggitello Peppers, Garlic"/>
    <x v="6"/>
  </r>
  <r>
    <n v="4518"/>
    <n v="2002"/>
    <n v="1"/>
    <s v="big_meat_s"/>
    <n v="1"/>
    <x v="15"/>
    <x v="4"/>
    <x v="457"/>
    <n v="12"/>
    <n v="12"/>
    <x v="1"/>
    <x v="0"/>
    <s v="Bacon, Pepperoni, Italian Sausage, Chorizo Sausage"/>
    <x v="4"/>
  </r>
  <r>
    <n v="4531"/>
    <n v="2006"/>
    <n v="1"/>
    <s v="hawaiian_m"/>
    <n v="1"/>
    <x v="15"/>
    <x v="4"/>
    <x v="458"/>
    <n v="13.25"/>
    <n v="13.25"/>
    <x v="0"/>
    <x v="0"/>
    <s v="Sliced Ham, Pineapple, Mozzarella Cheese"/>
    <x v="0"/>
  </r>
  <r>
    <n v="4535"/>
    <n v="2008"/>
    <n v="1"/>
    <s v="napolitana_l"/>
    <n v="1"/>
    <x v="15"/>
    <x v="4"/>
    <x v="459"/>
    <n v="20.5"/>
    <n v="20.5"/>
    <x v="2"/>
    <x v="0"/>
    <s v="Tomatoes, Anchovies, Green Olives, Red Onions, Garlic"/>
    <x v="5"/>
  </r>
  <r>
    <n v="4536"/>
    <n v="2009"/>
    <n v="1"/>
    <s v="the_greek_s"/>
    <n v="1"/>
    <x v="15"/>
    <x v="4"/>
    <x v="460"/>
    <n v="12"/>
    <n v="12"/>
    <x v="1"/>
    <x v="0"/>
    <s v="Kalamata Olives, Feta Cheese, Tomatoes, Garlic, Beef Chuck Roast, Red Onions"/>
    <x v="2"/>
  </r>
  <r>
    <n v="4537"/>
    <n v="2010"/>
    <n v="0.33333333333333331"/>
    <s v="big_meat_s"/>
    <n v="1"/>
    <x v="15"/>
    <x v="4"/>
    <x v="461"/>
    <n v="12"/>
    <n v="12"/>
    <x v="1"/>
    <x v="0"/>
    <s v="Bacon, Pepperoni, Italian Sausage, Chorizo Sausage"/>
    <x v="4"/>
  </r>
  <r>
    <n v="4538"/>
    <n v="2010"/>
    <n v="0.33333333333333331"/>
    <s v="pepperoni_s"/>
    <n v="1"/>
    <x v="15"/>
    <x v="4"/>
    <x v="461"/>
    <n v="9.75"/>
    <n v="9.75"/>
    <x v="1"/>
    <x v="0"/>
    <s v="Mozzarella Cheese, Pepperoni"/>
    <x v="3"/>
  </r>
  <r>
    <n v="4539"/>
    <n v="2010"/>
    <n v="0.33333333333333331"/>
    <s v="sicilian_m"/>
    <n v="1"/>
    <x v="15"/>
    <x v="4"/>
    <x v="461"/>
    <n v="16.25"/>
    <n v="16.25"/>
    <x v="0"/>
    <x v="2"/>
    <s v="Coarse Sicilian Salami, Tomatoes, Green Olives, Luganega Sausage, Onions, Garlic"/>
    <x v="7"/>
  </r>
  <r>
    <n v="4546"/>
    <n v="2012"/>
    <n v="1"/>
    <s v="the_greek_xl"/>
    <n v="1"/>
    <x v="15"/>
    <x v="4"/>
    <x v="462"/>
    <n v="25.5"/>
    <n v="25.5"/>
    <x v="3"/>
    <x v="0"/>
    <s v="Kalamata Olives, Feta Cheese, Tomatoes, Garlic, Beef Chuck Roast, Red Onions"/>
    <x v="2"/>
  </r>
  <r>
    <n v="4547"/>
    <n v="2013"/>
    <n v="0.5"/>
    <s v="big_meat_s"/>
    <n v="2"/>
    <x v="15"/>
    <x v="4"/>
    <x v="463"/>
    <n v="12"/>
    <n v="24"/>
    <x v="1"/>
    <x v="0"/>
    <s v="Bacon, Pepperoni, Italian Sausage, Chorizo Sausage"/>
    <x v="4"/>
  </r>
  <r>
    <n v="4548"/>
    <n v="2013"/>
    <n v="0.5"/>
    <s v="brie_carre_s"/>
    <n v="1"/>
    <x v="15"/>
    <x v="4"/>
    <x v="463"/>
    <n v="23.65"/>
    <n v="23.65"/>
    <x v="1"/>
    <x v="2"/>
    <s v="Brie Carre Cheese, Prosciutto, Caramelized Onions, Pears, Thyme, Garlic"/>
    <x v="8"/>
  </r>
  <r>
    <n v="4551"/>
    <n v="2015"/>
    <n v="1"/>
    <s v="hawaiian_m"/>
    <n v="1"/>
    <x v="15"/>
    <x v="4"/>
    <x v="464"/>
    <n v="13.25"/>
    <n v="13.25"/>
    <x v="0"/>
    <x v="0"/>
    <s v="Sliced Ham, Pineapple, Mozzarella Cheese"/>
    <x v="0"/>
  </r>
  <r>
    <n v="4557"/>
    <n v="2018"/>
    <n v="0.33333333333333331"/>
    <s v="pepperoni_s"/>
    <n v="1"/>
    <x v="15"/>
    <x v="4"/>
    <x v="465"/>
    <n v="9.75"/>
    <n v="9.75"/>
    <x v="1"/>
    <x v="0"/>
    <s v="Mozzarella Cheese, Pepperoni"/>
    <x v="3"/>
  </r>
  <r>
    <n v="4559"/>
    <n v="2018"/>
    <n v="0.33333333333333331"/>
    <s v="sicilian_l"/>
    <n v="1"/>
    <x v="15"/>
    <x v="4"/>
    <x v="465"/>
    <n v="20.25"/>
    <n v="20.25"/>
    <x v="2"/>
    <x v="2"/>
    <s v="Coarse Sicilian Salami, Tomatoes, Green Olives, Luganega Sausage, Onions, Garlic"/>
    <x v="7"/>
  </r>
  <r>
    <n v="4560"/>
    <n v="2018"/>
    <n v="0.33333333333333331"/>
    <s v="the_greek_xl"/>
    <n v="1"/>
    <x v="15"/>
    <x v="4"/>
    <x v="465"/>
    <n v="25.5"/>
    <n v="25.5"/>
    <x v="3"/>
    <x v="0"/>
    <s v="Kalamata Olives, Feta Cheese, Tomatoes, Garlic, Beef Chuck Roast, Red Onions"/>
    <x v="2"/>
  </r>
  <r>
    <n v="4562"/>
    <n v="2020"/>
    <n v="1"/>
    <s v="big_meat_s"/>
    <n v="1"/>
    <x v="15"/>
    <x v="4"/>
    <x v="466"/>
    <n v="12"/>
    <n v="12"/>
    <x v="1"/>
    <x v="0"/>
    <s v="Bacon, Pepperoni, Italian Sausage, Chorizo Sausage"/>
    <x v="4"/>
  </r>
  <r>
    <n v="4565"/>
    <n v="2021"/>
    <n v="1"/>
    <s v="pepperoni_l"/>
    <n v="1"/>
    <x v="15"/>
    <x v="4"/>
    <x v="467"/>
    <n v="15.25"/>
    <n v="15.25"/>
    <x v="2"/>
    <x v="0"/>
    <s v="Mozzarella Cheese, Pepperoni"/>
    <x v="3"/>
  </r>
  <r>
    <n v="4568"/>
    <n v="2022"/>
    <n v="1"/>
    <s v="the_greek_s"/>
    <n v="1"/>
    <x v="15"/>
    <x v="4"/>
    <x v="468"/>
    <n v="12"/>
    <n v="12"/>
    <x v="1"/>
    <x v="0"/>
    <s v="Kalamata Olives, Feta Cheese, Tomatoes, Garlic, Beef Chuck Roast, Red Onions"/>
    <x v="2"/>
  </r>
  <r>
    <n v="4575"/>
    <n v="2026"/>
    <n v="1"/>
    <s v="mexicana_l"/>
    <n v="1"/>
    <x v="15"/>
    <x v="4"/>
    <x v="469"/>
    <n v="20.25"/>
    <n v="20.25"/>
    <x v="2"/>
    <x v="1"/>
    <s v="Tomatoes, Red Peppers, Jalapeno Peppers, Red Onions, Cilantro, Corn, Chipotle Sauce, Garlic"/>
    <x v="1"/>
  </r>
  <r>
    <n v="4584"/>
    <n v="2031"/>
    <n v="1"/>
    <s v="pepperoni_m"/>
    <n v="1"/>
    <x v="15"/>
    <x v="4"/>
    <x v="470"/>
    <n v="12.5"/>
    <n v="12.5"/>
    <x v="0"/>
    <x v="0"/>
    <s v="Mozzarella Cheese, Pepperoni"/>
    <x v="3"/>
  </r>
  <r>
    <n v="4586"/>
    <n v="2032"/>
    <n v="1"/>
    <s v="the_greek_m"/>
    <n v="1"/>
    <x v="15"/>
    <x v="4"/>
    <x v="471"/>
    <n v="16"/>
    <n v="16"/>
    <x v="0"/>
    <x v="0"/>
    <s v="Kalamata Olives, Feta Cheese, Tomatoes, Garlic, Beef Chuck Roast, Red Onions"/>
    <x v="2"/>
  </r>
  <r>
    <n v="4591"/>
    <n v="2034"/>
    <n v="0.5"/>
    <s v="big_meat_s"/>
    <n v="1"/>
    <x v="15"/>
    <x v="4"/>
    <x v="472"/>
    <n v="12"/>
    <n v="12"/>
    <x v="1"/>
    <x v="0"/>
    <s v="Bacon, Pepperoni, Italian Sausage, Chorizo Sausage"/>
    <x v="4"/>
  </r>
  <r>
    <n v="4592"/>
    <n v="2034"/>
    <n v="0.5"/>
    <s v="pepperoni_m"/>
    <n v="1"/>
    <x v="15"/>
    <x v="4"/>
    <x v="472"/>
    <n v="12.5"/>
    <n v="12.5"/>
    <x v="0"/>
    <x v="0"/>
    <s v="Mozzarella Cheese, Pepperoni"/>
    <x v="3"/>
  </r>
  <r>
    <n v="4598"/>
    <n v="2038"/>
    <n v="1"/>
    <s v="sicilian_m"/>
    <n v="1"/>
    <x v="15"/>
    <x v="4"/>
    <x v="473"/>
    <n v="16.25"/>
    <n v="16.25"/>
    <x v="0"/>
    <x v="2"/>
    <s v="Coarse Sicilian Salami, Tomatoes, Green Olives, Luganega Sausage, Onions, Garlic"/>
    <x v="7"/>
  </r>
  <r>
    <n v="4605"/>
    <n v="2043"/>
    <n v="1"/>
    <s v="the_greek_s"/>
    <n v="1"/>
    <x v="15"/>
    <x v="4"/>
    <x v="474"/>
    <n v="12"/>
    <n v="12"/>
    <x v="1"/>
    <x v="0"/>
    <s v="Kalamata Olives, Feta Cheese, Tomatoes, Garlic, Beef Chuck Roast, Red Onions"/>
    <x v="2"/>
  </r>
  <r>
    <n v="4610"/>
    <n v="2046"/>
    <n v="1"/>
    <s v="napolitana_s"/>
    <n v="1"/>
    <x v="15"/>
    <x v="4"/>
    <x v="475"/>
    <n v="12"/>
    <n v="12"/>
    <x v="1"/>
    <x v="0"/>
    <s v="Tomatoes, Anchovies, Green Olives, Red Onions, Garlic"/>
    <x v="5"/>
  </r>
  <r>
    <n v="4611"/>
    <n v="2047"/>
    <n v="1"/>
    <s v="pepperoni_m"/>
    <n v="1"/>
    <x v="15"/>
    <x v="4"/>
    <x v="476"/>
    <n v="12.5"/>
    <n v="12.5"/>
    <x v="0"/>
    <x v="0"/>
    <s v="Mozzarella Cheese, Pepperoni"/>
    <x v="3"/>
  </r>
  <r>
    <n v="4622"/>
    <n v="2051"/>
    <n v="0.5"/>
    <s v="calabrese_m"/>
    <n v="1"/>
    <x v="15"/>
    <x v="4"/>
    <x v="477"/>
    <n v="16.25"/>
    <n v="16.25"/>
    <x v="0"/>
    <x v="2"/>
    <s v="?duja Salami, Pancetta, Tomatoes, Red Onions, Friggitello Peppers, Garlic"/>
    <x v="6"/>
  </r>
  <r>
    <n v="4624"/>
    <n v="2051"/>
    <n v="0.5"/>
    <s v="mexicana_l"/>
    <n v="1"/>
    <x v="15"/>
    <x v="4"/>
    <x v="477"/>
    <n v="20.25"/>
    <n v="20.25"/>
    <x v="2"/>
    <x v="1"/>
    <s v="Tomatoes, Red Peppers, Jalapeno Peppers, Red Onions, Cilantro, Corn, Chipotle Sauce, Garlic"/>
    <x v="1"/>
  </r>
  <r>
    <n v="4626"/>
    <n v="2052"/>
    <n v="0.5"/>
    <s v="brie_carre_s"/>
    <n v="1"/>
    <x v="15"/>
    <x v="4"/>
    <x v="478"/>
    <n v="23.65"/>
    <n v="23.65"/>
    <x v="1"/>
    <x v="2"/>
    <s v="Brie Carre Cheese, Prosciutto, Caramelized Onions, Pears, Thyme, Garlic"/>
    <x v="8"/>
  </r>
  <r>
    <n v="4629"/>
    <n v="2052"/>
    <n v="0.5"/>
    <s v="sicilian_s"/>
    <n v="1"/>
    <x v="15"/>
    <x v="4"/>
    <x v="478"/>
    <n v="12.25"/>
    <n v="12.25"/>
    <x v="1"/>
    <x v="2"/>
    <s v="Coarse Sicilian Salami, Tomatoes, Green Olives, Luganega Sausage, Onions, Garlic"/>
    <x v="7"/>
  </r>
  <r>
    <n v="4631"/>
    <n v="2053"/>
    <n v="1"/>
    <s v="pepperoni_l"/>
    <n v="1"/>
    <x v="15"/>
    <x v="4"/>
    <x v="479"/>
    <n v="15.25"/>
    <n v="15.25"/>
    <x v="2"/>
    <x v="0"/>
    <s v="Mozzarella Cheese, Pepperoni"/>
    <x v="3"/>
  </r>
  <r>
    <n v="4640"/>
    <n v="2057"/>
    <n v="1"/>
    <s v="the_greek_xl"/>
    <n v="1"/>
    <x v="15"/>
    <x v="4"/>
    <x v="480"/>
    <n v="25.5"/>
    <n v="25.5"/>
    <x v="3"/>
    <x v="0"/>
    <s v="Kalamata Olives, Feta Cheese, Tomatoes, Garlic, Beef Chuck Roast, Red Onions"/>
    <x v="2"/>
  </r>
  <r>
    <n v="4641"/>
    <n v="2058"/>
    <n v="1"/>
    <s v="pepperoni_l"/>
    <n v="1"/>
    <x v="16"/>
    <x v="0"/>
    <x v="481"/>
    <n v="15.25"/>
    <n v="15.25"/>
    <x v="2"/>
    <x v="0"/>
    <s v="Mozzarella Cheese, Pepperoni"/>
    <x v="3"/>
  </r>
  <r>
    <n v="4651"/>
    <n v="2063"/>
    <n v="1"/>
    <s v="big_meat_s"/>
    <n v="1"/>
    <x v="16"/>
    <x v="0"/>
    <x v="482"/>
    <n v="12"/>
    <n v="12"/>
    <x v="1"/>
    <x v="0"/>
    <s v="Bacon, Pepperoni, Italian Sausage, Chorizo Sausage"/>
    <x v="4"/>
  </r>
  <r>
    <n v="4655"/>
    <n v="2064"/>
    <n v="1"/>
    <s v="mexicana_l"/>
    <n v="1"/>
    <x v="16"/>
    <x v="0"/>
    <x v="483"/>
    <n v="20.25"/>
    <n v="20.25"/>
    <x v="2"/>
    <x v="1"/>
    <s v="Tomatoes, Red Peppers, Jalapeno Peppers, Red Onions, Cilantro, Corn, Chipotle Sauce, Garlic"/>
    <x v="1"/>
  </r>
  <r>
    <n v="4657"/>
    <n v="2065"/>
    <n v="1"/>
    <s v="sicilian_s"/>
    <n v="1"/>
    <x v="16"/>
    <x v="0"/>
    <x v="484"/>
    <n v="12.25"/>
    <n v="12.25"/>
    <x v="1"/>
    <x v="2"/>
    <s v="Coarse Sicilian Salami, Tomatoes, Green Olives, Luganega Sausage, Onions, Garlic"/>
    <x v="7"/>
  </r>
  <r>
    <n v="4659"/>
    <n v="2066"/>
    <n v="0.5"/>
    <s v="hawaiian_l"/>
    <n v="1"/>
    <x v="16"/>
    <x v="0"/>
    <x v="485"/>
    <n v="16.5"/>
    <n v="16.5"/>
    <x v="2"/>
    <x v="0"/>
    <s v="Sliced Ham, Pineapple, Mozzarella Cheese"/>
    <x v="0"/>
  </r>
  <r>
    <n v="4660"/>
    <n v="2066"/>
    <n v="0.5"/>
    <s v="hawaiian_s"/>
    <n v="1"/>
    <x v="16"/>
    <x v="0"/>
    <x v="485"/>
    <n v="10.5"/>
    <n v="10.5"/>
    <x v="1"/>
    <x v="0"/>
    <s v="Sliced Ham, Pineapple, Mozzarella Cheese"/>
    <x v="0"/>
  </r>
  <r>
    <n v="4662"/>
    <n v="2068"/>
    <n v="0.5"/>
    <s v="big_meat_s"/>
    <n v="1"/>
    <x v="16"/>
    <x v="0"/>
    <x v="486"/>
    <n v="12"/>
    <n v="12"/>
    <x v="1"/>
    <x v="0"/>
    <s v="Bacon, Pepperoni, Italian Sausage, Chorizo Sausage"/>
    <x v="4"/>
  </r>
  <r>
    <n v="4663"/>
    <n v="2068"/>
    <n v="0.5"/>
    <s v="brie_carre_s"/>
    <n v="1"/>
    <x v="16"/>
    <x v="0"/>
    <x v="486"/>
    <n v="23.65"/>
    <n v="23.65"/>
    <x v="1"/>
    <x v="2"/>
    <s v="Brie Carre Cheese, Prosciutto, Caramelized Onions, Pears, Thyme, Garlic"/>
    <x v="8"/>
  </r>
  <r>
    <n v="4664"/>
    <n v="2069"/>
    <n v="1"/>
    <s v="pepperoni_m"/>
    <n v="1"/>
    <x v="16"/>
    <x v="0"/>
    <x v="487"/>
    <n v="12.5"/>
    <n v="12.5"/>
    <x v="0"/>
    <x v="0"/>
    <s v="Mozzarella Cheese, Pepperoni"/>
    <x v="3"/>
  </r>
  <r>
    <n v="4666"/>
    <n v="2070"/>
    <n v="1"/>
    <s v="sicilian_l"/>
    <n v="1"/>
    <x v="16"/>
    <x v="0"/>
    <x v="488"/>
    <n v="20.25"/>
    <n v="20.25"/>
    <x v="2"/>
    <x v="2"/>
    <s v="Coarse Sicilian Salami, Tomatoes, Green Olives, Luganega Sausage, Onions, Garlic"/>
    <x v="7"/>
  </r>
  <r>
    <n v="4672"/>
    <n v="2073"/>
    <n v="0.5"/>
    <s v="hawaiian_l"/>
    <n v="1"/>
    <x v="16"/>
    <x v="0"/>
    <x v="489"/>
    <n v="16.5"/>
    <n v="16.5"/>
    <x v="2"/>
    <x v="0"/>
    <s v="Sliced Ham, Pineapple, Mozzarella Cheese"/>
    <x v="0"/>
  </r>
  <r>
    <n v="4673"/>
    <n v="2073"/>
    <n v="0.5"/>
    <s v="hawaiian_s"/>
    <n v="1"/>
    <x v="16"/>
    <x v="0"/>
    <x v="489"/>
    <n v="10.5"/>
    <n v="10.5"/>
    <x v="1"/>
    <x v="0"/>
    <s v="Sliced Ham, Pineapple, Mozzarella Cheese"/>
    <x v="0"/>
  </r>
  <r>
    <n v="4680"/>
    <n v="2074"/>
    <n v="1"/>
    <s v="hawaiian_m"/>
    <n v="1"/>
    <x v="16"/>
    <x v="0"/>
    <x v="490"/>
    <n v="13.25"/>
    <n v="13.25"/>
    <x v="0"/>
    <x v="0"/>
    <s v="Sliced Ham, Pineapple, Mozzarella Cheese"/>
    <x v="0"/>
  </r>
  <r>
    <n v="4681"/>
    <n v="2075"/>
    <n v="0.25"/>
    <s v="big_meat_s"/>
    <n v="1"/>
    <x v="16"/>
    <x v="0"/>
    <x v="491"/>
    <n v="12"/>
    <n v="12"/>
    <x v="1"/>
    <x v="0"/>
    <s v="Bacon, Pepperoni, Italian Sausage, Chorizo Sausage"/>
    <x v="4"/>
  </r>
  <r>
    <n v="4682"/>
    <n v="2075"/>
    <n v="0.25"/>
    <s v="brie_carre_s"/>
    <n v="1"/>
    <x v="16"/>
    <x v="0"/>
    <x v="491"/>
    <n v="23.65"/>
    <n v="23.65"/>
    <x v="1"/>
    <x v="2"/>
    <s v="Brie Carre Cheese, Prosciutto, Caramelized Onions, Pears, Thyme, Garlic"/>
    <x v="8"/>
  </r>
  <r>
    <n v="4687"/>
    <n v="2075"/>
    <n v="0.25"/>
    <s v="mexicana_m"/>
    <n v="1"/>
    <x v="16"/>
    <x v="0"/>
    <x v="491"/>
    <n v="16"/>
    <n v="16"/>
    <x v="0"/>
    <x v="1"/>
    <s v="Tomatoes, Red Peppers, Jalapeno Peppers, Red Onions, Cilantro, Corn, Chipotle Sauce, Garlic"/>
    <x v="1"/>
  </r>
  <r>
    <n v="4688"/>
    <n v="2075"/>
    <n v="0.25"/>
    <s v="napolitana_m"/>
    <n v="1"/>
    <x v="16"/>
    <x v="0"/>
    <x v="491"/>
    <n v="16"/>
    <n v="16"/>
    <x v="0"/>
    <x v="0"/>
    <s v="Tomatoes, Anchovies, Green Olives, Red Onions, Garlic"/>
    <x v="5"/>
  </r>
  <r>
    <n v="4702"/>
    <n v="2081"/>
    <n v="0.5"/>
    <s v="mexicana_m"/>
    <n v="1"/>
    <x v="16"/>
    <x v="0"/>
    <x v="492"/>
    <n v="16"/>
    <n v="16"/>
    <x v="0"/>
    <x v="1"/>
    <s v="Tomatoes, Red Peppers, Jalapeno Peppers, Red Onions, Cilantro, Corn, Chipotle Sauce, Garlic"/>
    <x v="1"/>
  </r>
  <r>
    <n v="4705"/>
    <n v="2081"/>
    <n v="0.5"/>
    <s v="pepperoni_m"/>
    <n v="1"/>
    <x v="16"/>
    <x v="0"/>
    <x v="492"/>
    <n v="12.5"/>
    <n v="12.5"/>
    <x v="0"/>
    <x v="0"/>
    <s v="Mozzarella Cheese, Pepperoni"/>
    <x v="3"/>
  </r>
  <r>
    <n v="4711"/>
    <n v="2086"/>
    <n v="0.5"/>
    <s v="hawaiian_m"/>
    <n v="1"/>
    <x v="16"/>
    <x v="0"/>
    <x v="493"/>
    <n v="13.25"/>
    <n v="13.25"/>
    <x v="0"/>
    <x v="0"/>
    <s v="Sliced Ham, Pineapple, Mozzarella Cheese"/>
    <x v="0"/>
  </r>
  <r>
    <n v="4712"/>
    <n v="2086"/>
    <n v="0.5"/>
    <s v="napolitana_s"/>
    <n v="1"/>
    <x v="16"/>
    <x v="0"/>
    <x v="493"/>
    <n v="12"/>
    <n v="12"/>
    <x v="1"/>
    <x v="0"/>
    <s v="Tomatoes, Anchovies, Green Olives, Red Onions, Garlic"/>
    <x v="5"/>
  </r>
  <r>
    <n v="4723"/>
    <n v="2092"/>
    <n v="0.5"/>
    <s v="hawaiian_m"/>
    <n v="1"/>
    <x v="16"/>
    <x v="0"/>
    <x v="494"/>
    <n v="13.25"/>
    <n v="13.25"/>
    <x v="0"/>
    <x v="0"/>
    <s v="Sliced Ham, Pineapple, Mozzarella Cheese"/>
    <x v="0"/>
  </r>
  <r>
    <n v="4724"/>
    <n v="2092"/>
    <n v="0.5"/>
    <s v="mexicana_l"/>
    <n v="1"/>
    <x v="16"/>
    <x v="0"/>
    <x v="494"/>
    <n v="20.25"/>
    <n v="20.25"/>
    <x v="2"/>
    <x v="1"/>
    <s v="Tomatoes, Red Peppers, Jalapeno Peppers, Red Onions, Cilantro, Corn, Chipotle Sauce, Garlic"/>
    <x v="1"/>
  </r>
  <r>
    <n v="4725"/>
    <n v="2093"/>
    <n v="1"/>
    <s v="pepperoni_m"/>
    <n v="1"/>
    <x v="16"/>
    <x v="0"/>
    <x v="495"/>
    <n v="12.5"/>
    <n v="12.5"/>
    <x v="0"/>
    <x v="0"/>
    <s v="Mozzarella Cheese, Pepperoni"/>
    <x v="3"/>
  </r>
  <r>
    <n v="4727"/>
    <n v="2094"/>
    <n v="1"/>
    <s v="hawaiian_s"/>
    <n v="1"/>
    <x v="16"/>
    <x v="0"/>
    <x v="496"/>
    <n v="10.5"/>
    <n v="10.5"/>
    <x v="1"/>
    <x v="0"/>
    <s v="Sliced Ham, Pineapple, Mozzarella Cheese"/>
    <x v="0"/>
  </r>
  <r>
    <n v="4736"/>
    <n v="2097"/>
    <n v="1"/>
    <s v="the_greek_xl"/>
    <n v="1"/>
    <x v="16"/>
    <x v="0"/>
    <x v="497"/>
    <n v="25.5"/>
    <n v="25.5"/>
    <x v="3"/>
    <x v="0"/>
    <s v="Kalamata Olives, Feta Cheese, Tomatoes, Garlic, Beef Chuck Roast, Red Onions"/>
    <x v="2"/>
  </r>
  <r>
    <n v="4739"/>
    <n v="2099"/>
    <n v="1"/>
    <s v="pepperoni_m"/>
    <n v="1"/>
    <x v="16"/>
    <x v="0"/>
    <x v="498"/>
    <n v="12.5"/>
    <n v="12.5"/>
    <x v="0"/>
    <x v="0"/>
    <s v="Mozzarella Cheese, Pepperoni"/>
    <x v="3"/>
  </r>
  <r>
    <n v="4742"/>
    <n v="2101"/>
    <n v="1"/>
    <s v="brie_carre_s"/>
    <n v="1"/>
    <x v="16"/>
    <x v="0"/>
    <x v="499"/>
    <n v="23.65"/>
    <n v="23.65"/>
    <x v="1"/>
    <x v="2"/>
    <s v="Brie Carre Cheese, Prosciutto, Caramelized Onions, Pears, Thyme, Garlic"/>
    <x v="8"/>
  </r>
  <r>
    <n v="4745"/>
    <n v="2102"/>
    <n v="0.5"/>
    <s v="big_meat_s"/>
    <n v="1"/>
    <x v="16"/>
    <x v="0"/>
    <x v="500"/>
    <n v="12"/>
    <n v="12"/>
    <x v="1"/>
    <x v="0"/>
    <s v="Bacon, Pepperoni, Italian Sausage, Chorizo Sausage"/>
    <x v="4"/>
  </r>
  <r>
    <n v="4747"/>
    <n v="2102"/>
    <n v="0.5"/>
    <s v="mexicana_l"/>
    <n v="1"/>
    <x v="16"/>
    <x v="0"/>
    <x v="500"/>
    <n v="20.25"/>
    <n v="20.25"/>
    <x v="2"/>
    <x v="1"/>
    <s v="Tomatoes, Red Peppers, Jalapeno Peppers, Red Onions, Cilantro, Corn, Chipotle Sauce, Garlic"/>
    <x v="1"/>
  </r>
  <r>
    <n v="4749"/>
    <n v="2103"/>
    <n v="1"/>
    <s v="calabrese_m"/>
    <n v="1"/>
    <x v="16"/>
    <x v="0"/>
    <x v="501"/>
    <n v="16.25"/>
    <n v="16.25"/>
    <x v="0"/>
    <x v="2"/>
    <s v="?duja Salami, Pancetta, Tomatoes, Red Onions, Friggitello Peppers, Garlic"/>
    <x v="6"/>
  </r>
  <r>
    <n v="4753"/>
    <n v="2104"/>
    <n v="1"/>
    <s v="mexicana_l"/>
    <n v="1"/>
    <x v="16"/>
    <x v="0"/>
    <x v="502"/>
    <n v="20.25"/>
    <n v="20.25"/>
    <x v="2"/>
    <x v="1"/>
    <s v="Tomatoes, Red Peppers, Jalapeno Peppers, Red Onions, Cilantro, Corn, Chipotle Sauce, Garlic"/>
    <x v="1"/>
  </r>
  <r>
    <n v="4757"/>
    <n v="2106"/>
    <n v="1"/>
    <s v="the_greek_s"/>
    <n v="1"/>
    <x v="16"/>
    <x v="0"/>
    <x v="503"/>
    <n v="12"/>
    <n v="12"/>
    <x v="1"/>
    <x v="0"/>
    <s v="Kalamata Olives, Feta Cheese, Tomatoes, Garlic, Beef Chuck Roast, Red Onions"/>
    <x v="2"/>
  </r>
  <r>
    <n v="4765"/>
    <n v="2109"/>
    <n v="1"/>
    <s v="pepperoni_s"/>
    <n v="1"/>
    <x v="16"/>
    <x v="0"/>
    <x v="504"/>
    <n v="9.75"/>
    <n v="9.75"/>
    <x v="1"/>
    <x v="0"/>
    <s v="Mozzarella Cheese, Pepperoni"/>
    <x v="3"/>
  </r>
  <r>
    <n v="4766"/>
    <n v="2110"/>
    <n v="1"/>
    <s v="napolitana_l"/>
    <n v="1"/>
    <x v="16"/>
    <x v="0"/>
    <x v="505"/>
    <n v="20.5"/>
    <n v="20.5"/>
    <x v="2"/>
    <x v="0"/>
    <s v="Tomatoes, Anchovies, Green Olives, Red Onions, Garlic"/>
    <x v="5"/>
  </r>
  <r>
    <n v="4771"/>
    <n v="2111"/>
    <n v="1"/>
    <s v="pepperoni_s"/>
    <n v="1"/>
    <x v="16"/>
    <x v="0"/>
    <x v="506"/>
    <n v="9.75"/>
    <n v="9.75"/>
    <x v="1"/>
    <x v="0"/>
    <s v="Mozzarella Cheese, Pepperoni"/>
    <x v="3"/>
  </r>
  <r>
    <n v="4774"/>
    <n v="2113"/>
    <n v="1"/>
    <s v="mexicana_m"/>
    <n v="1"/>
    <x v="16"/>
    <x v="0"/>
    <x v="507"/>
    <n v="16"/>
    <n v="16"/>
    <x v="0"/>
    <x v="1"/>
    <s v="Tomatoes, Red Peppers, Jalapeno Peppers, Red Onions, Cilantro, Corn, Chipotle Sauce, Garlic"/>
    <x v="1"/>
  </r>
  <r>
    <n v="4776"/>
    <n v="2115"/>
    <n v="0.33333333333333331"/>
    <s v="big_meat_s"/>
    <n v="1"/>
    <x v="17"/>
    <x v="5"/>
    <x v="508"/>
    <n v="12"/>
    <n v="12"/>
    <x v="1"/>
    <x v="0"/>
    <s v="Bacon, Pepperoni, Italian Sausage, Chorizo Sausage"/>
    <x v="4"/>
  </r>
  <r>
    <n v="4777"/>
    <n v="2115"/>
    <n v="0.33333333333333331"/>
    <s v="hawaiian_s"/>
    <n v="1"/>
    <x v="17"/>
    <x v="5"/>
    <x v="508"/>
    <n v="10.5"/>
    <n v="10.5"/>
    <x v="1"/>
    <x v="0"/>
    <s v="Sliced Ham, Pineapple, Mozzarella Cheese"/>
    <x v="0"/>
  </r>
  <r>
    <n v="4778"/>
    <n v="2115"/>
    <n v="0.33333333333333331"/>
    <s v="pepperoni_l"/>
    <n v="1"/>
    <x v="17"/>
    <x v="5"/>
    <x v="508"/>
    <n v="15.25"/>
    <n v="15.25"/>
    <x v="2"/>
    <x v="0"/>
    <s v="Mozzarella Cheese, Pepperoni"/>
    <x v="3"/>
  </r>
  <r>
    <n v="4780"/>
    <n v="2116"/>
    <n v="1"/>
    <s v="mexicana_m"/>
    <n v="1"/>
    <x v="17"/>
    <x v="5"/>
    <x v="509"/>
    <n v="16"/>
    <n v="16"/>
    <x v="0"/>
    <x v="1"/>
    <s v="Tomatoes, Red Peppers, Jalapeno Peppers, Red Onions, Cilantro, Corn, Chipotle Sauce, Garlic"/>
    <x v="1"/>
  </r>
  <r>
    <n v="4781"/>
    <n v="2117"/>
    <n v="1"/>
    <s v="sicilian_m"/>
    <n v="1"/>
    <x v="17"/>
    <x v="5"/>
    <x v="510"/>
    <n v="16.25"/>
    <n v="16.25"/>
    <x v="0"/>
    <x v="2"/>
    <s v="Coarse Sicilian Salami, Tomatoes, Green Olives, Luganega Sausage, Onions, Garlic"/>
    <x v="7"/>
  </r>
  <r>
    <n v="4785"/>
    <n v="2119"/>
    <n v="1"/>
    <s v="napolitana_l"/>
    <n v="1"/>
    <x v="17"/>
    <x v="5"/>
    <x v="511"/>
    <n v="20.5"/>
    <n v="20.5"/>
    <x v="2"/>
    <x v="0"/>
    <s v="Tomatoes, Anchovies, Green Olives, Red Onions, Garlic"/>
    <x v="5"/>
  </r>
  <r>
    <n v="4786"/>
    <n v="2120"/>
    <n v="1"/>
    <s v="the_greek_m"/>
    <n v="1"/>
    <x v="17"/>
    <x v="5"/>
    <x v="459"/>
    <n v="16"/>
    <n v="16"/>
    <x v="0"/>
    <x v="0"/>
    <s v="Kalamata Olives, Feta Cheese, Tomatoes, Garlic, Beef Chuck Roast, Red Onions"/>
    <x v="2"/>
  </r>
  <r>
    <n v="4787"/>
    <n v="2121"/>
    <n v="1"/>
    <s v="the_greek_l"/>
    <n v="1"/>
    <x v="17"/>
    <x v="5"/>
    <x v="512"/>
    <n v="20.5"/>
    <n v="20.5"/>
    <x v="2"/>
    <x v="0"/>
    <s v="Kalamata Olives, Feta Cheese, Tomatoes, Garlic, Beef Chuck Roast, Red Onions"/>
    <x v="2"/>
  </r>
  <r>
    <n v="4792"/>
    <n v="2124"/>
    <n v="0.33333333333333331"/>
    <s v="mexicana_m"/>
    <n v="1"/>
    <x v="17"/>
    <x v="5"/>
    <x v="513"/>
    <n v="16"/>
    <n v="16"/>
    <x v="0"/>
    <x v="1"/>
    <s v="Tomatoes, Red Peppers, Jalapeno Peppers, Red Onions, Cilantro, Corn, Chipotle Sauce, Garlic"/>
    <x v="1"/>
  </r>
  <r>
    <n v="4793"/>
    <n v="2124"/>
    <n v="0.33333333333333331"/>
    <s v="sicilian_l"/>
    <n v="1"/>
    <x v="17"/>
    <x v="5"/>
    <x v="513"/>
    <n v="20.25"/>
    <n v="20.25"/>
    <x v="2"/>
    <x v="2"/>
    <s v="Coarse Sicilian Salami, Tomatoes, Green Olives, Luganega Sausage, Onions, Garlic"/>
    <x v="7"/>
  </r>
  <r>
    <n v="4794"/>
    <n v="2124"/>
    <n v="0.33333333333333331"/>
    <s v="sicilian_s"/>
    <n v="1"/>
    <x v="17"/>
    <x v="5"/>
    <x v="513"/>
    <n v="12.25"/>
    <n v="12.25"/>
    <x v="1"/>
    <x v="2"/>
    <s v="Coarse Sicilian Salami, Tomatoes, Green Olives, Luganega Sausage, Onions, Garlic"/>
    <x v="7"/>
  </r>
  <r>
    <n v="4796"/>
    <n v="2125"/>
    <n v="1"/>
    <s v="hawaiian_l"/>
    <n v="1"/>
    <x v="17"/>
    <x v="5"/>
    <x v="514"/>
    <n v="16.5"/>
    <n v="16.5"/>
    <x v="2"/>
    <x v="0"/>
    <s v="Sliced Ham, Pineapple, Mozzarella Cheese"/>
    <x v="0"/>
  </r>
  <r>
    <n v="4802"/>
    <n v="2126"/>
    <n v="0.25"/>
    <s v="hawaiian_l"/>
    <n v="1"/>
    <x v="17"/>
    <x v="5"/>
    <x v="515"/>
    <n v="16.5"/>
    <n v="16.5"/>
    <x v="2"/>
    <x v="0"/>
    <s v="Sliced Ham, Pineapple, Mozzarella Cheese"/>
    <x v="0"/>
  </r>
  <r>
    <n v="4804"/>
    <n v="2126"/>
    <n v="0.25"/>
    <s v="napolitana_l"/>
    <n v="1"/>
    <x v="17"/>
    <x v="5"/>
    <x v="515"/>
    <n v="20.5"/>
    <n v="20.5"/>
    <x v="2"/>
    <x v="0"/>
    <s v="Tomatoes, Anchovies, Green Olives, Red Onions, Garlic"/>
    <x v="5"/>
  </r>
  <r>
    <n v="4805"/>
    <n v="2126"/>
    <n v="0.25"/>
    <s v="pepperoni_l"/>
    <n v="1"/>
    <x v="17"/>
    <x v="5"/>
    <x v="515"/>
    <n v="15.25"/>
    <n v="15.25"/>
    <x v="2"/>
    <x v="0"/>
    <s v="Mozzarella Cheese, Pepperoni"/>
    <x v="3"/>
  </r>
  <r>
    <n v="4808"/>
    <n v="2126"/>
    <n v="0.25"/>
    <s v="sicilian_s"/>
    <n v="1"/>
    <x v="17"/>
    <x v="5"/>
    <x v="515"/>
    <n v="12.25"/>
    <n v="12.25"/>
    <x v="1"/>
    <x v="2"/>
    <s v="Coarse Sicilian Salami, Tomatoes, Green Olives, Luganega Sausage, Onions, Garlic"/>
    <x v="7"/>
  </r>
  <r>
    <n v="4812"/>
    <n v="2128"/>
    <n v="1"/>
    <s v="sicilian_s"/>
    <n v="1"/>
    <x v="17"/>
    <x v="5"/>
    <x v="516"/>
    <n v="12.25"/>
    <n v="12.25"/>
    <x v="1"/>
    <x v="2"/>
    <s v="Coarse Sicilian Salami, Tomatoes, Green Olives, Luganega Sausage, Onions, Garlic"/>
    <x v="7"/>
  </r>
  <r>
    <n v="4814"/>
    <n v="2129"/>
    <n v="1"/>
    <s v="hawaiian_s"/>
    <n v="1"/>
    <x v="17"/>
    <x v="5"/>
    <x v="517"/>
    <n v="10.5"/>
    <n v="10.5"/>
    <x v="1"/>
    <x v="0"/>
    <s v="Sliced Ham, Pineapple, Mozzarella Cheese"/>
    <x v="0"/>
  </r>
  <r>
    <n v="4818"/>
    <n v="2131"/>
    <n v="1"/>
    <s v="calabrese_m"/>
    <n v="1"/>
    <x v="17"/>
    <x v="5"/>
    <x v="518"/>
    <n v="16.25"/>
    <n v="16.25"/>
    <x v="0"/>
    <x v="2"/>
    <s v="?duja Salami, Pancetta, Tomatoes, Red Onions, Friggitello Peppers, Garlic"/>
    <x v="6"/>
  </r>
  <r>
    <n v="4819"/>
    <n v="2132"/>
    <n v="0.25"/>
    <s v="brie_carre_s"/>
    <n v="1"/>
    <x v="17"/>
    <x v="5"/>
    <x v="519"/>
    <n v="23.65"/>
    <n v="23.65"/>
    <x v="1"/>
    <x v="2"/>
    <s v="Brie Carre Cheese, Prosciutto, Caramelized Onions, Pears, Thyme, Garlic"/>
    <x v="8"/>
  </r>
  <r>
    <n v="4820"/>
    <n v="2132"/>
    <n v="0.25"/>
    <s v="hawaiian_m"/>
    <n v="1"/>
    <x v="17"/>
    <x v="5"/>
    <x v="519"/>
    <n v="13.25"/>
    <n v="13.25"/>
    <x v="0"/>
    <x v="0"/>
    <s v="Sliced Ham, Pineapple, Mozzarella Cheese"/>
    <x v="0"/>
  </r>
  <r>
    <n v="4821"/>
    <n v="2132"/>
    <n v="0.25"/>
    <s v="napolitana_s"/>
    <n v="1"/>
    <x v="17"/>
    <x v="5"/>
    <x v="519"/>
    <n v="12"/>
    <n v="12"/>
    <x v="1"/>
    <x v="0"/>
    <s v="Tomatoes, Anchovies, Green Olives, Red Onions, Garlic"/>
    <x v="5"/>
  </r>
  <r>
    <n v="4822"/>
    <n v="2132"/>
    <n v="0.25"/>
    <s v="the_greek_s"/>
    <n v="1"/>
    <x v="17"/>
    <x v="5"/>
    <x v="519"/>
    <n v="12"/>
    <n v="12"/>
    <x v="1"/>
    <x v="0"/>
    <s v="Kalamata Olives, Feta Cheese, Tomatoes, Garlic, Beef Chuck Roast, Red Onions"/>
    <x v="2"/>
  </r>
  <r>
    <n v="4825"/>
    <n v="2134"/>
    <n v="1"/>
    <s v="pepperoni_s"/>
    <n v="1"/>
    <x v="17"/>
    <x v="5"/>
    <x v="520"/>
    <n v="9.75"/>
    <n v="9.75"/>
    <x v="1"/>
    <x v="0"/>
    <s v="Mozzarella Cheese, Pepperoni"/>
    <x v="3"/>
  </r>
  <r>
    <n v="4827"/>
    <n v="2135"/>
    <n v="1"/>
    <s v="big_meat_s"/>
    <n v="1"/>
    <x v="17"/>
    <x v="5"/>
    <x v="521"/>
    <n v="12"/>
    <n v="12"/>
    <x v="1"/>
    <x v="0"/>
    <s v="Bacon, Pepperoni, Italian Sausage, Chorizo Sausage"/>
    <x v="4"/>
  </r>
  <r>
    <n v="4832"/>
    <n v="2136"/>
    <n v="1"/>
    <s v="napolitana_l"/>
    <n v="1"/>
    <x v="17"/>
    <x v="5"/>
    <x v="522"/>
    <n v="20.5"/>
    <n v="20.5"/>
    <x v="2"/>
    <x v="0"/>
    <s v="Tomatoes, Anchovies, Green Olives, Red Onions, Garlic"/>
    <x v="5"/>
  </r>
  <r>
    <n v="4833"/>
    <n v="2137"/>
    <n v="0.5"/>
    <s v="calabrese_m"/>
    <n v="1"/>
    <x v="17"/>
    <x v="5"/>
    <x v="523"/>
    <n v="16.25"/>
    <n v="16.25"/>
    <x v="0"/>
    <x v="2"/>
    <s v="?duja Salami, Pancetta, Tomatoes, Red Onions, Friggitello Peppers, Garlic"/>
    <x v="6"/>
  </r>
  <r>
    <n v="4835"/>
    <n v="2137"/>
    <n v="0.5"/>
    <s v="hawaiian_s"/>
    <n v="1"/>
    <x v="17"/>
    <x v="5"/>
    <x v="523"/>
    <n v="10.5"/>
    <n v="10.5"/>
    <x v="1"/>
    <x v="0"/>
    <s v="Sliced Ham, Pineapple, Mozzarella Cheese"/>
    <x v="0"/>
  </r>
  <r>
    <n v="4836"/>
    <n v="2138"/>
    <n v="1"/>
    <s v="hawaiian_m"/>
    <n v="1"/>
    <x v="17"/>
    <x v="5"/>
    <x v="524"/>
    <n v="13.25"/>
    <n v="13.25"/>
    <x v="0"/>
    <x v="0"/>
    <s v="Sliced Ham, Pineapple, Mozzarella Cheese"/>
    <x v="0"/>
  </r>
  <r>
    <n v="4846"/>
    <n v="2143"/>
    <n v="1"/>
    <s v="pepperoni_l"/>
    <n v="1"/>
    <x v="17"/>
    <x v="5"/>
    <x v="525"/>
    <n v="15.25"/>
    <n v="15.25"/>
    <x v="2"/>
    <x v="0"/>
    <s v="Mozzarella Cheese, Pepperoni"/>
    <x v="3"/>
  </r>
  <r>
    <n v="4849"/>
    <n v="2145"/>
    <n v="1"/>
    <s v="napolitana_l"/>
    <n v="1"/>
    <x v="17"/>
    <x v="5"/>
    <x v="526"/>
    <n v="20.5"/>
    <n v="20.5"/>
    <x v="2"/>
    <x v="0"/>
    <s v="Tomatoes, Anchovies, Green Olives, Red Onions, Garlic"/>
    <x v="5"/>
  </r>
  <r>
    <n v="4854"/>
    <n v="2147"/>
    <n v="0.5"/>
    <s v="pepperoni_l"/>
    <n v="1"/>
    <x v="17"/>
    <x v="5"/>
    <x v="527"/>
    <n v="15.25"/>
    <n v="15.25"/>
    <x v="2"/>
    <x v="0"/>
    <s v="Mozzarella Cheese, Pepperoni"/>
    <x v="3"/>
  </r>
  <r>
    <n v="4855"/>
    <n v="2147"/>
    <n v="0.5"/>
    <s v="pepperoni_m"/>
    <n v="1"/>
    <x v="17"/>
    <x v="5"/>
    <x v="527"/>
    <n v="12.5"/>
    <n v="12.5"/>
    <x v="0"/>
    <x v="0"/>
    <s v="Mozzarella Cheese, Pepperoni"/>
    <x v="3"/>
  </r>
  <r>
    <n v="4865"/>
    <n v="2153"/>
    <n v="1"/>
    <s v="hawaiian_s"/>
    <n v="1"/>
    <x v="17"/>
    <x v="5"/>
    <x v="57"/>
    <n v="10.5"/>
    <n v="10.5"/>
    <x v="1"/>
    <x v="0"/>
    <s v="Sliced Ham, Pineapple, Mozzarella Cheese"/>
    <x v="0"/>
  </r>
  <r>
    <n v="4868"/>
    <n v="2154"/>
    <n v="1"/>
    <s v="calabrese_l"/>
    <n v="1"/>
    <x v="17"/>
    <x v="5"/>
    <x v="528"/>
    <n v="20.25"/>
    <n v="20.25"/>
    <x v="2"/>
    <x v="2"/>
    <s v="?duja Salami, Pancetta, Tomatoes, Red Onions, Friggitello Peppers, Garlic"/>
    <x v="6"/>
  </r>
  <r>
    <n v="4872"/>
    <n v="2156"/>
    <n v="1"/>
    <s v="mexicana_l"/>
    <n v="1"/>
    <x v="17"/>
    <x v="5"/>
    <x v="529"/>
    <n v="20.25"/>
    <n v="20.25"/>
    <x v="2"/>
    <x v="1"/>
    <s v="Tomatoes, Red Peppers, Jalapeno Peppers, Red Onions, Cilantro, Corn, Chipotle Sauce, Garlic"/>
    <x v="1"/>
  </r>
  <r>
    <n v="4877"/>
    <n v="2158"/>
    <n v="1"/>
    <s v="pepperoni_l"/>
    <n v="1"/>
    <x v="17"/>
    <x v="5"/>
    <x v="530"/>
    <n v="15.25"/>
    <n v="15.25"/>
    <x v="2"/>
    <x v="0"/>
    <s v="Mozzarella Cheese, Pepperoni"/>
    <x v="3"/>
  </r>
  <r>
    <n v="4878"/>
    <n v="2159"/>
    <n v="0.5"/>
    <s v="big_meat_s"/>
    <n v="1"/>
    <x v="17"/>
    <x v="5"/>
    <x v="531"/>
    <n v="12"/>
    <n v="12"/>
    <x v="1"/>
    <x v="0"/>
    <s v="Bacon, Pepperoni, Italian Sausage, Chorizo Sausage"/>
    <x v="4"/>
  </r>
  <r>
    <n v="4881"/>
    <n v="2159"/>
    <n v="0.5"/>
    <s v="hawaiian_l"/>
    <n v="1"/>
    <x v="17"/>
    <x v="5"/>
    <x v="531"/>
    <n v="16.5"/>
    <n v="16.5"/>
    <x v="2"/>
    <x v="0"/>
    <s v="Sliced Ham, Pineapple, Mozzarella Cheese"/>
    <x v="0"/>
  </r>
  <r>
    <n v="4882"/>
    <n v="2160"/>
    <n v="1"/>
    <s v="pepperoni_l"/>
    <n v="1"/>
    <x v="17"/>
    <x v="5"/>
    <x v="532"/>
    <n v="15.25"/>
    <n v="15.25"/>
    <x v="2"/>
    <x v="0"/>
    <s v="Mozzarella Cheese, Pepperoni"/>
    <x v="3"/>
  </r>
  <r>
    <n v="4887"/>
    <n v="2163"/>
    <n v="1"/>
    <s v="brie_carre_s"/>
    <n v="1"/>
    <x v="17"/>
    <x v="5"/>
    <x v="533"/>
    <n v="23.65"/>
    <n v="23.65"/>
    <x v="1"/>
    <x v="2"/>
    <s v="Brie Carre Cheese, Prosciutto, Caramelized Onions, Pears, Thyme, Garlic"/>
    <x v="8"/>
  </r>
  <r>
    <n v="4899"/>
    <n v="2172"/>
    <n v="0.33333333333333331"/>
    <s v="brie_carre_s"/>
    <n v="1"/>
    <x v="17"/>
    <x v="5"/>
    <x v="534"/>
    <n v="23.65"/>
    <n v="23.65"/>
    <x v="1"/>
    <x v="2"/>
    <s v="Brie Carre Cheese, Prosciutto, Caramelized Onions, Pears, Thyme, Garlic"/>
    <x v="8"/>
  </r>
  <r>
    <n v="4901"/>
    <n v="2172"/>
    <n v="0.33333333333333331"/>
    <s v="sicilian_m"/>
    <n v="1"/>
    <x v="17"/>
    <x v="5"/>
    <x v="534"/>
    <n v="16.25"/>
    <n v="16.25"/>
    <x v="0"/>
    <x v="2"/>
    <s v="Coarse Sicilian Salami, Tomatoes, Green Olives, Luganega Sausage, Onions, Garlic"/>
    <x v="7"/>
  </r>
  <r>
    <n v="4902"/>
    <n v="2172"/>
    <n v="0.33333333333333331"/>
    <s v="sicilian_s"/>
    <n v="1"/>
    <x v="17"/>
    <x v="5"/>
    <x v="534"/>
    <n v="12.25"/>
    <n v="12.25"/>
    <x v="1"/>
    <x v="2"/>
    <s v="Coarse Sicilian Salami, Tomatoes, Green Olives, Luganega Sausage, Onions, Garlic"/>
    <x v="7"/>
  </r>
  <r>
    <n v="4903"/>
    <n v="2173"/>
    <n v="1"/>
    <s v="big_meat_s"/>
    <n v="1"/>
    <x v="17"/>
    <x v="5"/>
    <x v="535"/>
    <n v="12"/>
    <n v="12"/>
    <x v="1"/>
    <x v="0"/>
    <s v="Bacon, Pepperoni, Italian Sausage, Chorizo Sausage"/>
    <x v="4"/>
  </r>
  <r>
    <n v="4905"/>
    <n v="2174"/>
    <n v="1"/>
    <s v="sicilian_l"/>
    <n v="1"/>
    <x v="17"/>
    <x v="5"/>
    <x v="71"/>
    <n v="20.25"/>
    <n v="20.25"/>
    <x v="2"/>
    <x v="2"/>
    <s v="Coarse Sicilian Salami, Tomatoes, Green Olives, Luganega Sausage, Onions, Garlic"/>
    <x v="7"/>
  </r>
  <r>
    <n v="4909"/>
    <n v="2176"/>
    <n v="1"/>
    <s v="calabrese_l"/>
    <n v="1"/>
    <x v="18"/>
    <x v="6"/>
    <x v="536"/>
    <n v="20.25"/>
    <n v="20.25"/>
    <x v="2"/>
    <x v="2"/>
    <s v="?duja Salami, Pancetta, Tomatoes, Red Onions, Friggitello Peppers, Garlic"/>
    <x v="6"/>
  </r>
  <r>
    <n v="4910"/>
    <n v="2177"/>
    <n v="0.5"/>
    <s v="calabrese_l"/>
    <n v="1"/>
    <x v="18"/>
    <x v="6"/>
    <x v="537"/>
    <n v="20.25"/>
    <n v="20.25"/>
    <x v="2"/>
    <x v="2"/>
    <s v="?duja Salami, Pancetta, Tomatoes, Red Onions, Friggitello Peppers, Garlic"/>
    <x v="6"/>
  </r>
  <r>
    <n v="4911"/>
    <n v="2177"/>
    <n v="0.5"/>
    <s v="pepperoni_l"/>
    <n v="1"/>
    <x v="18"/>
    <x v="6"/>
    <x v="537"/>
    <n v="15.25"/>
    <n v="15.25"/>
    <x v="2"/>
    <x v="0"/>
    <s v="Mozzarella Cheese, Pepperoni"/>
    <x v="3"/>
  </r>
  <r>
    <n v="4912"/>
    <n v="2178"/>
    <n v="1"/>
    <s v="hawaiian_s"/>
    <n v="1"/>
    <x v="18"/>
    <x v="6"/>
    <x v="538"/>
    <n v="10.5"/>
    <n v="10.5"/>
    <x v="1"/>
    <x v="0"/>
    <s v="Sliced Ham, Pineapple, Mozzarella Cheese"/>
    <x v="0"/>
  </r>
  <r>
    <n v="4913"/>
    <n v="2179"/>
    <n v="1"/>
    <s v="pepperoni_m"/>
    <n v="1"/>
    <x v="18"/>
    <x v="6"/>
    <x v="539"/>
    <n v="12.5"/>
    <n v="12.5"/>
    <x v="0"/>
    <x v="0"/>
    <s v="Mozzarella Cheese, Pepperoni"/>
    <x v="3"/>
  </r>
  <r>
    <n v="4918"/>
    <n v="2182"/>
    <n v="0.33333333333333331"/>
    <s v="big_meat_s"/>
    <n v="2"/>
    <x v="18"/>
    <x v="6"/>
    <x v="540"/>
    <n v="12"/>
    <n v="24"/>
    <x v="1"/>
    <x v="0"/>
    <s v="Bacon, Pepperoni, Italian Sausage, Chorizo Sausage"/>
    <x v="4"/>
  </r>
  <r>
    <n v="4922"/>
    <n v="2182"/>
    <n v="0.33333333333333331"/>
    <s v="hawaiian_s"/>
    <n v="1"/>
    <x v="18"/>
    <x v="6"/>
    <x v="540"/>
    <n v="10.5"/>
    <n v="10.5"/>
    <x v="1"/>
    <x v="0"/>
    <s v="Sliced Ham, Pineapple, Mozzarella Cheese"/>
    <x v="0"/>
  </r>
  <r>
    <n v="4926"/>
    <n v="2182"/>
    <n v="0.33333333333333331"/>
    <s v="sicilian_s"/>
    <n v="1"/>
    <x v="18"/>
    <x v="6"/>
    <x v="540"/>
    <n v="12.25"/>
    <n v="12.25"/>
    <x v="1"/>
    <x v="2"/>
    <s v="Coarse Sicilian Salami, Tomatoes, Green Olives, Luganega Sausage, Onions, Garlic"/>
    <x v="7"/>
  </r>
  <r>
    <n v="4929"/>
    <n v="2183"/>
    <n v="1"/>
    <s v="napolitana_l"/>
    <n v="1"/>
    <x v="18"/>
    <x v="6"/>
    <x v="541"/>
    <n v="20.5"/>
    <n v="20.5"/>
    <x v="2"/>
    <x v="0"/>
    <s v="Tomatoes, Anchovies, Green Olives, Red Onions, Garlic"/>
    <x v="5"/>
  </r>
  <r>
    <n v="4931"/>
    <n v="2184"/>
    <n v="0.5"/>
    <s v="big_meat_s"/>
    <n v="1"/>
    <x v="18"/>
    <x v="6"/>
    <x v="542"/>
    <n v="12"/>
    <n v="12"/>
    <x v="1"/>
    <x v="0"/>
    <s v="Bacon, Pepperoni, Italian Sausage, Chorizo Sausage"/>
    <x v="4"/>
  </r>
  <r>
    <n v="4932"/>
    <n v="2184"/>
    <n v="0.5"/>
    <s v="brie_carre_s"/>
    <n v="1"/>
    <x v="18"/>
    <x v="6"/>
    <x v="542"/>
    <n v="23.65"/>
    <n v="23.65"/>
    <x v="1"/>
    <x v="2"/>
    <s v="Brie Carre Cheese, Prosciutto, Caramelized Onions, Pears, Thyme, Garlic"/>
    <x v="8"/>
  </r>
  <r>
    <n v="4936"/>
    <n v="2187"/>
    <n v="0.33333333333333331"/>
    <s v="calabrese_s"/>
    <n v="1"/>
    <x v="18"/>
    <x v="6"/>
    <x v="543"/>
    <n v="12.25"/>
    <n v="12.25"/>
    <x v="1"/>
    <x v="2"/>
    <s v="?duja Salami, Pancetta, Tomatoes, Red Onions, Friggitello Peppers, Garlic"/>
    <x v="6"/>
  </r>
  <r>
    <n v="4938"/>
    <n v="2187"/>
    <n v="0.33333333333333331"/>
    <s v="sicilian_l"/>
    <n v="1"/>
    <x v="18"/>
    <x v="6"/>
    <x v="543"/>
    <n v="20.25"/>
    <n v="20.25"/>
    <x v="2"/>
    <x v="2"/>
    <s v="Coarse Sicilian Salami, Tomatoes, Green Olives, Luganega Sausage, Onions, Garlic"/>
    <x v="7"/>
  </r>
  <r>
    <n v="4940"/>
    <n v="2187"/>
    <n v="0.33333333333333331"/>
    <s v="the_greek_s"/>
    <n v="1"/>
    <x v="18"/>
    <x v="6"/>
    <x v="543"/>
    <n v="12"/>
    <n v="12"/>
    <x v="1"/>
    <x v="0"/>
    <s v="Kalamata Olives, Feta Cheese, Tomatoes, Garlic, Beef Chuck Roast, Red Onions"/>
    <x v="2"/>
  </r>
  <r>
    <n v="4941"/>
    <n v="2188"/>
    <n v="0.25"/>
    <s v="calabrese_m"/>
    <n v="1"/>
    <x v="18"/>
    <x v="6"/>
    <x v="544"/>
    <n v="16.25"/>
    <n v="16.25"/>
    <x v="0"/>
    <x v="2"/>
    <s v="?duja Salami, Pancetta, Tomatoes, Red Onions, Friggitello Peppers, Garlic"/>
    <x v="6"/>
  </r>
  <r>
    <n v="4944"/>
    <n v="2188"/>
    <n v="0.25"/>
    <s v="hawaiian_m"/>
    <n v="1"/>
    <x v="18"/>
    <x v="6"/>
    <x v="544"/>
    <n v="13.25"/>
    <n v="13.25"/>
    <x v="0"/>
    <x v="0"/>
    <s v="Sliced Ham, Pineapple, Mozzarella Cheese"/>
    <x v="0"/>
  </r>
  <r>
    <n v="4945"/>
    <n v="2188"/>
    <n v="0.25"/>
    <s v="hawaiian_s"/>
    <n v="1"/>
    <x v="18"/>
    <x v="6"/>
    <x v="544"/>
    <n v="10.5"/>
    <n v="10.5"/>
    <x v="1"/>
    <x v="0"/>
    <s v="Sliced Ham, Pineapple, Mozzarella Cheese"/>
    <x v="0"/>
  </r>
  <r>
    <n v="4950"/>
    <n v="2188"/>
    <n v="0.25"/>
    <s v="pepperoni_m"/>
    <n v="1"/>
    <x v="18"/>
    <x v="6"/>
    <x v="544"/>
    <n v="12.5"/>
    <n v="12.5"/>
    <x v="0"/>
    <x v="0"/>
    <s v="Mozzarella Cheese, Pepperoni"/>
    <x v="3"/>
  </r>
  <r>
    <n v="4956"/>
    <n v="2190"/>
    <n v="0.5"/>
    <s v="big_meat_s"/>
    <n v="1"/>
    <x v="18"/>
    <x v="6"/>
    <x v="545"/>
    <n v="12"/>
    <n v="12"/>
    <x v="1"/>
    <x v="0"/>
    <s v="Bacon, Pepperoni, Italian Sausage, Chorizo Sausage"/>
    <x v="4"/>
  </r>
  <r>
    <n v="4957"/>
    <n v="2190"/>
    <n v="0.5"/>
    <s v="napolitana_m"/>
    <n v="1"/>
    <x v="18"/>
    <x v="6"/>
    <x v="545"/>
    <n v="16"/>
    <n v="16"/>
    <x v="0"/>
    <x v="0"/>
    <s v="Tomatoes, Anchovies, Green Olives, Red Onions, Garlic"/>
    <x v="5"/>
  </r>
  <r>
    <n v="4963"/>
    <n v="2193"/>
    <n v="1"/>
    <s v="hawaiian_s"/>
    <n v="1"/>
    <x v="18"/>
    <x v="6"/>
    <x v="546"/>
    <n v="10.5"/>
    <n v="10.5"/>
    <x v="1"/>
    <x v="0"/>
    <s v="Sliced Ham, Pineapple, Mozzarella Cheese"/>
    <x v="0"/>
  </r>
  <r>
    <n v="4972"/>
    <n v="2197"/>
    <n v="0.5"/>
    <s v="hawaiian_s"/>
    <n v="1"/>
    <x v="18"/>
    <x v="6"/>
    <x v="547"/>
    <n v="10.5"/>
    <n v="10.5"/>
    <x v="1"/>
    <x v="0"/>
    <s v="Sliced Ham, Pineapple, Mozzarella Cheese"/>
    <x v="0"/>
  </r>
  <r>
    <n v="4973"/>
    <n v="2197"/>
    <n v="0.5"/>
    <s v="napolitana_s"/>
    <n v="1"/>
    <x v="18"/>
    <x v="6"/>
    <x v="547"/>
    <n v="12"/>
    <n v="12"/>
    <x v="1"/>
    <x v="0"/>
    <s v="Tomatoes, Anchovies, Green Olives, Red Onions, Garlic"/>
    <x v="5"/>
  </r>
  <r>
    <n v="4978"/>
    <n v="2199"/>
    <n v="1"/>
    <s v="sicilian_l"/>
    <n v="1"/>
    <x v="18"/>
    <x v="6"/>
    <x v="548"/>
    <n v="20.25"/>
    <n v="20.25"/>
    <x v="2"/>
    <x v="2"/>
    <s v="Coarse Sicilian Salami, Tomatoes, Green Olives, Luganega Sausage, Onions, Garlic"/>
    <x v="7"/>
  </r>
  <r>
    <n v="4981"/>
    <n v="2202"/>
    <n v="1"/>
    <s v="napolitana_s"/>
    <n v="1"/>
    <x v="18"/>
    <x v="6"/>
    <x v="549"/>
    <n v="12"/>
    <n v="12"/>
    <x v="1"/>
    <x v="0"/>
    <s v="Tomatoes, Anchovies, Green Olives, Red Onions, Garlic"/>
    <x v="5"/>
  </r>
  <r>
    <n v="4984"/>
    <n v="2203"/>
    <n v="1"/>
    <s v="mexicana_m"/>
    <n v="1"/>
    <x v="18"/>
    <x v="6"/>
    <x v="550"/>
    <n v="16"/>
    <n v="16"/>
    <x v="0"/>
    <x v="1"/>
    <s v="Tomatoes, Red Peppers, Jalapeno Peppers, Red Onions, Cilantro, Corn, Chipotle Sauce, Garlic"/>
    <x v="1"/>
  </r>
  <r>
    <n v="4990"/>
    <n v="2206"/>
    <n v="1"/>
    <s v="big_meat_s"/>
    <n v="1"/>
    <x v="18"/>
    <x v="6"/>
    <x v="551"/>
    <n v="12"/>
    <n v="12"/>
    <x v="1"/>
    <x v="0"/>
    <s v="Bacon, Pepperoni, Italian Sausage, Chorizo Sausage"/>
    <x v="4"/>
  </r>
  <r>
    <n v="4994"/>
    <n v="2208"/>
    <n v="0.5"/>
    <s v="big_meat_s"/>
    <n v="1"/>
    <x v="18"/>
    <x v="6"/>
    <x v="552"/>
    <n v="12"/>
    <n v="12"/>
    <x v="1"/>
    <x v="0"/>
    <s v="Bacon, Pepperoni, Italian Sausage, Chorizo Sausage"/>
    <x v="4"/>
  </r>
  <r>
    <n v="4995"/>
    <n v="2208"/>
    <n v="0.5"/>
    <s v="hawaiian_l"/>
    <n v="1"/>
    <x v="18"/>
    <x v="6"/>
    <x v="552"/>
    <n v="16.5"/>
    <n v="16.5"/>
    <x v="2"/>
    <x v="0"/>
    <s v="Sliced Ham, Pineapple, Mozzarella Cheese"/>
    <x v="0"/>
  </r>
  <r>
    <n v="5001"/>
    <n v="2211"/>
    <n v="1"/>
    <s v="napolitana_s"/>
    <n v="1"/>
    <x v="18"/>
    <x v="6"/>
    <x v="553"/>
    <n v="12"/>
    <n v="12"/>
    <x v="1"/>
    <x v="0"/>
    <s v="Tomatoes, Anchovies, Green Olives, Red Onions, Garlic"/>
    <x v="5"/>
  </r>
  <r>
    <n v="5002"/>
    <n v="2212"/>
    <n v="1"/>
    <s v="pepperoni_l"/>
    <n v="1"/>
    <x v="18"/>
    <x v="6"/>
    <x v="554"/>
    <n v="15.25"/>
    <n v="15.25"/>
    <x v="2"/>
    <x v="0"/>
    <s v="Mozzarella Cheese, Pepperoni"/>
    <x v="3"/>
  </r>
  <r>
    <n v="5005"/>
    <n v="2214"/>
    <n v="1"/>
    <s v="sicilian_s"/>
    <n v="1"/>
    <x v="18"/>
    <x v="6"/>
    <x v="555"/>
    <n v="12.25"/>
    <n v="12.25"/>
    <x v="1"/>
    <x v="2"/>
    <s v="Coarse Sicilian Salami, Tomatoes, Green Olives, Luganega Sausage, Onions, Garlic"/>
    <x v="7"/>
  </r>
  <r>
    <n v="5007"/>
    <n v="2215"/>
    <n v="1"/>
    <s v="hawaiian_s"/>
    <n v="1"/>
    <x v="18"/>
    <x v="6"/>
    <x v="556"/>
    <n v="10.5"/>
    <n v="10.5"/>
    <x v="1"/>
    <x v="0"/>
    <s v="Sliced Ham, Pineapple, Mozzarella Cheese"/>
    <x v="0"/>
  </r>
  <r>
    <n v="5010"/>
    <n v="2216"/>
    <n v="1"/>
    <s v="sicilian_m"/>
    <n v="1"/>
    <x v="18"/>
    <x v="6"/>
    <x v="557"/>
    <n v="16.25"/>
    <n v="16.25"/>
    <x v="0"/>
    <x v="2"/>
    <s v="Coarse Sicilian Salami, Tomatoes, Green Olives, Luganega Sausage, Onions, Garlic"/>
    <x v="7"/>
  </r>
  <r>
    <n v="5013"/>
    <n v="2217"/>
    <n v="1"/>
    <s v="sicilian_s"/>
    <n v="1"/>
    <x v="18"/>
    <x v="6"/>
    <x v="558"/>
    <n v="12.25"/>
    <n v="12.25"/>
    <x v="1"/>
    <x v="2"/>
    <s v="Coarse Sicilian Salami, Tomatoes, Green Olives, Luganega Sausage, Onions, Garlic"/>
    <x v="7"/>
  </r>
  <r>
    <n v="5019"/>
    <n v="2221"/>
    <n v="1"/>
    <s v="calabrese_s"/>
    <n v="1"/>
    <x v="18"/>
    <x v="6"/>
    <x v="559"/>
    <n v="12.25"/>
    <n v="12.25"/>
    <x v="1"/>
    <x v="2"/>
    <s v="?duja Salami, Pancetta, Tomatoes, Red Onions, Friggitello Peppers, Garlic"/>
    <x v="6"/>
  </r>
  <r>
    <n v="5024"/>
    <n v="2222"/>
    <n v="0.5"/>
    <s v="calabrese_l"/>
    <n v="1"/>
    <x v="18"/>
    <x v="6"/>
    <x v="560"/>
    <n v="20.25"/>
    <n v="20.25"/>
    <x v="2"/>
    <x v="2"/>
    <s v="?duja Salami, Pancetta, Tomatoes, Red Onions, Friggitello Peppers, Garlic"/>
    <x v="6"/>
  </r>
  <r>
    <n v="5025"/>
    <n v="2222"/>
    <n v="0.5"/>
    <s v="sicilian_m"/>
    <n v="1"/>
    <x v="18"/>
    <x v="6"/>
    <x v="560"/>
    <n v="16.25"/>
    <n v="16.25"/>
    <x v="0"/>
    <x v="2"/>
    <s v="Coarse Sicilian Salami, Tomatoes, Green Olives, Luganega Sausage, Onions, Garlic"/>
    <x v="7"/>
  </r>
  <r>
    <n v="5026"/>
    <n v="2223"/>
    <n v="1"/>
    <s v="the_greek_xl"/>
    <n v="1"/>
    <x v="18"/>
    <x v="6"/>
    <x v="561"/>
    <n v="25.5"/>
    <n v="25.5"/>
    <x v="3"/>
    <x v="0"/>
    <s v="Kalamata Olives, Feta Cheese, Tomatoes, Garlic, Beef Chuck Roast, Red Onions"/>
    <x v="2"/>
  </r>
  <r>
    <n v="5028"/>
    <n v="2225"/>
    <n v="1"/>
    <s v="sicilian_s"/>
    <n v="1"/>
    <x v="18"/>
    <x v="6"/>
    <x v="562"/>
    <n v="12.25"/>
    <n v="12.25"/>
    <x v="1"/>
    <x v="2"/>
    <s v="Coarse Sicilian Salami, Tomatoes, Green Olives, Luganega Sausage, Onions, Garlic"/>
    <x v="7"/>
  </r>
  <r>
    <n v="5030"/>
    <n v="2226"/>
    <n v="1"/>
    <s v="pepperoni_l"/>
    <n v="1"/>
    <x v="18"/>
    <x v="6"/>
    <x v="563"/>
    <n v="15.25"/>
    <n v="15.25"/>
    <x v="2"/>
    <x v="0"/>
    <s v="Mozzarella Cheese, Pepperoni"/>
    <x v="3"/>
  </r>
  <r>
    <n v="5033"/>
    <n v="2228"/>
    <n v="1"/>
    <s v="napolitana_l"/>
    <n v="1"/>
    <x v="18"/>
    <x v="6"/>
    <x v="564"/>
    <n v="20.5"/>
    <n v="20.5"/>
    <x v="2"/>
    <x v="0"/>
    <s v="Tomatoes, Anchovies, Green Olives, Red Onions, Garlic"/>
    <x v="5"/>
  </r>
  <r>
    <n v="5036"/>
    <n v="2229"/>
    <n v="1"/>
    <s v="hawaiian_m"/>
    <n v="1"/>
    <x v="18"/>
    <x v="6"/>
    <x v="565"/>
    <n v="13.25"/>
    <n v="13.25"/>
    <x v="0"/>
    <x v="0"/>
    <s v="Sliced Ham, Pineapple, Mozzarella Cheese"/>
    <x v="0"/>
  </r>
  <r>
    <n v="5043"/>
    <n v="2233"/>
    <n v="1"/>
    <s v="hawaiian_l"/>
    <n v="1"/>
    <x v="18"/>
    <x v="6"/>
    <x v="566"/>
    <n v="16.5"/>
    <n v="16.5"/>
    <x v="2"/>
    <x v="0"/>
    <s v="Sliced Ham, Pineapple, Mozzarella Cheese"/>
    <x v="0"/>
  </r>
  <r>
    <n v="5044"/>
    <n v="2234"/>
    <n v="1"/>
    <s v="big_meat_s"/>
    <n v="1"/>
    <x v="18"/>
    <x v="6"/>
    <x v="567"/>
    <n v="12"/>
    <n v="12"/>
    <x v="1"/>
    <x v="0"/>
    <s v="Bacon, Pepperoni, Italian Sausage, Chorizo Sausage"/>
    <x v="4"/>
  </r>
  <r>
    <n v="5048"/>
    <n v="2235"/>
    <n v="1"/>
    <s v="napolitana_m"/>
    <n v="1"/>
    <x v="18"/>
    <x v="6"/>
    <x v="568"/>
    <n v="16"/>
    <n v="16"/>
    <x v="0"/>
    <x v="0"/>
    <s v="Tomatoes, Anchovies, Green Olives, Red Onions, Garlic"/>
    <x v="5"/>
  </r>
  <r>
    <n v="5054"/>
    <n v="2237"/>
    <n v="1"/>
    <s v="hawaiian_m"/>
    <n v="1"/>
    <x v="18"/>
    <x v="6"/>
    <x v="569"/>
    <n v="13.25"/>
    <n v="13.25"/>
    <x v="0"/>
    <x v="0"/>
    <s v="Sliced Ham, Pineapple, Mozzarella Cheese"/>
    <x v="0"/>
  </r>
  <r>
    <n v="5056"/>
    <n v="2238"/>
    <n v="1"/>
    <s v="the_greek_l"/>
    <n v="1"/>
    <x v="18"/>
    <x v="6"/>
    <x v="570"/>
    <n v="20.5"/>
    <n v="20.5"/>
    <x v="2"/>
    <x v="0"/>
    <s v="Kalamata Olives, Feta Cheese, Tomatoes, Garlic, Beef Chuck Roast, Red Onions"/>
    <x v="2"/>
  </r>
  <r>
    <n v="5058"/>
    <n v="2240"/>
    <n v="1"/>
    <s v="brie_carre_s"/>
    <n v="1"/>
    <x v="18"/>
    <x v="6"/>
    <x v="571"/>
    <n v="23.65"/>
    <n v="23.65"/>
    <x v="1"/>
    <x v="2"/>
    <s v="Brie Carre Cheese, Prosciutto, Caramelized Onions, Pears, Thyme, Garlic"/>
    <x v="8"/>
  </r>
  <r>
    <n v="5060"/>
    <n v="2241"/>
    <n v="1"/>
    <s v="hawaiian_l"/>
    <n v="1"/>
    <x v="19"/>
    <x v="0"/>
    <x v="572"/>
    <n v="16.5"/>
    <n v="16.5"/>
    <x v="2"/>
    <x v="0"/>
    <s v="Sliced Ham, Pineapple, Mozzarella Cheese"/>
    <x v="0"/>
  </r>
  <r>
    <n v="5063"/>
    <n v="2242"/>
    <n v="0.5"/>
    <s v="big_meat_s"/>
    <n v="1"/>
    <x v="19"/>
    <x v="0"/>
    <x v="573"/>
    <n v="12"/>
    <n v="12"/>
    <x v="1"/>
    <x v="0"/>
    <s v="Bacon, Pepperoni, Italian Sausage, Chorizo Sausage"/>
    <x v="4"/>
  </r>
  <r>
    <n v="5067"/>
    <n v="2242"/>
    <n v="0.5"/>
    <s v="mexicana_m"/>
    <n v="1"/>
    <x v="19"/>
    <x v="0"/>
    <x v="573"/>
    <n v="16"/>
    <n v="16"/>
    <x v="0"/>
    <x v="1"/>
    <s v="Tomatoes, Red Peppers, Jalapeno Peppers, Red Onions, Cilantro, Corn, Chipotle Sauce, Garlic"/>
    <x v="1"/>
  </r>
  <r>
    <n v="5074"/>
    <n v="2247"/>
    <n v="1"/>
    <s v="sicilian_l"/>
    <n v="1"/>
    <x v="19"/>
    <x v="0"/>
    <x v="574"/>
    <n v="20.25"/>
    <n v="20.25"/>
    <x v="2"/>
    <x v="2"/>
    <s v="Coarse Sicilian Salami, Tomatoes, Green Olives, Luganega Sausage, Onions, Garlic"/>
    <x v="7"/>
  </r>
  <r>
    <n v="5080"/>
    <n v="2251"/>
    <n v="1"/>
    <s v="the_greek_l"/>
    <n v="1"/>
    <x v="19"/>
    <x v="0"/>
    <x v="575"/>
    <n v="20.5"/>
    <n v="20.5"/>
    <x v="2"/>
    <x v="0"/>
    <s v="Kalamata Olives, Feta Cheese, Tomatoes, Garlic, Beef Chuck Roast, Red Onions"/>
    <x v="2"/>
  </r>
  <r>
    <n v="5081"/>
    <n v="2252"/>
    <n v="1"/>
    <s v="big_meat_s"/>
    <n v="1"/>
    <x v="19"/>
    <x v="0"/>
    <x v="576"/>
    <n v="12"/>
    <n v="12"/>
    <x v="1"/>
    <x v="0"/>
    <s v="Bacon, Pepperoni, Italian Sausage, Chorizo Sausage"/>
    <x v="4"/>
  </r>
  <r>
    <n v="5085"/>
    <n v="2254"/>
    <n v="0.5"/>
    <s v="brie_carre_s"/>
    <n v="1"/>
    <x v="19"/>
    <x v="0"/>
    <x v="577"/>
    <n v="23.65"/>
    <n v="23.65"/>
    <x v="1"/>
    <x v="2"/>
    <s v="Brie Carre Cheese, Prosciutto, Caramelized Onions, Pears, Thyme, Garlic"/>
    <x v="8"/>
  </r>
  <r>
    <n v="5090"/>
    <n v="2254"/>
    <n v="0.5"/>
    <s v="sicilian_l"/>
    <n v="1"/>
    <x v="19"/>
    <x v="0"/>
    <x v="577"/>
    <n v="20.25"/>
    <n v="20.25"/>
    <x v="2"/>
    <x v="2"/>
    <s v="Coarse Sicilian Salami, Tomatoes, Green Olives, Luganega Sausage, Onions, Garlic"/>
    <x v="7"/>
  </r>
  <r>
    <n v="5093"/>
    <n v="2255"/>
    <n v="1"/>
    <s v="big_meat_s"/>
    <n v="1"/>
    <x v="19"/>
    <x v="0"/>
    <x v="578"/>
    <n v="12"/>
    <n v="12"/>
    <x v="1"/>
    <x v="0"/>
    <s v="Bacon, Pepperoni, Italian Sausage, Chorizo Sausage"/>
    <x v="4"/>
  </r>
  <r>
    <n v="5097"/>
    <n v="2256"/>
    <n v="1"/>
    <s v="pepperoni_l"/>
    <n v="1"/>
    <x v="19"/>
    <x v="0"/>
    <x v="579"/>
    <n v="15.25"/>
    <n v="15.25"/>
    <x v="2"/>
    <x v="0"/>
    <s v="Mozzarella Cheese, Pepperoni"/>
    <x v="3"/>
  </r>
  <r>
    <n v="5100"/>
    <n v="2257"/>
    <n v="1"/>
    <s v="big_meat_s"/>
    <n v="1"/>
    <x v="19"/>
    <x v="0"/>
    <x v="580"/>
    <n v="12"/>
    <n v="12"/>
    <x v="1"/>
    <x v="0"/>
    <s v="Bacon, Pepperoni, Italian Sausage, Chorizo Sausage"/>
    <x v="4"/>
  </r>
  <r>
    <n v="5103"/>
    <n v="2258"/>
    <n v="1"/>
    <s v="the_greek_xl"/>
    <n v="1"/>
    <x v="19"/>
    <x v="0"/>
    <x v="581"/>
    <n v="25.5"/>
    <n v="25.5"/>
    <x v="3"/>
    <x v="0"/>
    <s v="Kalamata Olives, Feta Cheese, Tomatoes, Garlic, Beef Chuck Roast, Red Onions"/>
    <x v="2"/>
  </r>
  <r>
    <n v="5106"/>
    <n v="2260"/>
    <n v="1"/>
    <s v="brie_carre_s"/>
    <n v="1"/>
    <x v="19"/>
    <x v="0"/>
    <x v="582"/>
    <n v="23.65"/>
    <n v="23.65"/>
    <x v="1"/>
    <x v="2"/>
    <s v="Brie Carre Cheese, Prosciutto, Caramelized Onions, Pears, Thyme, Garlic"/>
    <x v="8"/>
  </r>
  <r>
    <n v="5118"/>
    <n v="2265"/>
    <n v="1"/>
    <s v="hawaiian_s"/>
    <n v="1"/>
    <x v="19"/>
    <x v="0"/>
    <x v="583"/>
    <n v="10.5"/>
    <n v="10.5"/>
    <x v="1"/>
    <x v="0"/>
    <s v="Sliced Ham, Pineapple, Mozzarella Cheese"/>
    <x v="0"/>
  </r>
  <r>
    <n v="5125"/>
    <n v="2269"/>
    <n v="1"/>
    <s v="big_meat_s"/>
    <n v="1"/>
    <x v="19"/>
    <x v="0"/>
    <x v="584"/>
    <n v="12"/>
    <n v="12"/>
    <x v="1"/>
    <x v="0"/>
    <s v="Bacon, Pepperoni, Italian Sausage, Chorizo Sausage"/>
    <x v="4"/>
  </r>
  <r>
    <n v="5127"/>
    <n v="2270"/>
    <n v="1"/>
    <s v="sicilian_s"/>
    <n v="1"/>
    <x v="19"/>
    <x v="0"/>
    <x v="585"/>
    <n v="12.25"/>
    <n v="12.25"/>
    <x v="1"/>
    <x v="2"/>
    <s v="Coarse Sicilian Salami, Tomatoes, Green Olives, Luganega Sausage, Onions, Garlic"/>
    <x v="7"/>
  </r>
  <r>
    <n v="5134"/>
    <n v="2273"/>
    <n v="0.5"/>
    <s v="big_meat_s"/>
    <n v="1"/>
    <x v="19"/>
    <x v="0"/>
    <x v="586"/>
    <n v="12"/>
    <n v="12"/>
    <x v="1"/>
    <x v="0"/>
    <s v="Bacon, Pepperoni, Italian Sausage, Chorizo Sausage"/>
    <x v="4"/>
  </r>
  <r>
    <n v="5135"/>
    <n v="2273"/>
    <n v="0.5"/>
    <s v="calabrese_s"/>
    <n v="1"/>
    <x v="19"/>
    <x v="0"/>
    <x v="586"/>
    <n v="12.25"/>
    <n v="12.25"/>
    <x v="1"/>
    <x v="2"/>
    <s v="?duja Salami, Pancetta, Tomatoes, Red Onions, Friggitello Peppers, Garlic"/>
    <x v="6"/>
  </r>
  <r>
    <n v="5139"/>
    <n v="2275"/>
    <n v="1"/>
    <s v="hawaiian_l"/>
    <n v="1"/>
    <x v="19"/>
    <x v="0"/>
    <x v="587"/>
    <n v="16.5"/>
    <n v="16.5"/>
    <x v="2"/>
    <x v="0"/>
    <s v="Sliced Ham, Pineapple, Mozzarella Cheese"/>
    <x v="0"/>
  </r>
  <r>
    <n v="5141"/>
    <n v="2277"/>
    <n v="1"/>
    <s v="calabrese_m"/>
    <n v="1"/>
    <x v="19"/>
    <x v="0"/>
    <x v="588"/>
    <n v="16.25"/>
    <n v="16.25"/>
    <x v="0"/>
    <x v="2"/>
    <s v="?duja Salami, Pancetta, Tomatoes, Red Onions, Friggitello Peppers, Garlic"/>
    <x v="6"/>
  </r>
  <r>
    <n v="5149"/>
    <n v="2280"/>
    <n v="1"/>
    <s v="pepperoni_s"/>
    <n v="1"/>
    <x v="19"/>
    <x v="0"/>
    <x v="589"/>
    <n v="9.75"/>
    <n v="9.75"/>
    <x v="1"/>
    <x v="0"/>
    <s v="Mozzarella Cheese, Pepperoni"/>
    <x v="3"/>
  </r>
  <r>
    <n v="5153"/>
    <n v="2282"/>
    <n v="1"/>
    <s v="the_greek_m"/>
    <n v="1"/>
    <x v="19"/>
    <x v="0"/>
    <x v="590"/>
    <n v="16"/>
    <n v="16"/>
    <x v="0"/>
    <x v="0"/>
    <s v="Kalamata Olives, Feta Cheese, Tomatoes, Garlic, Beef Chuck Roast, Red Onions"/>
    <x v="2"/>
  </r>
  <r>
    <n v="5157"/>
    <n v="2283"/>
    <n v="1"/>
    <s v="mexicana_s"/>
    <n v="1"/>
    <x v="19"/>
    <x v="0"/>
    <x v="591"/>
    <n v="12"/>
    <n v="12"/>
    <x v="1"/>
    <x v="1"/>
    <s v="Tomatoes, Red Peppers, Jalapeno Peppers, Red Onions, Cilantro, Corn, Chipotle Sauce, Garlic"/>
    <x v="1"/>
  </r>
  <r>
    <n v="5167"/>
    <n v="2289"/>
    <n v="1"/>
    <s v="sicilian_s"/>
    <n v="1"/>
    <x v="19"/>
    <x v="0"/>
    <x v="592"/>
    <n v="12.25"/>
    <n v="12.25"/>
    <x v="1"/>
    <x v="2"/>
    <s v="Coarse Sicilian Salami, Tomatoes, Green Olives, Luganega Sausage, Onions, Garlic"/>
    <x v="7"/>
  </r>
  <r>
    <n v="5174"/>
    <n v="2292"/>
    <n v="1"/>
    <s v="pepperoni_s"/>
    <n v="1"/>
    <x v="19"/>
    <x v="0"/>
    <x v="593"/>
    <n v="9.75"/>
    <n v="9.75"/>
    <x v="1"/>
    <x v="0"/>
    <s v="Mozzarella Cheese, Pepperoni"/>
    <x v="3"/>
  </r>
  <r>
    <n v="5191"/>
    <n v="2299"/>
    <n v="1"/>
    <s v="the_greek_l"/>
    <n v="1"/>
    <x v="19"/>
    <x v="0"/>
    <x v="594"/>
    <n v="20.5"/>
    <n v="20.5"/>
    <x v="2"/>
    <x v="0"/>
    <s v="Kalamata Olives, Feta Cheese, Tomatoes, Garlic, Beef Chuck Roast, Red Onions"/>
    <x v="2"/>
  </r>
  <r>
    <n v="5193"/>
    <n v="2301"/>
    <n v="1"/>
    <s v="calabrese_m"/>
    <n v="1"/>
    <x v="19"/>
    <x v="0"/>
    <x v="595"/>
    <n v="16.25"/>
    <n v="16.25"/>
    <x v="0"/>
    <x v="2"/>
    <s v="?duja Salami, Pancetta, Tomatoes, Red Onions, Friggitello Peppers, Garlic"/>
    <x v="6"/>
  </r>
  <r>
    <n v="5198"/>
    <n v="2303"/>
    <n v="1"/>
    <s v="the_greek_l"/>
    <n v="1"/>
    <x v="20"/>
    <x v="1"/>
    <x v="596"/>
    <n v="20.5"/>
    <n v="20.5"/>
    <x v="2"/>
    <x v="0"/>
    <s v="Kalamata Olives, Feta Cheese, Tomatoes, Garlic, Beef Chuck Roast, Red Onions"/>
    <x v="2"/>
  </r>
  <r>
    <n v="5199"/>
    <n v="2304"/>
    <n v="1"/>
    <s v="big_meat_s"/>
    <n v="1"/>
    <x v="20"/>
    <x v="1"/>
    <x v="597"/>
    <n v="12"/>
    <n v="12"/>
    <x v="1"/>
    <x v="0"/>
    <s v="Bacon, Pepperoni, Italian Sausage, Chorizo Sausage"/>
    <x v="4"/>
  </r>
  <r>
    <n v="5201"/>
    <n v="2305"/>
    <n v="1"/>
    <s v="big_meat_s"/>
    <n v="1"/>
    <x v="20"/>
    <x v="1"/>
    <x v="598"/>
    <n v="12"/>
    <n v="12"/>
    <x v="1"/>
    <x v="0"/>
    <s v="Bacon, Pepperoni, Italian Sausage, Chorizo Sausage"/>
    <x v="4"/>
  </r>
  <r>
    <n v="5202"/>
    <n v="2306"/>
    <n v="0.5"/>
    <s v="pepperoni_l"/>
    <n v="1"/>
    <x v="20"/>
    <x v="1"/>
    <x v="599"/>
    <n v="15.25"/>
    <n v="15.25"/>
    <x v="2"/>
    <x v="0"/>
    <s v="Mozzarella Cheese, Pepperoni"/>
    <x v="3"/>
  </r>
  <r>
    <n v="5203"/>
    <n v="2306"/>
    <n v="0.5"/>
    <s v="pepperoni_m"/>
    <n v="1"/>
    <x v="20"/>
    <x v="1"/>
    <x v="599"/>
    <n v="12.5"/>
    <n v="12.5"/>
    <x v="0"/>
    <x v="0"/>
    <s v="Mozzarella Cheese, Pepperoni"/>
    <x v="3"/>
  </r>
  <r>
    <n v="5215"/>
    <n v="2309"/>
    <n v="1"/>
    <s v="mexicana_s"/>
    <n v="1"/>
    <x v="20"/>
    <x v="1"/>
    <x v="600"/>
    <n v="12"/>
    <n v="12"/>
    <x v="1"/>
    <x v="1"/>
    <s v="Tomatoes, Red Peppers, Jalapeno Peppers, Red Onions, Cilantro, Corn, Chipotle Sauce, Garlic"/>
    <x v="1"/>
  </r>
  <r>
    <n v="5218"/>
    <n v="2310"/>
    <n v="1"/>
    <s v="pepperoni_l"/>
    <n v="1"/>
    <x v="20"/>
    <x v="1"/>
    <x v="601"/>
    <n v="15.25"/>
    <n v="15.25"/>
    <x v="2"/>
    <x v="0"/>
    <s v="Mozzarella Cheese, Pepperoni"/>
    <x v="3"/>
  </r>
  <r>
    <n v="5220"/>
    <n v="2312"/>
    <n v="1"/>
    <s v="hawaiian_l"/>
    <n v="1"/>
    <x v="20"/>
    <x v="1"/>
    <x v="602"/>
    <n v="16.5"/>
    <n v="16.5"/>
    <x v="2"/>
    <x v="0"/>
    <s v="Sliced Ham, Pineapple, Mozzarella Cheese"/>
    <x v="0"/>
  </r>
  <r>
    <n v="5223"/>
    <n v="2313"/>
    <n v="0.5"/>
    <s v="brie_carre_s"/>
    <n v="1"/>
    <x v="20"/>
    <x v="1"/>
    <x v="603"/>
    <n v="23.65"/>
    <n v="23.65"/>
    <x v="1"/>
    <x v="2"/>
    <s v="Brie Carre Cheese, Prosciutto, Caramelized Onions, Pears, Thyme, Garlic"/>
    <x v="8"/>
  </r>
  <r>
    <n v="5224"/>
    <n v="2313"/>
    <n v="0.5"/>
    <s v="hawaiian_l"/>
    <n v="1"/>
    <x v="20"/>
    <x v="1"/>
    <x v="603"/>
    <n v="16.5"/>
    <n v="16.5"/>
    <x v="2"/>
    <x v="0"/>
    <s v="Sliced Ham, Pineapple, Mozzarella Cheese"/>
    <x v="0"/>
  </r>
  <r>
    <n v="5225"/>
    <n v="2314"/>
    <n v="1"/>
    <s v="big_meat_s"/>
    <n v="1"/>
    <x v="20"/>
    <x v="1"/>
    <x v="604"/>
    <n v="12"/>
    <n v="12"/>
    <x v="1"/>
    <x v="0"/>
    <s v="Bacon, Pepperoni, Italian Sausage, Chorizo Sausage"/>
    <x v="4"/>
  </r>
  <r>
    <n v="5230"/>
    <n v="2315"/>
    <n v="1"/>
    <s v="pepperoni_s"/>
    <n v="1"/>
    <x v="20"/>
    <x v="1"/>
    <x v="605"/>
    <n v="9.75"/>
    <n v="9.75"/>
    <x v="1"/>
    <x v="0"/>
    <s v="Mozzarella Cheese, Pepperoni"/>
    <x v="3"/>
  </r>
  <r>
    <n v="5232"/>
    <n v="2316"/>
    <n v="1"/>
    <s v="hawaiian_s"/>
    <n v="1"/>
    <x v="20"/>
    <x v="1"/>
    <x v="606"/>
    <n v="10.5"/>
    <n v="10.5"/>
    <x v="1"/>
    <x v="0"/>
    <s v="Sliced Ham, Pineapple, Mozzarella Cheese"/>
    <x v="0"/>
  </r>
  <r>
    <n v="5236"/>
    <n v="2317"/>
    <n v="1"/>
    <s v="sicilian_s"/>
    <n v="1"/>
    <x v="20"/>
    <x v="1"/>
    <x v="328"/>
    <n v="12.25"/>
    <n v="12.25"/>
    <x v="1"/>
    <x v="2"/>
    <s v="Coarse Sicilian Salami, Tomatoes, Green Olives, Luganega Sausage, Onions, Garlic"/>
    <x v="7"/>
  </r>
  <r>
    <n v="5244"/>
    <n v="2322"/>
    <n v="1"/>
    <s v="pepperoni_m"/>
    <n v="1"/>
    <x v="20"/>
    <x v="1"/>
    <x v="607"/>
    <n v="12.5"/>
    <n v="12.5"/>
    <x v="0"/>
    <x v="0"/>
    <s v="Mozzarella Cheese, Pepperoni"/>
    <x v="3"/>
  </r>
  <r>
    <n v="5247"/>
    <n v="2324"/>
    <n v="1"/>
    <s v="sicilian_s"/>
    <n v="1"/>
    <x v="20"/>
    <x v="1"/>
    <x v="608"/>
    <n v="12.25"/>
    <n v="12.25"/>
    <x v="1"/>
    <x v="2"/>
    <s v="Coarse Sicilian Salami, Tomatoes, Green Olives, Luganega Sausage, Onions, Garlic"/>
    <x v="7"/>
  </r>
  <r>
    <n v="5250"/>
    <n v="2326"/>
    <n v="0.5"/>
    <s v="hawaiian_s"/>
    <n v="1"/>
    <x v="20"/>
    <x v="1"/>
    <x v="609"/>
    <n v="10.5"/>
    <n v="10.5"/>
    <x v="1"/>
    <x v="0"/>
    <s v="Sliced Ham, Pineapple, Mozzarella Cheese"/>
    <x v="0"/>
  </r>
  <r>
    <n v="5251"/>
    <n v="2326"/>
    <n v="0.5"/>
    <s v="napolitana_s"/>
    <n v="1"/>
    <x v="20"/>
    <x v="1"/>
    <x v="609"/>
    <n v="12"/>
    <n v="12"/>
    <x v="1"/>
    <x v="0"/>
    <s v="Tomatoes, Anchovies, Green Olives, Red Onions, Garlic"/>
    <x v="5"/>
  </r>
  <r>
    <n v="5254"/>
    <n v="2327"/>
    <n v="1"/>
    <s v="napolitana_l"/>
    <n v="1"/>
    <x v="20"/>
    <x v="1"/>
    <x v="610"/>
    <n v="20.5"/>
    <n v="20.5"/>
    <x v="2"/>
    <x v="0"/>
    <s v="Tomatoes, Anchovies, Green Olives, Red Onions, Garlic"/>
    <x v="5"/>
  </r>
  <r>
    <n v="5256"/>
    <n v="2329"/>
    <n v="1"/>
    <s v="hawaiian_s"/>
    <n v="1"/>
    <x v="20"/>
    <x v="1"/>
    <x v="611"/>
    <n v="10.5"/>
    <n v="10.5"/>
    <x v="1"/>
    <x v="0"/>
    <s v="Sliced Ham, Pineapple, Mozzarella Cheese"/>
    <x v="0"/>
  </r>
  <r>
    <n v="5259"/>
    <n v="2330"/>
    <n v="1"/>
    <s v="pepperoni_m"/>
    <n v="1"/>
    <x v="20"/>
    <x v="1"/>
    <x v="612"/>
    <n v="12.5"/>
    <n v="12.5"/>
    <x v="0"/>
    <x v="0"/>
    <s v="Mozzarella Cheese, Pepperoni"/>
    <x v="3"/>
  </r>
  <r>
    <n v="5263"/>
    <n v="2332"/>
    <n v="1"/>
    <s v="big_meat_s"/>
    <n v="1"/>
    <x v="20"/>
    <x v="1"/>
    <x v="613"/>
    <n v="12"/>
    <n v="12"/>
    <x v="1"/>
    <x v="0"/>
    <s v="Bacon, Pepperoni, Italian Sausage, Chorizo Sausage"/>
    <x v="4"/>
  </r>
  <r>
    <n v="5277"/>
    <n v="2337"/>
    <n v="0.5"/>
    <s v="big_meat_s"/>
    <n v="1"/>
    <x v="20"/>
    <x v="1"/>
    <x v="614"/>
    <n v="12"/>
    <n v="12"/>
    <x v="1"/>
    <x v="0"/>
    <s v="Bacon, Pepperoni, Italian Sausage, Chorizo Sausage"/>
    <x v="4"/>
  </r>
  <r>
    <n v="5278"/>
    <n v="2337"/>
    <n v="0.5"/>
    <s v="hawaiian_s"/>
    <n v="1"/>
    <x v="20"/>
    <x v="1"/>
    <x v="614"/>
    <n v="10.5"/>
    <n v="10.5"/>
    <x v="1"/>
    <x v="0"/>
    <s v="Sliced Ham, Pineapple, Mozzarella Cheese"/>
    <x v="0"/>
  </r>
  <r>
    <n v="5281"/>
    <n v="2339"/>
    <n v="1"/>
    <s v="the_greek_s"/>
    <n v="1"/>
    <x v="20"/>
    <x v="1"/>
    <x v="615"/>
    <n v="12"/>
    <n v="12"/>
    <x v="1"/>
    <x v="0"/>
    <s v="Kalamata Olives, Feta Cheese, Tomatoes, Garlic, Beef Chuck Roast, Red Onions"/>
    <x v="2"/>
  </r>
  <r>
    <n v="5291"/>
    <n v="2344"/>
    <n v="1"/>
    <s v="hawaiian_l"/>
    <n v="1"/>
    <x v="20"/>
    <x v="1"/>
    <x v="616"/>
    <n v="16.5"/>
    <n v="16.5"/>
    <x v="2"/>
    <x v="0"/>
    <s v="Sliced Ham, Pineapple, Mozzarella Cheese"/>
    <x v="0"/>
  </r>
  <r>
    <n v="5293"/>
    <n v="2345"/>
    <n v="1"/>
    <s v="sicilian_m"/>
    <n v="1"/>
    <x v="20"/>
    <x v="1"/>
    <x v="617"/>
    <n v="16.25"/>
    <n v="16.25"/>
    <x v="0"/>
    <x v="2"/>
    <s v="Coarse Sicilian Salami, Tomatoes, Green Olives, Luganega Sausage, Onions, Garlic"/>
    <x v="7"/>
  </r>
  <r>
    <n v="5299"/>
    <n v="2347"/>
    <n v="1"/>
    <s v="pepperoni_l"/>
    <n v="1"/>
    <x v="20"/>
    <x v="1"/>
    <x v="618"/>
    <n v="15.25"/>
    <n v="15.25"/>
    <x v="2"/>
    <x v="0"/>
    <s v="Mozzarella Cheese, Pepperoni"/>
    <x v="3"/>
  </r>
  <r>
    <n v="5302"/>
    <n v="2348"/>
    <n v="1"/>
    <s v="brie_carre_s"/>
    <n v="1"/>
    <x v="20"/>
    <x v="1"/>
    <x v="619"/>
    <n v="23.65"/>
    <n v="23.65"/>
    <x v="1"/>
    <x v="2"/>
    <s v="Brie Carre Cheese, Prosciutto, Caramelized Onions, Pears, Thyme, Garlic"/>
    <x v="8"/>
  </r>
  <r>
    <n v="5305"/>
    <n v="2350"/>
    <n v="1"/>
    <s v="sicilian_m"/>
    <n v="1"/>
    <x v="20"/>
    <x v="1"/>
    <x v="620"/>
    <n v="16.25"/>
    <n v="16.25"/>
    <x v="0"/>
    <x v="2"/>
    <s v="Coarse Sicilian Salami, Tomatoes, Green Olives, Luganega Sausage, Onions, Garlic"/>
    <x v="7"/>
  </r>
  <r>
    <n v="5306"/>
    <n v="2351"/>
    <n v="1"/>
    <s v="hawaiian_m"/>
    <n v="1"/>
    <x v="20"/>
    <x v="1"/>
    <x v="621"/>
    <n v="13.25"/>
    <n v="13.25"/>
    <x v="0"/>
    <x v="0"/>
    <s v="Sliced Ham, Pineapple, Mozzarella Cheese"/>
    <x v="0"/>
  </r>
  <r>
    <n v="5313"/>
    <n v="2354"/>
    <n v="1"/>
    <s v="mexicana_s"/>
    <n v="1"/>
    <x v="20"/>
    <x v="1"/>
    <x v="622"/>
    <n v="12"/>
    <n v="12"/>
    <x v="1"/>
    <x v="1"/>
    <s v="Tomatoes, Red Peppers, Jalapeno Peppers, Red Onions, Cilantro, Corn, Chipotle Sauce, Garlic"/>
    <x v="1"/>
  </r>
  <r>
    <n v="5317"/>
    <n v="2355"/>
    <n v="1"/>
    <s v="mexicana_m"/>
    <n v="1"/>
    <x v="21"/>
    <x v="2"/>
    <x v="623"/>
    <n v="16"/>
    <n v="16"/>
    <x v="0"/>
    <x v="1"/>
    <s v="Tomatoes, Red Peppers, Jalapeno Peppers, Red Onions, Cilantro, Corn, Chipotle Sauce, Garlic"/>
    <x v="1"/>
  </r>
  <r>
    <n v="5318"/>
    <n v="2356"/>
    <n v="1"/>
    <s v="the_greek_s"/>
    <n v="1"/>
    <x v="21"/>
    <x v="2"/>
    <x v="624"/>
    <n v="12"/>
    <n v="12"/>
    <x v="1"/>
    <x v="0"/>
    <s v="Kalamata Olives, Feta Cheese, Tomatoes, Garlic, Beef Chuck Roast, Red Onions"/>
    <x v="2"/>
  </r>
  <r>
    <n v="5319"/>
    <n v="2357"/>
    <n v="1"/>
    <s v="the_greek_xl"/>
    <n v="1"/>
    <x v="21"/>
    <x v="2"/>
    <x v="625"/>
    <n v="25.5"/>
    <n v="25.5"/>
    <x v="3"/>
    <x v="0"/>
    <s v="Kalamata Olives, Feta Cheese, Tomatoes, Garlic, Beef Chuck Roast, Red Onions"/>
    <x v="2"/>
  </r>
  <r>
    <n v="5324"/>
    <n v="2360"/>
    <n v="1"/>
    <s v="sicilian_l"/>
    <n v="1"/>
    <x v="21"/>
    <x v="2"/>
    <x v="626"/>
    <n v="20.25"/>
    <n v="20.25"/>
    <x v="2"/>
    <x v="2"/>
    <s v="Coarse Sicilian Salami, Tomatoes, Green Olives, Luganega Sausage, Onions, Garlic"/>
    <x v="7"/>
  </r>
  <r>
    <n v="5325"/>
    <n v="2361"/>
    <n v="1"/>
    <s v="pepperoni_m"/>
    <n v="1"/>
    <x v="21"/>
    <x v="2"/>
    <x v="627"/>
    <n v="12.5"/>
    <n v="12.5"/>
    <x v="0"/>
    <x v="0"/>
    <s v="Mozzarella Cheese, Pepperoni"/>
    <x v="3"/>
  </r>
  <r>
    <n v="5327"/>
    <n v="2362"/>
    <n v="1"/>
    <s v="napolitana_s"/>
    <n v="1"/>
    <x v="21"/>
    <x v="2"/>
    <x v="628"/>
    <n v="12"/>
    <n v="12"/>
    <x v="1"/>
    <x v="0"/>
    <s v="Tomatoes, Anchovies, Green Olives, Red Onions, Garlic"/>
    <x v="5"/>
  </r>
  <r>
    <n v="5331"/>
    <n v="2363"/>
    <n v="1"/>
    <s v="sicilian_l"/>
    <n v="1"/>
    <x v="21"/>
    <x v="2"/>
    <x v="629"/>
    <n v="20.25"/>
    <n v="20.25"/>
    <x v="2"/>
    <x v="2"/>
    <s v="Coarse Sicilian Salami, Tomatoes, Green Olives, Luganega Sausage, Onions, Garlic"/>
    <x v="7"/>
  </r>
  <r>
    <n v="5334"/>
    <n v="2364"/>
    <n v="0.5"/>
    <s v="hawaiian_l"/>
    <n v="1"/>
    <x v="21"/>
    <x v="2"/>
    <x v="630"/>
    <n v="16.5"/>
    <n v="16.5"/>
    <x v="2"/>
    <x v="0"/>
    <s v="Sliced Ham, Pineapple, Mozzarella Cheese"/>
    <x v="0"/>
  </r>
  <r>
    <n v="5340"/>
    <n v="2364"/>
    <n v="0.5"/>
    <s v="sicilian_l"/>
    <n v="1"/>
    <x v="21"/>
    <x v="2"/>
    <x v="630"/>
    <n v="20.25"/>
    <n v="20.25"/>
    <x v="2"/>
    <x v="2"/>
    <s v="Coarse Sicilian Salami, Tomatoes, Green Olives, Luganega Sausage, Onions, Garlic"/>
    <x v="7"/>
  </r>
  <r>
    <n v="5342"/>
    <n v="2365"/>
    <n v="1"/>
    <s v="hawaiian_l"/>
    <n v="1"/>
    <x v="21"/>
    <x v="2"/>
    <x v="631"/>
    <n v="16.5"/>
    <n v="16.5"/>
    <x v="2"/>
    <x v="0"/>
    <s v="Sliced Ham, Pineapple, Mozzarella Cheese"/>
    <x v="0"/>
  </r>
  <r>
    <n v="5349"/>
    <n v="2369"/>
    <n v="0.2"/>
    <s v="big_meat_s"/>
    <n v="1"/>
    <x v="21"/>
    <x v="2"/>
    <x v="632"/>
    <n v="12"/>
    <n v="12"/>
    <x v="1"/>
    <x v="0"/>
    <s v="Bacon, Pepperoni, Italian Sausage, Chorizo Sausage"/>
    <x v="4"/>
  </r>
  <r>
    <n v="5353"/>
    <n v="2369"/>
    <n v="0.2"/>
    <s v="pepperoni_m"/>
    <n v="1"/>
    <x v="21"/>
    <x v="2"/>
    <x v="632"/>
    <n v="12.5"/>
    <n v="12.5"/>
    <x v="0"/>
    <x v="0"/>
    <s v="Mozzarella Cheese, Pepperoni"/>
    <x v="3"/>
  </r>
  <r>
    <n v="5355"/>
    <n v="2369"/>
    <n v="0.2"/>
    <s v="sicilian_s"/>
    <n v="1"/>
    <x v="21"/>
    <x v="2"/>
    <x v="632"/>
    <n v="12.25"/>
    <n v="12.25"/>
    <x v="1"/>
    <x v="2"/>
    <s v="Coarse Sicilian Salami, Tomatoes, Green Olives, Luganega Sausage, Onions, Garlic"/>
    <x v="7"/>
  </r>
  <r>
    <n v="5359"/>
    <n v="2369"/>
    <n v="0.2"/>
    <s v="the_greek_s"/>
    <n v="1"/>
    <x v="21"/>
    <x v="2"/>
    <x v="632"/>
    <n v="12"/>
    <n v="12"/>
    <x v="1"/>
    <x v="0"/>
    <s v="Kalamata Olives, Feta Cheese, Tomatoes, Garlic, Beef Chuck Roast, Red Onions"/>
    <x v="2"/>
  </r>
  <r>
    <n v="5360"/>
    <n v="2369"/>
    <n v="0.2"/>
    <s v="the_greek_xl"/>
    <n v="1"/>
    <x v="21"/>
    <x v="2"/>
    <x v="632"/>
    <n v="25.5"/>
    <n v="25.5"/>
    <x v="3"/>
    <x v="0"/>
    <s v="Kalamata Olives, Feta Cheese, Tomatoes, Garlic, Beef Chuck Roast, Red Onions"/>
    <x v="2"/>
  </r>
  <r>
    <n v="5364"/>
    <n v="2372"/>
    <n v="1"/>
    <s v="big_meat_s"/>
    <n v="1"/>
    <x v="21"/>
    <x v="2"/>
    <x v="633"/>
    <n v="12"/>
    <n v="12"/>
    <x v="1"/>
    <x v="0"/>
    <s v="Bacon, Pepperoni, Italian Sausage, Chorizo Sausage"/>
    <x v="4"/>
  </r>
  <r>
    <n v="5372"/>
    <n v="2374"/>
    <n v="1"/>
    <s v="pepperoni_m"/>
    <n v="1"/>
    <x v="21"/>
    <x v="2"/>
    <x v="634"/>
    <n v="12.5"/>
    <n v="12.5"/>
    <x v="0"/>
    <x v="0"/>
    <s v="Mozzarella Cheese, Pepperoni"/>
    <x v="3"/>
  </r>
  <r>
    <n v="5374"/>
    <n v="2375"/>
    <n v="1"/>
    <s v="napolitana_l"/>
    <n v="1"/>
    <x v="21"/>
    <x v="2"/>
    <x v="635"/>
    <n v="20.5"/>
    <n v="20.5"/>
    <x v="2"/>
    <x v="0"/>
    <s v="Tomatoes, Anchovies, Green Olives, Red Onions, Garlic"/>
    <x v="5"/>
  </r>
  <r>
    <n v="5380"/>
    <n v="2377"/>
    <n v="1"/>
    <s v="hawaiian_s"/>
    <n v="1"/>
    <x v="21"/>
    <x v="2"/>
    <x v="636"/>
    <n v="10.5"/>
    <n v="10.5"/>
    <x v="1"/>
    <x v="0"/>
    <s v="Sliced Ham, Pineapple, Mozzarella Cheese"/>
    <x v="0"/>
  </r>
  <r>
    <n v="5382"/>
    <n v="2378"/>
    <n v="1"/>
    <s v="napolitana_l"/>
    <n v="1"/>
    <x v="21"/>
    <x v="2"/>
    <x v="637"/>
    <n v="20.5"/>
    <n v="20.5"/>
    <x v="2"/>
    <x v="0"/>
    <s v="Tomatoes, Anchovies, Green Olives, Red Onions, Garlic"/>
    <x v="5"/>
  </r>
  <r>
    <n v="5385"/>
    <n v="2379"/>
    <n v="1"/>
    <s v="mexicana_s"/>
    <n v="1"/>
    <x v="21"/>
    <x v="2"/>
    <x v="638"/>
    <n v="12"/>
    <n v="12"/>
    <x v="1"/>
    <x v="1"/>
    <s v="Tomatoes, Red Peppers, Jalapeno Peppers, Red Onions, Cilantro, Corn, Chipotle Sauce, Garlic"/>
    <x v="1"/>
  </r>
  <r>
    <n v="5387"/>
    <n v="2380"/>
    <n v="1"/>
    <s v="napolitana_m"/>
    <n v="1"/>
    <x v="21"/>
    <x v="2"/>
    <x v="639"/>
    <n v="16"/>
    <n v="16"/>
    <x v="0"/>
    <x v="0"/>
    <s v="Tomatoes, Anchovies, Green Olives, Red Onions, Garlic"/>
    <x v="5"/>
  </r>
  <r>
    <n v="5390"/>
    <n v="2381"/>
    <n v="0.5"/>
    <s v="pepperoni_s"/>
    <n v="1"/>
    <x v="21"/>
    <x v="2"/>
    <x v="640"/>
    <n v="9.75"/>
    <n v="9.75"/>
    <x v="1"/>
    <x v="0"/>
    <s v="Mozzarella Cheese, Pepperoni"/>
    <x v="3"/>
  </r>
  <r>
    <n v="5391"/>
    <n v="2381"/>
    <n v="0.5"/>
    <s v="sicilian_s"/>
    <n v="1"/>
    <x v="21"/>
    <x v="2"/>
    <x v="640"/>
    <n v="12.25"/>
    <n v="12.25"/>
    <x v="1"/>
    <x v="2"/>
    <s v="Coarse Sicilian Salami, Tomatoes, Green Olives, Luganega Sausage, Onions, Garlic"/>
    <x v="7"/>
  </r>
  <r>
    <n v="5393"/>
    <n v="2382"/>
    <n v="0.5"/>
    <s v="big_meat_s"/>
    <n v="1"/>
    <x v="21"/>
    <x v="2"/>
    <x v="641"/>
    <n v="12"/>
    <n v="12"/>
    <x v="1"/>
    <x v="0"/>
    <s v="Bacon, Pepperoni, Italian Sausage, Chorizo Sausage"/>
    <x v="4"/>
  </r>
  <r>
    <n v="5395"/>
    <n v="2382"/>
    <n v="0.5"/>
    <s v="the_greek_s"/>
    <n v="1"/>
    <x v="21"/>
    <x v="2"/>
    <x v="641"/>
    <n v="12"/>
    <n v="12"/>
    <x v="1"/>
    <x v="0"/>
    <s v="Kalamata Olives, Feta Cheese, Tomatoes, Garlic, Beef Chuck Roast, Red Onions"/>
    <x v="2"/>
  </r>
  <r>
    <n v="5396"/>
    <n v="2383"/>
    <n v="1"/>
    <s v="hawaiian_s"/>
    <n v="1"/>
    <x v="21"/>
    <x v="2"/>
    <x v="642"/>
    <n v="10.5"/>
    <n v="10.5"/>
    <x v="1"/>
    <x v="0"/>
    <s v="Sliced Ham, Pineapple, Mozzarella Cheese"/>
    <x v="0"/>
  </r>
  <r>
    <n v="5400"/>
    <n v="2386"/>
    <n v="0.5"/>
    <s v="hawaiian_s"/>
    <n v="1"/>
    <x v="21"/>
    <x v="2"/>
    <x v="643"/>
    <n v="10.5"/>
    <n v="10.5"/>
    <x v="1"/>
    <x v="0"/>
    <s v="Sliced Ham, Pineapple, Mozzarella Cheese"/>
    <x v="0"/>
  </r>
  <r>
    <n v="5401"/>
    <n v="2386"/>
    <n v="0.5"/>
    <s v="mexicana_s"/>
    <n v="1"/>
    <x v="21"/>
    <x v="2"/>
    <x v="643"/>
    <n v="12"/>
    <n v="12"/>
    <x v="1"/>
    <x v="1"/>
    <s v="Tomatoes, Red Peppers, Jalapeno Peppers, Red Onions, Cilantro, Corn, Chipotle Sauce, Garlic"/>
    <x v="1"/>
  </r>
  <r>
    <n v="5407"/>
    <n v="2389"/>
    <n v="1"/>
    <s v="sicilian_l"/>
    <n v="1"/>
    <x v="21"/>
    <x v="2"/>
    <x v="644"/>
    <n v="20.25"/>
    <n v="20.25"/>
    <x v="2"/>
    <x v="2"/>
    <s v="Coarse Sicilian Salami, Tomatoes, Green Olives, Luganega Sausage, Onions, Garlic"/>
    <x v="7"/>
  </r>
  <r>
    <n v="5408"/>
    <n v="2390"/>
    <n v="1"/>
    <s v="mexicana_l"/>
    <n v="1"/>
    <x v="21"/>
    <x v="2"/>
    <x v="645"/>
    <n v="20.25"/>
    <n v="20.25"/>
    <x v="2"/>
    <x v="1"/>
    <s v="Tomatoes, Red Peppers, Jalapeno Peppers, Red Onions, Cilantro, Corn, Chipotle Sauce, Garlic"/>
    <x v="1"/>
  </r>
  <r>
    <n v="5414"/>
    <n v="2393"/>
    <n v="1"/>
    <s v="pepperoni_l"/>
    <n v="1"/>
    <x v="21"/>
    <x v="2"/>
    <x v="646"/>
    <n v="15.25"/>
    <n v="15.25"/>
    <x v="2"/>
    <x v="0"/>
    <s v="Mozzarella Cheese, Pepperoni"/>
    <x v="3"/>
  </r>
  <r>
    <n v="5423"/>
    <n v="2396"/>
    <n v="1"/>
    <s v="the_greek_m"/>
    <n v="1"/>
    <x v="21"/>
    <x v="2"/>
    <x v="647"/>
    <n v="16"/>
    <n v="16"/>
    <x v="0"/>
    <x v="0"/>
    <s v="Kalamata Olives, Feta Cheese, Tomatoes, Garlic, Beef Chuck Roast, Red Onions"/>
    <x v="2"/>
  </r>
  <r>
    <n v="5425"/>
    <n v="2397"/>
    <n v="1"/>
    <s v="napolitana_s"/>
    <n v="1"/>
    <x v="21"/>
    <x v="2"/>
    <x v="648"/>
    <n v="12"/>
    <n v="12"/>
    <x v="1"/>
    <x v="0"/>
    <s v="Tomatoes, Anchovies, Green Olives, Red Onions, Garlic"/>
    <x v="5"/>
  </r>
  <r>
    <n v="5428"/>
    <n v="2398"/>
    <n v="1"/>
    <s v="the_greek_s"/>
    <n v="2"/>
    <x v="21"/>
    <x v="2"/>
    <x v="649"/>
    <n v="12"/>
    <n v="24"/>
    <x v="1"/>
    <x v="0"/>
    <s v="Kalamata Olives, Feta Cheese, Tomatoes, Garlic, Beef Chuck Roast, Red Onions"/>
    <x v="2"/>
  </r>
  <r>
    <n v="5430"/>
    <n v="2399"/>
    <n v="0.5"/>
    <s v="hawaiian_s"/>
    <n v="1"/>
    <x v="21"/>
    <x v="2"/>
    <x v="650"/>
    <n v="10.5"/>
    <n v="10.5"/>
    <x v="1"/>
    <x v="0"/>
    <s v="Sliced Ham, Pineapple, Mozzarella Cheese"/>
    <x v="0"/>
  </r>
  <r>
    <n v="5432"/>
    <n v="2399"/>
    <n v="0.5"/>
    <s v="mexicana_m"/>
    <n v="1"/>
    <x v="21"/>
    <x v="2"/>
    <x v="650"/>
    <n v="16"/>
    <n v="16"/>
    <x v="0"/>
    <x v="1"/>
    <s v="Tomatoes, Red Peppers, Jalapeno Peppers, Red Onions, Cilantro, Corn, Chipotle Sauce, Garlic"/>
    <x v="1"/>
  </r>
  <r>
    <n v="5435"/>
    <n v="2401"/>
    <n v="1"/>
    <s v="sicilian_m"/>
    <n v="1"/>
    <x v="21"/>
    <x v="2"/>
    <x v="651"/>
    <n v="16.25"/>
    <n v="16.25"/>
    <x v="0"/>
    <x v="2"/>
    <s v="Coarse Sicilian Salami, Tomatoes, Green Olives, Luganega Sausage, Onions, Garlic"/>
    <x v="7"/>
  </r>
  <r>
    <n v="5439"/>
    <n v="2403"/>
    <n v="1"/>
    <s v="hawaiian_s"/>
    <n v="1"/>
    <x v="21"/>
    <x v="2"/>
    <x v="652"/>
    <n v="10.5"/>
    <n v="10.5"/>
    <x v="1"/>
    <x v="0"/>
    <s v="Sliced Ham, Pineapple, Mozzarella Cheese"/>
    <x v="0"/>
  </r>
  <r>
    <n v="5442"/>
    <n v="2404"/>
    <n v="1"/>
    <s v="hawaiian_s"/>
    <n v="1"/>
    <x v="21"/>
    <x v="2"/>
    <x v="653"/>
    <n v="10.5"/>
    <n v="10.5"/>
    <x v="1"/>
    <x v="0"/>
    <s v="Sliced Ham, Pineapple, Mozzarella Cheese"/>
    <x v="0"/>
  </r>
  <r>
    <n v="5446"/>
    <n v="2406"/>
    <n v="0.5"/>
    <s v="big_meat_s"/>
    <n v="1"/>
    <x v="21"/>
    <x v="2"/>
    <x v="654"/>
    <n v="12"/>
    <n v="12"/>
    <x v="1"/>
    <x v="0"/>
    <s v="Bacon, Pepperoni, Italian Sausage, Chorizo Sausage"/>
    <x v="4"/>
  </r>
  <r>
    <n v="5447"/>
    <n v="2406"/>
    <n v="0.5"/>
    <s v="pepperoni_l"/>
    <n v="1"/>
    <x v="21"/>
    <x v="2"/>
    <x v="654"/>
    <n v="15.25"/>
    <n v="15.25"/>
    <x v="2"/>
    <x v="0"/>
    <s v="Mozzarella Cheese, Pepperoni"/>
    <x v="3"/>
  </r>
  <r>
    <n v="5452"/>
    <n v="2409"/>
    <n v="0.5"/>
    <s v="pepperoni_l"/>
    <n v="1"/>
    <x v="22"/>
    <x v="3"/>
    <x v="655"/>
    <n v="15.25"/>
    <n v="15.25"/>
    <x v="2"/>
    <x v="0"/>
    <s v="Mozzarella Cheese, Pepperoni"/>
    <x v="3"/>
  </r>
  <r>
    <n v="5454"/>
    <n v="2409"/>
    <n v="0.5"/>
    <s v="the_greek_l"/>
    <n v="1"/>
    <x v="22"/>
    <x v="3"/>
    <x v="655"/>
    <n v="20.5"/>
    <n v="20.5"/>
    <x v="2"/>
    <x v="0"/>
    <s v="Kalamata Olives, Feta Cheese, Tomatoes, Garlic, Beef Chuck Roast, Red Onions"/>
    <x v="2"/>
  </r>
  <r>
    <n v="5455"/>
    <n v="2410"/>
    <n v="1"/>
    <s v="napolitana_s"/>
    <n v="1"/>
    <x v="22"/>
    <x v="3"/>
    <x v="656"/>
    <n v="12"/>
    <n v="12"/>
    <x v="1"/>
    <x v="0"/>
    <s v="Tomatoes, Anchovies, Green Olives, Red Onions, Garlic"/>
    <x v="5"/>
  </r>
  <r>
    <n v="5458"/>
    <n v="2411"/>
    <n v="1"/>
    <s v="calabrese_m"/>
    <n v="1"/>
    <x v="22"/>
    <x v="3"/>
    <x v="657"/>
    <n v="16.25"/>
    <n v="16.25"/>
    <x v="0"/>
    <x v="2"/>
    <s v="?duja Salami, Pancetta, Tomatoes, Red Onions, Friggitello Peppers, Garlic"/>
    <x v="6"/>
  </r>
  <r>
    <n v="5462"/>
    <n v="2415"/>
    <n v="1"/>
    <s v="sicilian_s"/>
    <n v="1"/>
    <x v="22"/>
    <x v="3"/>
    <x v="658"/>
    <n v="12.25"/>
    <n v="12.25"/>
    <x v="1"/>
    <x v="2"/>
    <s v="Coarse Sicilian Salami, Tomatoes, Green Olives, Luganega Sausage, Onions, Garlic"/>
    <x v="7"/>
  </r>
  <r>
    <n v="5468"/>
    <n v="2417"/>
    <n v="1"/>
    <s v="napolitana_s"/>
    <n v="1"/>
    <x v="22"/>
    <x v="3"/>
    <x v="659"/>
    <n v="12"/>
    <n v="12"/>
    <x v="1"/>
    <x v="0"/>
    <s v="Tomatoes, Anchovies, Green Olives, Red Onions, Garlic"/>
    <x v="5"/>
  </r>
  <r>
    <n v="5471"/>
    <n v="2419"/>
    <n v="1"/>
    <s v="sicilian_m"/>
    <n v="1"/>
    <x v="22"/>
    <x v="3"/>
    <x v="660"/>
    <n v="16.25"/>
    <n v="16.25"/>
    <x v="0"/>
    <x v="2"/>
    <s v="Coarse Sicilian Salami, Tomatoes, Green Olives, Luganega Sausage, Onions, Garlic"/>
    <x v="7"/>
  </r>
  <r>
    <n v="5476"/>
    <n v="2422"/>
    <n v="1"/>
    <s v="pepperoni_m"/>
    <n v="1"/>
    <x v="22"/>
    <x v="3"/>
    <x v="487"/>
    <n v="12.5"/>
    <n v="12.5"/>
    <x v="0"/>
    <x v="0"/>
    <s v="Mozzarella Cheese, Pepperoni"/>
    <x v="3"/>
  </r>
  <r>
    <n v="5478"/>
    <n v="2423"/>
    <n v="0.5"/>
    <s v="hawaiian_m"/>
    <n v="1"/>
    <x v="22"/>
    <x v="3"/>
    <x v="661"/>
    <n v="13.25"/>
    <n v="13.25"/>
    <x v="0"/>
    <x v="0"/>
    <s v="Sliced Ham, Pineapple, Mozzarella Cheese"/>
    <x v="0"/>
  </r>
  <r>
    <n v="5479"/>
    <n v="2423"/>
    <n v="0.5"/>
    <s v="napolitana_m"/>
    <n v="1"/>
    <x v="22"/>
    <x v="3"/>
    <x v="661"/>
    <n v="16"/>
    <n v="16"/>
    <x v="0"/>
    <x v="0"/>
    <s v="Tomatoes, Anchovies, Green Olives, Red Onions, Garlic"/>
    <x v="5"/>
  </r>
  <r>
    <n v="5481"/>
    <n v="2424"/>
    <n v="0.5"/>
    <s v="brie_carre_s"/>
    <n v="1"/>
    <x v="22"/>
    <x v="3"/>
    <x v="662"/>
    <n v="23.65"/>
    <n v="23.65"/>
    <x v="1"/>
    <x v="2"/>
    <s v="Brie Carre Cheese, Prosciutto, Caramelized Onions, Pears, Thyme, Garlic"/>
    <x v="8"/>
  </r>
  <r>
    <n v="5482"/>
    <n v="2424"/>
    <n v="0.5"/>
    <s v="napolitana_m"/>
    <n v="1"/>
    <x v="22"/>
    <x v="3"/>
    <x v="662"/>
    <n v="16"/>
    <n v="16"/>
    <x v="0"/>
    <x v="0"/>
    <s v="Tomatoes, Anchovies, Green Olives, Red Onions, Garlic"/>
    <x v="5"/>
  </r>
  <r>
    <n v="5488"/>
    <n v="2428"/>
    <n v="1"/>
    <s v="sicilian_l"/>
    <n v="1"/>
    <x v="22"/>
    <x v="3"/>
    <x v="663"/>
    <n v="20.25"/>
    <n v="20.25"/>
    <x v="2"/>
    <x v="2"/>
    <s v="Coarse Sicilian Salami, Tomatoes, Green Olives, Luganega Sausage, Onions, Garlic"/>
    <x v="7"/>
  </r>
  <r>
    <n v="5490"/>
    <n v="2430"/>
    <n v="0.5"/>
    <s v="mexicana_l"/>
    <n v="1"/>
    <x v="22"/>
    <x v="3"/>
    <x v="664"/>
    <n v="20.25"/>
    <n v="20.25"/>
    <x v="2"/>
    <x v="1"/>
    <s v="Tomatoes, Red Peppers, Jalapeno Peppers, Red Onions, Cilantro, Corn, Chipotle Sauce, Garlic"/>
    <x v="1"/>
  </r>
  <r>
    <n v="5491"/>
    <n v="2430"/>
    <n v="0.5"/>
    <s v="napolitana_l"/>
    <n v="1"/>
    <x v="22"/>
    <x v="3"/>
    <x v="664"/>
    <n v="20.5"/>
    <n v="20.5"/>
    <x v="2"/>
    <x v="0"/>
    <s v="Tomatoes, Anchovies, Green Olives, Red Onions, Garlic"/>
    <x v="5"/>
  </r>
  <r>
    <n v="5497"/>
    <n v="2431"/>
    <n v="0.33333333333333331"/>
    <s v="napolitana_l"/>
    <n v="1"/>
    <x v="22"/>
    <x v="3"/>
    <x v="665"/>
    <n v="20.5"/>
    <n v="20.5"/>
    <x v="2"/>
    <x v="0"/>
    <s v="Tomatoes, Anchovies, Green Olives, Red Onions, Garlic"/>
    <x v="5"/>
  </r>
  <r>
    <n v="5498"/>
    <n v="2431"/>
    <n v="0.33333333333333331"/>
    <s v="sicilian_m"/>
    <n v="1"/>
    <x v="22"/>
    <x v="3"/>
    <x v="665"/>
    <n v="16.25"/>
    <n v="16.25"/>
    <x v="0"/>
    <x v="2"/>
    <s v="Coarse Sicilian Salami, Tomatoes, Green Olives, Luganega Sausage, Onions, Garlic"/>
    <x v="7"/>
  </r>
  <r>
    <n v="5499"/>
    <n v="2431"/>
    <n v="0.33333333333333331"/>
    <s v="sicilian_s"/>
    <n v="2"/>
    <x v="22"/>
    <x v="3"/>
    <x v="665"/>
    <n v="12.25"/>
    <n v="24.5"/>
    <x v="1"/>
    <x v="2"/>
    <s v="Coarse Sicilian Salami, Tomatoes, Green Olives, Luganega Sausage, Onions, Garlic"/>
    <x v="7"/>
  </r>
  <r>
    <n v="5503"/>
    <n v="2432"/>
    <n v="0.5"/>
    <s v="sicilian_s"/>
    <n v="1"/>
    <x v="22"/>
    <x v="3"/>
    <x v="666"/>
    <n v="12.25"/>
    <n v="12.25"/>
    <x v="1"/>
    <x v="2"/>
    <s v="Coarse Sicilian Salami, Tomatoes, Green Olives, Luganega Sausage, Onions, Garlic"/>
    <x v="7"/>
  </r>
  <r>
    <n v="5504"/>
    <n v="2432"/>
    <n v="0.5"/>
    <s v="the_greek_xl"/>
    <n v="1"/>
    <x v="22"/>
    <x v="3"/>
    <x v="666"/>
    <n v="25.5"/>
    <n v="25.5"/>
    <x v="3"/>
    <x v="0"/>
    <s v="Kalamata Olives, Feta Cheese, Tomatoes, Garlic, Beef Chuck Roast, Red Onions"/>
    <x v="2"/>
  </r>
  <r>
    <n v="5509"/>
    <n v="2435"/>
    <n v="1"/>
    <s v="mexicana_m"/>
    <n v="1"/>
    <x v="22"/>
    <x v="3"/>
    <x v="667"/>
    <n v="16"/>
    <n v="16"/>
    <x v="0"/>
    <x v="1"/>
    <s v="Tomatoes, Red Peppers, Jalapeno Peppers, Red Onions, Cilantro, Corn, Chipotle Sauce, Garlic"/>
    <x v="1"/>
  </r>
  <r>
    <n v="5513"/>
    <n v="2437"/>
    <n v="1"/>
    <s v="sicilian_s"/>
    <n v="1"/>
    <x v="22"/>
    <x v="3"/>
    <x v="668"/>
    <n v="12.25"/>
    <n v="12.25"/>
    <x v="1"/>
    <x v="2"/>
    <s v="Coarse Sicilian Salami, Tomatoes, Green Olives, Luganega Sausage, Onions, Garlic"/>
    <x v="7"/>
  </r>
  <r>
    <n v="5514"/>
    <n v="2438"/>
    <n v="1"/>
    <s v="sicilian_s"/>
    <n v="1"/>
    <x v="22"/>
    <x v="3"/>
    <x v="669"/>
    <n v="12.25"/>
    <n v="12.25"/>
    <x v="1"/>
    <x v="2"/>
    <s v="Coarse Sicilian Salami, Tomatoes, Green Olives, Luganega Sausage, Onions, Garlic"/>
    <x v="7"/>
  </r>
  <r>
    <n v="5515"/>
    <n v="2439"/>
    <n v="1"/>
    <s v="napolitana_l"/>
    <n v="1"/>
    <x v="22"/>
    <x v="3"/>
    <x v="670"/>
    <n v="20.5"/>
    <n v="20.5"/>
    <x v="2"/>
    <x v="0"/>
    <s v="Tomatoes, Anchovies, Green Olives, Red Onions, Garlic"/>
    <x v="5"/>
  </r>
  <r>
    <n v="5519"/>
    <n v="2440"/>
    <n v="1"/>
    <s v="pepperoni_s"/>
    <n v="1"/>
    <x v="22"/>
    <x v="3"/>
    <x v="671"/>
    <n v="9.75"/>
    <n v="9.75"/>
    <x v="1"/>
    <x v="0"/>
    <s v="Mozzarella Cheese, Pepperoni"/>
    <x v="3"/>
  </r>
  <r>
    <n v="5522"/>
    <n v="2442"/>
    <n v="1"/>
    <s v="brie_carre_s"/>
    <n v="1"/>
    <x v="22"/>
    <x v="3"/>
    <x v="672"/>
    <n v="23.65"/>
    <n v="23.65"/>
    <x v="1"/>
    <x v="2"/>
    <s v="Brie Carre Cheese, Prosciutto, Caramelized Onions, Pears, Thyme, Garlic"/>
    <x v="8"/>
  </r>
  <r>
    <n v="5526"/>
    <n v="2444"/>
    <n v="1"/>
    <s v="pepperoni_s"/>
    <n v="1"/>
    <x v="22"/>
    <x v="3"/>
    <x v="673"/>
    <n v="9.75"/>
    <n v="9.75"/>
    <x v="1"/>
    <x v="0"/>
    <s v="Mozzarella Cheese, Pepperoni"/>
    <x v="3"/>
  </r>
  <r>
    <n v="5527"/>
    <n v="2445"/>
    <n v="0.5"/>
    <s v="big_meat_s"/>
    <n v="1"/>
    <x v="22"/>
    <x v="3"/>
    <x v="674"/>
    <n v="12"/>
    <n v="12"/>
    <x v="1"/>
    <x v="0"/>
    <s v="Bacon, Pepperoni, Italian Sausage, Chorizo Sausage"/>
    <x v="4"/>
  </r>
  <r>
    <n v="5529"/>
    <n v="2445"/>
    <n v="0.5"/>
    <s v="mexicana_l"/>
    <n v="1"/>
    <x v="22"/>
    <x v="3"/>
    <x v="674"/>
    <n v="20.25"/>
    <n v="20.25"/>
    <x v="2"/>
    <x v="1"/>
    <s v="Tomatoes, Red Peppers, Jalapeno Peppers, Red Onions, Cilantro, Corn, Chipotle Sauce, Garlic"/>
    <x v="1"/>
  </r>
  <r>
    <n v="5539"/>
    <n v="2451"/>
    <n v="1"/>
    <s v="pepperoni_m"/>
    <n v="1"/>
    <x v="22"/>
    <x v="3"/>
    <x v="675"/>
    <n v="12.5"/>
    <n v="12.5"/>
    <x v="0"/>
    <x v="0"/>
    <s v="Mozzarella Cheese, Pepperoni"/>
    <x v="3"/>
  </r>
  <r>
    <n v="5547"/>
    <n v="2455"/>
    <n v="0.5"/>
    <s v="mexicana_l"/>
    <n v="1"/>
    <x v="22"/>
    <x v="3"/>
    <x v="676"/>
    <n v="20.25"/>
    <n v="20.25"/>
    <x v="2"/>
    <x v="1"/>
    <s v="Tomatoes, Red Peppers, Jalapeno Peppers, Red Onions, Cilantro, Corn, Chipotle Sauce, Garlic"/>
    <x v="1"/>
  </r>
  <r>
    <n v="5550"/>
    <n v="2455"/>
    <n v="0.5"/>
    <s v="the_greek_s"/>
    <n v="1"/>
    <x v="22"/>
    <x v="3"/>
    <x v="676"/>
    <n v="12"/>
    <n v="12"/>
    <x v="1"/>
    <x v="0"/>
    <s v="Kalamata Olives, Feta Cheese, Tomatoes, Garlic, Beef Chuck Roast, Red Onions"/>
    <x v="2"/>
  </r>
  <r>
    <n v="5554"/>
    <n v="2456"/>
    <n v="1"/>
    <s v="pepperoni_m"/>
    <n v="1"/>
    <x v="22"/>
    <x v="3"/>
    <x v="677"/>
    <n v="12.5"/>
    <n v="12.5"/>
    <x v="0"/>
    <x v="0"/>
    <s v="Mozzarella Cheese, Pepperoni"/>
    <x v="3"/>
  </r>
  <r>
    <n v="5555"/>
    <n v="2457"/>
    <n v="1"/>
    <s v="napolitana_l"/>
    <n v="1"/>
    <x v="22"/>
    <x v="3"/>
    <x v="678"/>
    <n v="20.5"/>
    <n v="20.5"/>
    <x v="2"/>
    <x v="0"/>
    <s v="Tomatoes, Anchovies, Green Olives, Red Onions, Garlic"/>
    <x v="5"/>
  </r>
  <r>
    <n v="5557"/>
    <n v="2458"/>
    <n v="1"/>
    <s v="pepperoni_l"/>
    <n v="1"/>
    <x v="22"/>
    <x v="3"/>
    <x v="679"/>
    <n v="15.25"/>
    <n v="15.25"/>
    <x v="2"/>
    <x v="0"/>
    <s v="Mozzarella Cheese, Pepperoni"/>
    <x v="3"/>
  </r>
  <r>
    <n v="5562"/>
    <n v="2460"/>
    <n v="1"/>
    <s v="napolitana_s"/>
    <n v="1"/>
    <x v="22"/>
    <x v="3"/>
    <x v="680"/>
    <n v="12"/>
    <n v="12"/>
    <x v="1"/>
    <x v="0"/>
    <s v="Tomatoes, Anchovies, Green Olives, Red Onions, Garlic"/>
    <x v="5"/>
  </r>
  <r>
    <n v="5567"/>
    <n v="2463"/>
    <n v="1"/>
    <s v="sicilian_l"/>
    <n v="1"/>
    <x v="22"/>
    <x v="3"/>
    <x v="681"/>
    <n v="20.25"/>
    <n v="20.25"/>
    <x v="2"/>
    <x v="2"/>
    <s v="Coarse Sicilian Salami, Tomatoes, Green Olives, Luganega Sausage, Onions, Garlic"/>
    <x v="7"/>
  </r>
  <r>
    <n v="5569"/>
    <n v="2465"/>
    <n v="0.5"/>
    <s v="brie_carre_s"/>
    <n v="1"/>
    <x v="22"/>
    <x v="3"/>
    <x v="682"/>
    <n v="23.65"/>
    <n v="23.65"/>
    <x v="1"/>
    <x v="2"/>
    <s v="Brie Carre Cheese, Prosciutto, Caramelized Onions, Pears, Thyme, Garlic"/>
    <x v="8"/>
  </r>
  <r>
    <n v="5570"/>
    <n v="2465"/>
    <n v="0.5"/>
    <s v="sicilian_m"/>
    <n v="1"/>
    <x v="22"/>
    <x v="3"/>
    <x v="682"/>
    <n v="16.25"/>
    <n v="16.25"/>
    <x v="0"/>
    <x v="2"/>
    <s v="Coarse Sicilian Salami, Tomatoes, Green Olives, Luganega Sausage, Onions, Garlic"/>
    <x v="7"/>
  </r>
  <r>
    <n v="5576"/>
    <n v="2470"/>
    <n v="1"/>
    <s v="pepperoni_m"/>
    <n v="1"/>
    <x v="23"/>
    <x v="4"/>
    <x v="683"/>
    <n v="12.5"/>
    <n v="12.5"/>
    <x v="0"/>
    <x v="0"/>
    <s v="Mozzarella Cheese, Pepperoni"/>
    <x v="3"/>
  </r>
  <r>
    <n v="5577"/>
    <n v="2471"/>
    <n v="0.5"/>
    <s v="big_meat_s"/>
    <n v="1"/>
    <x v="23"/>
    <x v="4"/>
    <x v="684"/>
    <n v="12"/>
    <n v="12"/>
    <x v="1"/>
    <x v="0"/>
    <s v="Bacon, Pepperoni, Italian Sausage, Chorizo Sausage"/>
    <x v="4"/>
  </r>
  <r>
    <n v="5583"/>
    <n v="2471"/>
    <n v="0.5"/>
    <s v="hawaiian_s"/>
    <n v="2"/>
    <x v="23"/>
    <x v="4"/>
    <x v="684"/>
    <n v="10.5"/>
    <n v="21"/>
    <x v="1"/>
    <x v="0"/>
    <s v="Sliced Ham, Pineapple, Mozzarella Cheese"/>
    <x v="0"/>
  </r>
  <r>
    <n v="5590"/>
    <n v="2476"/>
    <n v="1"/>
    <s v="hawaiian_s"/>
    <n v="1"/>
    <x v="23"/>
    <x v="4"/>
    <x v="685"/>
    <n v="10.5"/>
    <n v="10.5"/>
    <x v="1"/>
    <x v="0"/>
    <s v="Sliced Ham, Pineapple, Mozzarella Cheese"/>
    <x v="0"/>
  </r>
  <r>
    <n v="5593"/>
    <n v="2478"/>
    <n v="1"/>
    <s v="pepperoni_l"/>
    <n v="1"/>
    <x v="23"/>
    <x v="4"/>
    <x v="686"/>
    <n v="15.25"/>
    <n v="15.25"/>
    <x v="2"/>
    <x v="0"/>
    <s v="Mozzarella Cheese, Pepperoni"/>
    <x v="3"/>
  </r>
  <r>
    <n v="5598"/>
    <n v="2479"/>
    <n v="1"/>
    <s v="the_greek_m"/>
    <n v="1"/>
    <x v="23"/>
    <x v="4"/>
    <x v="687"/>
    <n v="16"/>
    <n v="16"/>
    <x v="0"/>
    <x v="0"/>
    <s v="Kalamata Olives, Feta Cheese, Tomatoes, Garlic, Beef Chuck Roast, Red Onions"/>
    <x v="2"/>
  </r>
  <r>
    <n v="5600"/>
    <n v="2480"/>
    <n v="1"/>
    <s v="pepperoni_s"/>
    <n v="1"/>
    <x v="23"/>
    <x v="4"/>
    <x v="688"/>
    <n v="9.75"/>
    <n v="9.75"/>
    <x v="1"/>
    <x v="0"/>
    <s v="Mozzarella Cheese, Pepperoni"/>
    <x v="3"/>
  </r>
  <r>
    <n v="5604"/>
    <n v="2483"/>
    <n v="1"/>
    <s v="pepperoni_s"/>
    <n v="1"/>
    <x v="23"/>
    <x v="4"/>
    <x v="689"/>
    <n v="9.75"/>
    <n v="9.75"/>
    <x v="1"/>
    <x v="0"/>
    <s v="Mozzarella Cheese, Pepperoni"/>
    <x v="3"/>
  </r>
  <r>
    <n v="5605"/>
    <n v="2484"/>
    <n v="1"/>
    <s v="mexicana_l"/>
    <n v="1"/>
    <x v="23"/>
    <x v="4"/>
    <x v="690"/>
    <n v="20.25"/>
    <n v="20.25"/>
    <x v="2"/>
    <x v="1"/>
    <s v="Tomatoes, Red Peppers, Jalapeno Peppers, Red Onions, Cilantro, Corn, Chipotle Sauce, Garlic"/>
    <x v="1"/>
  </r>
  <r>
    <n v="5608"/>
    <n v="2485"/>
    <n v="0.5"/>
    <s v="mexicana_l"/>
    <n v="1"/>
    <x v="23"/>
    <x v="4"/>
    <x v="691"/>
    <n v="20.25"/>
    <n v="20.25"/>
    <x v="2"/>
    <x v="1"/>
    <s v="Tomatoes, Red Peppers, Jalapeno Peppers, Red Onions, Cilantro, Corn, Chipotle Sauce, Garlic"/>
    <x v="1"/>
  </r>
  <r>
    <n v="5609"/>
    <n v="2485"/>
    <n v="0.5"/>
    <s v="pepperoni_m"/>
    <n v="1"/>
    <x v="23"/>
    <x v="4"/>
    <x v="691"/>
    <n v="12.5"/>
    <n v="12.5"/>
    <x v="0"/>
    <x v="0"/>
    <s v="Mozzarella Cheese, Pepperoni"/>
    <x v="3"/>
  </r>
  <r>
    <n v="5614"/>
    <n v="2487"/>
    <n v="1"/>
    <s v="the_greek_xl"/>
    <n v="1"/>
    <x v="23"/>
    <x v="4"/>
    <x v="692"/>
    <n v="25.5"/>
    <n v="25.5"/>
    <x v="3"/>
    <x v="0"/>
    <s v="Kalamata Olives, Feta Cheese, Tomatoes, Garlic, Beef Chuck Roast, Red Onions"/>
    <x v="2"/>
  </r>
  <r>
    <n v="5622"/>
    <n v="2491"/>
    <n v="1"/>
    <s v="hawaiian_l"/>
    <n v="1"/>
    <x v="23"/>
    <x v="4"/>
    <x v="693"/>
    <n v="16.5"/>
    <n v="16.5"/>
    <x v="2"/>
    <x v="0"/>
    <s v="Sliced Ham, Pineapple, Mozzarella Cheese"/>
    <x v="0"/>
  </r>
  <r>
    <n v="5628"/>
    <n v="2493"/>
    <n v="1"/>
    <s v="big_meat_s"/>
    <n v="1"/>
    <x v="23"/>
    <x v="4"/>
    <x v="694"/>
    <n v="12"/>
    <n v="12"/>
    <x v="1"/>
    <x v="0"/>
    <s v="Bacon, Pepperoni, Italian Sausage, Chorizo Sausage"/>
    <x v="4"/>
  </r>
  <r>
    <n v="5631"/>
    <n v="2495"/>
    <n v="1"/>
    <s v="hawaiian_m"/>
    <n v="1"/>
    <x v="23"/>
    <x v="4"/>
    <x v="695"/>
    <n v="13.25"/>
    <n v="13.25"/>
    <x v="0"/>
    <x v="0"/>
    <s v="Sliced Ham, Pineapple, Mozzarella Cheese"/>
    <x v="0"/>
  </r>
  <r>
    <n v="5635"/>
    <n v="2497"/>
    <n v="0.33333333333333331"/>
    <s v="calabrese_m"/>
    <n v="1"/>
    <x v="23"/>
    <x v="4"/>
    <x v="696"/>
    <n v="16.25"/>
    <n v="16.25"/>
    <x v="0"/>
    <x v="2"/>
    <s v="?duja Salami, Pancetta, Tomatoes, Red Onions, Friggitello Peppers, Garlic"/>
    <x v="6"/>
  </r>
  <r>
    <n v="5637"/>
    <n v="2497"/>
    <n v="0.33333333333333331"/>
    <s v="mexicana_m"/>
    <n v="1"/>
    <x v="23"/>
    <x v="4"/>
    <x v="696"/>
    <n v="16"/>
    <n v="16"/>
    <x v="0"/>
    <x v="1"/>
    <s v="Tomatoes, Red Peppers, Jalapeno Peppers, Red Onions, Cilantro, Corn, Chipotle Sauce, Garlic"/>
    <x v="1"/>
  </r>
  <r>
    <n v="5638"/>
    <n v="2497"/>
    <n v="0.33333333333333331"/>
    <s v="pepperoni_l"/>
    <n v="1"/>
    <x v="23"/>
    <x v="4"/>
    <x v="696"/>
    <n v="15.25"/>
    <n v="15.25"/>
    <x v="2"/>
    <x v="0"/>
    <s v="Mozzarella Cheese, Pepperoni"/>
    <x v="3"/>
  </r>
  <r>
    <n v="5646"/>
    <n v="2503"/>
    <n v="1"/>
    <s v="sicilian_s"/>
    <n v="1"/>
    <x v="23"/>
    <x v="4"/>
    <x v="697"/>
    <n v="12.25"/>
    <n v="12.25"/>
    <x v="1"/>
    <x v="2"/>
    <s v="Coarse Sicilian Salami, Tomatoes, Green Olives, Luganega Sausage, Onions, Garlic"/>
    <x v="7"/>
  </r>
  <r>
    <n v="5648"/>
    <n v="2504"/>
    <n v="1"/>
    <s v="pepperoni_s"/>
    <n v="1"/>
    <x v="23"/>
    <x v="4"/>
    <x v="698"/>
    <n v="9.75"/>
    <n v="9.75"/>
    <x v="1"/>
    <x v="0"/>
    <s v="Mozzarella Cheese, Pepperoni"/>
    <x v="3"/>
  </r>
  <r>
    <n v="5655"/>
    <n v="2506"/>
    <n v="1"/>
    <s v="pepperoni_s"/>
    <n v="1"/>
    <x v="23"/>
    <x v="4"/>
    <x v="699"/>
    <n v="9.75"/>
    <n v="9.75"/>
    <x v="1"/>
    <x v="0"/>
    <s v="Mozzarella Cheese, Pepperoni"/>
    <x v="3"/>
  </r>
  <r>
    <n v="5658"/>
    <n v="2507"/>
    <n v="0.5"/>
    <s v="hawaiian_l"/>
    <n v="1"/>
    <x v="23"/>
    <x v="4"/>
    <x v="700"/>
    <n v="16.5"/>
    <n v="16.5"/>
    <x v="2"/>
    <x v="0"/>
    <s v="Sliced Ham, Pineapple, Mozzarella Cheese"/>
    <x v="0"/>
  </r>
  <r>
    <n v="5659"/>
    <n v="2507"/>
    <n v="0.5"/>
    <s v="sicilian_s"/>
    <n v="1"/>
    <x v="23"/>
    <x v="4"/>
    <x v="700"/>
    <n v="12.25"/>
    <n v="12.25"/>
    <x v="1"/>
    <x v="2"/>
    <s v="Coarse Sicilian Salami, Tomatoes, Green Olives, Luganega Sausage, Onions, Garlic"/>
    <x v="7"/>
  </r>
  <r>
    <n v="5661"/>
    <n v="2508"/>
    <n v="1"/>
    <s v="hawaiian_s"/>
    <n v="1"/>
    <x v="23"/>
    <x v="4"/>
    <x v="701"/>
    <n v="10.5"/>
    <n v="10.5"/>
    <x v="1"/>
    <x v="0"/>
    <s v="Sliced Ham, Pineapple, Mozzarella Cheese"/>
    <x v="0"/>
  </r>
  <r>
    <n v="5663"/>
    <n v="2510"/>
    <n v="1"/>
    <s v="calabrese_l"/>
    <n v="1"/>
    <x v="23"/>
    <x v="4"/>
    <x v="702"/>
    <n v="20.25"/>
    <n v="20.25"/>
    <x v="2"/>
    <x v="2"/>
    <s v="?duja Salami, Pancetta, Tomatoes, Red Onions, Friggitello Peppers, Garlic"/>
    <x v="6"/>
  </r>
  <r>
    <n v="5664"/>
    <n v="2511"/>
    <n v="0.33333333333333331"/>
    <s v="hawaiian_l"/>
    <n v="1"/>
    <x v="23"/>
    <x v="4"/>
    <x v="703"/>
    <n v="16.5"/>
    <n v="16.5"/>
    <x v="2"/>
    <x v="0"/>
    <s v="Sliced Ham, Pineapple, Mozzarella Cheese"/>
    <x v="0"/>
  </r>
  <r>
    <n v="5665"/>
    <n v="2511"/>
    <n v="0.33333333333333331"/>
    <s v="mexicana_l"/>
    <n v="1"/>
    <x v="23"/>
    <x v="4"/>
    <x v="703"/>
    <n v="20.25"/>
    <n v="20.25"/>
    <x v="2"/>
    <x v="1"/>
    <s v="Tomatoes, Red Peppers, Jalapeno Peppers, Red Onions, Cilantro, Corn, Chipotle Sauce, Garlic"/>
    <x v="1"/>
  </r>
  <r>
    <n v="5666"/>
    <n v="2511"/>
    <n v="0.33333333333333331"/>
    <s v="pepperoni_m"/>
    <n v="1"/>
    <x v="23"/>
    <x v="4"/>
    <x v="703"/>
    <n v="12.5"/>
    <n v="12.5"/>
    <x v="0"/>
    <x v="0"/>
    <s v="Mozzarella Cheese, Pepperoni"/>
    <x v="3"/>
  </r>
  <r>
    <n v="5667"/>
    <n v="2512"/>
    <n v="0.25"/>
    <s v="big_meat_s"/>
    <n v="1"/>
    <x v="23"/>
    <x v="4"/>
    <x v="245"/>
    <n v="12"/>
    <n v="12"/>
    <x v="1"/>
    <x v="0"/>
    <s v="Bacon, Pepperoni, Italian Sausage, Chorizo Sausage"/>
    <x v="4"/>
  </r>
  <r>
    <n v="5668"/>
    <n v="2512"/>
    <n v="0.25"/>
    <s v="hawaiian_s"/>
    <n v="1"/>
    <x v="23"/>
    <x v="4"/>
    <x v="245"/>
    <n v="10.5"/>
    <n v="10.5"/>
    <x v="1"/>
    <x v="0"/>
    <s v="Sliced Ham, Pineapple, Mozzarella Cheese"/>
    <x v="0"/>
  </r>
  <r>
    <n v="5669"/>
    <n v="2512"/>
    <n v="0.25"/>
    <s v="mexicana_l"/>
    <n v="1"/>
    <x v="23"/>
    <x v="4"/>
    <x v="245"/>
    <n v="20.25"/>
    <n v="20.25"/>
    <x v="2"/>
    <x v="1"/>
    <s v="Tomatoes, Red Peppers, Jalapeno Peppers, Red Onions, Cilantro, Corn, Chipotle Sauce, Garlic"/>
    <x v="1"/>
  </r>
  <r>
    <n v="5670"/>
    <n v="2512"/>
    <n v="0.25"/>
    <s v="sicilian_s"/>
    <n v="1"/>
    <x v="23"/>
    <x v="4"/>
    <x v="245"/>
    <n v="12.25"/>
    <n v="12.25"/>
    <x v="1"/>
    <x v="2"/>
    <s v="Coarse Sicilian Salami, Tomatoes, Green Olives, Luganega Sausage, Onions, Garlic"/>
    <x v="7"/>
  </r>
  <r>
    <n v="5671"/>
    <n v="2513"/>
    <n v="1"/>
    <s v="sicilian_m"/>
    <n v="1"/>
    <x v="23"/>
    <x v="4"/>
    <x v="704"/>
    <n v="16.25"/>
    <n v="16.25"/>
    <x v="0"/>
    <x v="2"/>
    <s v="Coarse Sicilian Salami, Tomatoes, Green Olives, Luganega Sausage, Onions, Garlic"/>
    <x v="7"/>
  </r>
  <r>
    <n v="5672"/>
    <n v="2514"/>
    <n v="1"/>
    <s v="hawaiian_s"/>
    <n v="1"/>
    <x v="23"/>
    <x v="4"/>
    <x v="705"/>
    <n v="10.5"/>
    <n v="10.5"/>
    <x v="1"/>
    <x v="0"/>
    <s v="Sliced Ham, Pineapple, Mozzarella Cheese"/>
    <x v="0"/>
  </r>
  <r>
    <n v="5676"/>
    <n v="2515"/>
    <n v="1"/>
    <s v="sicilian_l"/>
    <n v="1"/>
    <x v="23"/>
    <x v="4"/>
    <x v="706"/>
    <n v="20.25"/>
    <n v="20.25"/>
    <x v="2"/>
    <x v="2"/>
    <s v="Coarse Sicilian Salami, Tomatoes, Green Olives, Luganega Sausage, Onions, Garlic"/>
    <x v="7"/>
  </r>
  <r>
    <n v="5681"/>
    <n v="2518"/>
    <n v="1"/>
    <s v="calabrese_m"/>
    <n v="1"/>
    <x v="23"/>
    <x v="4"/>
    <x v="707"/>
    <n v="16.25"/>
    <n v="16.25"/>
    <x v="0"/>
    <x v="2"/>
    <s v="?duja Salami, Pancetta, Tomatoes, Red Onions, Friggitello Peppers, Garlic"/>
    <x v="6"/>
  </r>
  <r>
    <n v="5685"/>
    <n v="2519"/>
    <n v="1"/>
    <s v="pepperoni_l"/>
    <n v="1"/>
    <x v="23"/>
    <x v="4"/>
    <x v="708"/>
    <n v="15.25"/>
    <n v="15.25"/>
    <x v="2"/>
    <x v="0"/>
    <s v="Mozzarella Cheese, Pepperoni"/>
    <x v="3"/>
  </r>
  <r>
    <n v="5688"/>
    <n v="2521"/>
    <n v="0.5"/>
    <s v="pepperoni_s"/>
    <n v="1"/>
    <x v="23"/>
    <x v="4"/>
    <x v="709"/>
    <n v="9.75"/>
    <n v="9.75"/>
    <x v="1"/>
    <x v="0"/>
    <s v="Mozzarella Cheese, Pepperoni"/>
    <x v="3"/>
  </r>
  <r>
    <n v="5689"/>
    <n v="2521"/>
    <n v="0.5"/>
    <s v="sicilian_l"/>
    <n v="1"/>
    <x v="23"/>
    <x v="4"/>
    <x v="709"/>
    <n v="20.25"/>
    <n v="20.25"/>
    <x v="2"/>
    <x v="2"/>
    <s v="Coarse Sicilian Salami, Tomatoes, Green Olives, Luganega Sausage, Onions, Garlic"/>
    <x v="7"/>
  </r>
  <r>
    <n v="5691"/>
    <n v="2522"/>
    <n v="1"/>
    <s v="napolitana_l"/>
    <n v="1"/>
    <x v="23"/>
    <x v="4"/>
    <x v="710"/>
    <n v="20.5"/>
    <n v="20.5"/>
    <x v="2"/>
    <x v="0"/>
    <s v="Tomatoes, Anchovies, Green Olives, Red Onions, Garlic"/>
    <x v="5"/>
  </r>
  <r>
    <n v="5703"/>
    <n v="2526"/>
    <n v="1"/>
    <s v="big_meat_s"/>
    <n v="1"/>
    <x v="23"/>
    <x v="4"/>
    <x v="711"/>
    <n v="12"/>
    <n v="12"/>
    <x v="1"/>
    <x v="0"/>
    <s v="Bacon, Pepperoni, Italian Sausage, Chorizo Sausage"/>
    <x v="4"/>
  </r>
  <r>
    <n v="5709"/>
    <n v="2528"/>
    <n v="1"/>
    <s v="pepperoni_s"/>
    <n v="1"/>
    <x v="23"/>
    <x v="4"/>
    <x v="712"/>
    <n v="9.75"/>
    <n v="9.75"/>
    <x v="1"/>
    <x v="0"/>
    <s v="Mozzarella Cheese, Pepperoni"/>
    <x v="3"/>
  </r>
  <r>
    <n v="5711"/>
    <n v="2529"/>
    <n v="0.5"/>
    <s v="hawaiian_s"/>
    <n v="1"/>
    <x v="23"/>
    <x v="4"/>
    <x v="713"/>
    <n v="10.5"/>
    <n v="10.5"/>
    <x v="1"/>
    <x v="0"/>
    <s v="Sliced Ham, Pineapple, Mozzarella Cheese"/>
    <x v="0"/>
  </r>
  <r>
    <n v="5712"/>
    <n v="2529"/>
    <n v="0.5"/>
    <s v="pepperoni_l"/>
    <n v="1"/>
    <x v="23"/>
    <x v="4"/>
    <x v="713"/>
    <n v="15.25"/>
    <n v="15.25"/>
    <x v="2"/>
    <x v="0"/>
    <s v="Mozzarella Cheese, Pepperoni"/>
    <x v="3"/>
  </r>
  <r>
    <n v="5715"/>
    <n v="2530"/>
    <n v="0.5"/>
    <s v="sicilian_s"/>
    <n v="1"/>
    <x v="23"/>
    <x v="4"/>
    <x v="714"/>
    <n v="12.25"/>
    <n v="12.25"/>
    <x v="1"/>
    <x v="2"/>
    <s v="Coarse Sicilian Salami, Tomatoes, Green Olives, Luganega Sausage, Onions, Garlic"/>
    <x v="7"/>
  </r>
  <r>
    <n v="5716"/>
    <n v="2530"/>
    <n v="0.5"/>
    <s v="the_greek_l"/>
    <n v="1"/>
    <x v="23"/>
    <x v="4"/>
    <x v="714"/>
    <n v="20.5"/>
    <n v="20.5"/>
    <x v="2"/>
    <x v="0"/>
    <s v="Kalamata Olives, Feta Cheese, Tomatoes, Garlic, Beef Chuck Roast, Red Onions"/>
    <x v="2"/>
  </r>
  <r>
    <n v="5718"/>
    <n v="2531"/>
    <n v="1"/>
    <s v="sicilian_m"/>
    <n v="1"/>
    <x v="23"/>
    <x v="4"/>
    <x v="715"/>
    <n v="16.25"/>
    <n v="16.25"/>
    <x v="0"/>
    <x v="2"/>
    <s v="Coarse Sicilian Salami, Tomatoes, Green Olives, Luganega Sausage, Onions, Garlic"/>
    <x v="7"/>
  </r>
  <r>
    <n v="5719"/>
    <n v="2532"/>
    <n v="1"/>
    <s v="hawaiian_s"/>
    <n v="1"/>
    <x v="23"/>
    <x v="4"/>
    <x v="716"/>
    <n v="10.5"/>
    <n v="10.5"/>
    <x v="1"/>
    <x v="0"/>
    <s v="Sliced Ham, Pineapple, Mozzarella Cheese"/>
    <x v="0"/>
  </r>
  <r>
    <n v="5731"/>
    <n v="2540"/>
    <n v="1"/>
    <s v="hawaiian_m"/>
    <n v="1"/>
    <x v="24"/>
    <x v="2"/>
    <x v="717"/>
    <n v="13.25"/>
    <n v="13.25"/>
    <x v="0"/>
    <x v="0"/>
    <s v="Sliced Ham, Pineapple, Mozzarella Cheese"/>
    <x v="0"/>
  </r>
  <r>
    <n v="5733"/>
    <n v="2541"/>
    <n v="1"/>
    <s v="mexicana_m"/>
    <n v="1"/>
    <x v="24"/>
    <x v="2"/>
    <x v="718"/>
    <n v="16"/>
    <n v="16"/>
    <x v="0"/>
    <x v="1"/>
    <s v="Tomatoes, Red Peppers, Jalapeno Peppers, Red Onions, Cilantro, Corn, Chipotle Sauce, Garlic"/>
    <x v="1"/>
  </r>
  <r>
    <n v="5739"/>
    <n v="2544"/>
    <n v="1"/>
    <s v="pepperoni_m"/>
    <n v="1"/>
    <x v="24"/>
    <x v="2"/>
    <x v="719"/>
    <n v="12.5"/>
    <n v="12.5"/>
    <x v="0"/>
    <x v="0"/>
    <s v="Mozzarella Cheese, Pepperoni"/>
    <x v="3"/>
  </r>
  <r>
    <n v="5741"/>
    <n v="2546"/>
    <n v="1"/>
    <s v="big_meat_s"/>
    <n v="1"/>
    <x v="24"/>
    <x v="2"/>
    <x v="720"/>
    <n v="12"/>
    <n v="12"/>
    <x v="1"/>
    <x v="0"/>
    <s v="Bacon, Pepperoni, Italian Sausage, Chorizo Sausage"/>
    <x v="4"/>
  </r>
  <r>
    <n v="5744"/>
    <n v="2547"/>
    <n v="0.25"/>
    <s v="brie_carre_s"/>
    <n v="1"/>
    <x v="24"/>
    <x v="2"/>
    <x v="721"/>
    <n v="23.65"/>
    <n v="23.65"/>
    <x v="1"/>
    <x v="2"/>
    <s v="Brie Carre Cheese, Prosciutto, Caramelized Onions, Pears, Thyme, Garlic"/>
    <x v="8"/>
  </r>
  <r>
    <n v="5748"/>
    <n v="2547"/>
    <n v="0.25"/>
    <s v="hawaiian_l"/>
    <n v="1"/>
    <x v="24"/>
    <x v="2"/>
    <x v="721"/>
    <n v="16.5"/>
    <n v="16.5"/>
    <x v="2"/>
    <x v="0"/>
    <s v="Sliced Ham, Pineapple, Mozzarella Cheese"/>
    <x v="0"/>
  </r>
  <r>
    <n v="5751"/>
    <n v="2547"/>
    <n v="0.25"/>
    <s v="mexicana_l"/>
    <n v="1"/>
    <x v="24"/>
    <x v="2"/>
    <x v="721"/>
    <n v="20.25"/>
    <n v="20.25"/>
    <x v="2"/>
    <x v="1"/>
    <s v="Tomatoes, Red Peppers, Jalapeno Peppers, Red Onions, Cilantro, Corn, Chipotle Sauce, Garlic"/>
    <x v="1"/>
  </r>
  <r>
    <n v="5752"/>
    <n v="2547"/>
    <n v="0.25"/>
    <s v="pepperoni_m"/>
    <n v="1"/>
    <x v="24"/>
    <x v="2"/>
    <x v="721"/>
    <n v="12.5"/>
    <n v="12.5"/>
    <x v="0"/>
    <x v="0"/>
    <s v="Mozzarella Cheese, Pepperoni"/>
    <x v="3"/>
  </r>
  <r>
    <n v="5756"/>
    <n v="2548"/>
    <n v="1"/>
    <s v="brie_carre_s"/>
    <n v="1"/>
    <x v="24"/>
    <x v="2"/>
    <x v="722"/>
    <n v="23.65"/>
    <n v="23.65"/>
    <x v="1"/>
    <x v="2"/>
    <s v="Brie Carre Cheese, Prosciutto, Caramelized Onions, Pears, Thyme, Garlic"/>
    <x v="8"/>
  </r>
  <r>
    <n v="5761"/>
    <n v="2550"/>
    <n v="1"/>
    <s v="sicilian_l"/>
    <n v="1"/>
    <x v="24"/>
    <x v="2"/>
    <x v="723"/>
    <n v="20.25"/>
    <n v="20.25"/>
    <x v="2"/>
    <x v="2"/>
    <s v="Coarse Sicilian Salami, Tomatoes, Green Olives, Luganega Sausage, Onions, Garlic"/>
    <x v="7"/>
  </r>
  <r>
    <n v="5762"/>
    <n v="2551"/>
    <n v="0.5"/>
    <s v="calabrese_l"/>
    <n v="1"/>
    <x v="24"/>
    <x v="2"/>
    <x v="724"/>
    <n v="20.25"/>
    <n v="20.25"/>
    <x v="2"/>
    <x v="2"/>
    <s v="?duja Salami, Pancetta, Tomatoes, Red Onions, Friggitello Peppers, Garlic"/>
    <x v="6"/>
  </r>
  <r>
    <n v="5763"/>
    <n v="2551"/>
    <n v="0.5"/>
    <s v="hawaiian_l"/>
    <n v="1"/>
    <x v="24"/>
    <x v="2"/>
    <x v="724"/>
    <n v="16.5"/>
    <n v="16.5"/>
    <x v="2"/>
    <x v="0"/>
    <s v="Sliced Ham, Pineapple, Mozzarella Cheese"/>
    <x v="0"/>
  </r>
  <r>
    <n v="5765"/>
    <n v="2553"/>
    <n v="1"/>
    <s v="the_greek_s"/>
    <n v="1"/>
    <x v="24"/>
    <x v="2"/>
    <x v="725"/>
    <n v="12"/>
    <n v="12"/>
    <x v="1"/>
    <x v="0"/>
    <s v="Kalamata Olives, Feta Cheese, Tomatoes, Garlic, Beef Chuck Roast, Red Onions"/>
    <x v="2"/>
  </r>
  <r>
    <n v="5768"/>
    <n v="2555"/>
    <n v="1"/>
    <s v="brie_carre_s"/>
    <n v="1"/>
    <x v="24"/>
    <x v="2"/>
    <x v="693"/>
    <n v="23.65"/>
    <n v="23.65"/>
    <x v="1"/>
    <x v="2"/>
    <s v="Brie Carre Cheese, Prosciutto, Caramelized Onions, Pears, Thyme, Garlic"/>
    <x v="8"/>
  </r>
  <r>
    <n v="5772"/>
    <n v="2557"/>
    <n v="0.33333333333333331"/>
    <s v="sicilian_l"/>
    <n v="1"/>
    <x v="24"/>
    <x v="2"/>
    <x v="726"/>
    <n v="20.25"/>
    <n v="20.25"/>
    <x v="2"/>
    <x v="2"/>
    <s v="Coarse Sicilian Salami, Tomatoes, Green Olives, Luganega Sausage, Onions, Garlic"/>
    <x v="7"/>
  </r>
  <r>
    <n v="5773"/>
    <n v="2557"/>
    <n v="0.33333333333333331"/>
    <s v="the_greek_m"/>
    <n v="1"/>
    <x v="24"/>
    <x v="2"/>
    <x v="726"/>
    <n v="16"/>
    <n v="16"/>
    <x v="0"/>
    <x v="0"/>
    <s v="Kalamata Olives, Feta Cheese, Tomatoes, Garlic, Beef Chuck Roast, Red Onions"/>
    <x v="2"/>
  </r>
  <r>
    <n v="5774"/>
    <n v="2557"/>
    <n v="0.33333333333333331"/>
    <s v="the_greek_s"/>
    <n v="1"/>
    <x v="24"/>
    <x v="2"/>
    <x v="726"/>
    <n v="12"/>
    <n v="12"/>
    <x v="1"/>
    <x v="0"/>
    <s v="Kalamata Olives, Feta Cheese, Tomatoes, Garlic, Beef Chuck Roast, Red Onions"/>
    <x v="2"/>
  </r>
  <r>
    <n v="5776"/>
    <n v="2558"/>
    <n v="1"/>
    <s v="hawaiian_l"/>
    <n v="1"/>
    <x v="24"/>
    <x v="2"/>
    <x v="727"/>
    <n v="16.5"/>
    <n v="16.5"/>
    <x v="2"/>
    <x v="0"/>
    <s v="Sliced Ham, Pineapple, Mozzarella Cheese"/>
    <x v="0"/>
  </r>
  <r>
    <n v="5778"/>
    <n v="2560"/>
    <n v="1"/>
    <s v="brie_carre_s"/>
    <n v="1"/>
    <x v="24"/>
    <x v="2"/>
    <x v="728"/>
    <n v="23.65"/>
    <n v="23.65"/>
    <x v="1"/>
    <x v="2"/>
    <s v="Brie Carre Cheese, Prosciutto, Caramelized Onions, Pears, Thyme, Garlic"/>
    <x v="8"/>
  </r>
  <r>
    <n v="5781"/>
    <n v="2562"/>
    <n v="0.5"/>
    <s v="mexicana_m"/>
    <n v="1"/>
    <x v="24"/>
    <x v="2"/>
    <x v="729"/>
    <n v="16"/>
    <n v="16"/>
    <x v="0"/>
    <x v="1"/>
    <s v="Tomatoes, Red Peppers, Jalapeno Peppers, Red Onions, Cilantro, Corn, Chipotle Sauce, Garlic"/>
    <x v="1"/>
  </r>
  <r>
    <n v="5782"/>
    <n v="2562"/>
    <n v="0.5"/>
    <s v="pepperoni_l"/>
    <n v="1"/>
    <x v="24"/>
    <x v="2"/>
    <x v="729"/>
    <n v="15.25"/>
    <n v="15.25"/>
    <x v="2"/>
    <x v="0"/>
    <s v="Mozzarella Cheese, Pepperoni"/>
    <x v="3"/>
  </r>
  <r>
    <n v="5784"/>
    <n v="2563"/>
    <n v="0.33333333333333331"/>
    <s v="calabrese_m"/>
    <n v="1"/>
    <x v="24"/>
    <x v="2"/>
    <x v="730"/>
    <n v="16.25"/>
    <n v="16.25"/>
    <x v="0"/>
    <x v="2"/>
    <s v="?duja Salami, Pancetta, Tomatoes, Red Onions, Friggitello Peppers, Garlic"/>
    <x v="6"/>
  </r>
  <r>
    <n v="5785"/>
    <n v="2563"/>
    <n v="0.33333333333333331"/>
    <s v="napolitana_l"/>
    <n v="1"/>
    <x v="24"/>
    <x v="2"/>
    <x v="730"/>
    <n v="20.5"/>
    <n v="20.5"/>
    <x v="2"/>
    <x v="0"/>
    <s v="Tomatoes, Anchovies, Green Olives, Red Onions, Garlic"/>
    <x v="5"/>
  </r>
  <r>
    <n v="5786"/>
    <n v="2563"/>
    <n v="0.33333333333333331"/>
    <s v="the_greek_l"/>
    <n v="1"/>
    <x v="24"/>
    <x v="2"/>
    <x v="730"/>
    <n v="20.5"/>
    <n v="20.5"/>
    <x v="2"/>
    <x v="0"/>
    <s v="Kalamata Olives, Feta Cheese, Tomatoes, Garlic, Beef Chuck Roast, Red Onions"/>
    <x v="2"/>
  </r>
  <r>
    <n v="5790"/>
    <n v="2565"/>
    <n v="1"/>
    <s v="hawaiian_s"/>
    <n v="1"/>
    <x v="24"/>
    <x v="2"/>
    <x v="731"/>
    <n v="10.5"/>
    <n v="10.5"/>
    <x v="1"/>
    <x v="0"/>
    <s v="Sliced Ham, Pineapple, Mozzarella Cheese"/>
    <x v="0"/>
  </r>
  <r>
    <n v="5799"/>
    <n v="2569"/>
    <n v="1"/>
    <s v="the_greek_l"/>
    <n v="1"/>
    <x v="24"/>
    <x v="2"/>
    <x v="732"/>
    <n v="20.5"/>
    <n v="20.5"/>
    <x v="2"/>
    <x v="0"/>
    <s v="Kalamata Olives, Feta Cheese, Tomatoes, Garlic, Beef Chuck Roast, Red Onions"/>
    <x v="2"/>
  </r>
  <r>
    <n v="5800"/>
    <n v="2570"/>
    <n v="1"/>
    <s v="hawaiian_m"/>
    <n v="2"/>
    <x v="24"/>
    <x v="2"/>
    <x v="733"/>
    <n v="13.25"/>
    <n v="26.5"/>
    <x v="0"/>
    <x v="0"/>
    <s v="Sliced Ham, Pineapple, Mozzarella Cheese"/>
    <x v="0"/>
  </r>
  <r>
    <n v="5801"/>
    <n v="2571"/>
    <n v="1"/>
    <s v="big_meat_s"/>
    <n v="1"/>
    <x v="24"/>
    <x v="2"/>
    <x v="734"/>
    <n v="12"/>
    <n v="12"/>
    <x v="1"/>
    <x v="0"/>
    <s v="Bacon, Pepperoni, Italian Sausage, Chorizo Sausage"/>
    <x v="4"/>
  </r>
  <r>
    <n v="5810"/>
    <n v="2576"/>
    <n v="0.5"/>
    <s v="big_meat_s"/>
    <n v="1"/>
    <x v="24"/>
    <x v="2"/>
    <x v="735"/>
    <n v="12"/>
    <n v="12"/>
    <x v="1"/>
    <x v="0"/>
    <s v="Bacon, Pepperoni, Italian Sausage, Chorizo Sausage"/>
    <x v="4"/>
  </r>
  <r>
    <n v="5811"/>
    <n v="2576"/>
    <n v="0.5"/>
    <s v="pepperoni_m"/>
    <n v="1"/>
    <x v="24"/>
    <x v="2"/>
    <x v="735"/>
    <n v="12.5"/>
    <n v="12.5"/>
    <x v="0"/>
    <x v="0"/>
    <s v="Mozzarella Cheese, Pepperoni"/>
    <x v="3"/>
  </r>
  <r>
    <n v="5813"/>
    <n v="2577"/>
    <n v="1"/>
    <s v="sicilian_l"/>
    <n v="1"/>
    <x v="24"/>
    <x v="2"/>
    <x v="736"/>
    <n v="20.25"/>
    <n v="20.25"/>
    <x v="2"/>
    <x v="2"/>
    <s v="Coarse Sicilian Salami, Tomatoes, Green Olives, Luganega Sausage, Onions, Garlic"/>
    <x v="7"/>
  </r>
  <r>
    <n v="5814"/>
    <n v="2578"/>
    <n v="0.5"/>
    <s v="brie_carre_s"/>
    <n v="1"/>
    <x v="24"/>
    <x v="2"/>
    <x v="737"/>
    <n v="23.65"/>
    <n v="23.65"/>
    <x v="1"/>
    <x v="2"/>
    <s v="Brie Carre Cheese, Prosciutto, Caramelized Onions, Pears, Thyme, Garlic"/>
    <x v="8"/>
  </r>
  <r>
    <n v="5816"/>
    <n v="2578"/>
    <n v="0.5"/>
    <s v="sicilian_l"/>
    <n v="1"/>
    <x v="24"/>
    <x v="2"/>
    <x v="737"/>
    <n v="20.25"/>
    <n v="20.25"/>
    <x v="2"/>
    <x v="2"/>
    <s v="Coarse Sicilian Salami, Tomatoes, Green Olives, Luganega Sausage, Onions, Garlic"/>
    <x v="7"/>
  </r>
  <r>
    <n v="5821"/>
    <n v="2580"/>
    <n v="1"/>
    <s v="mexicana_m"/>
    <n v="2"/>
    <x v="24"/>
    <x v="2"/>
    <x v="738"/>
    <n v="16"/>
    <n v="32"/>
    <x v="0"/>
    <x v="1"/>
    <s v="Tomatoes, Red Peppers, Jalapeno Peppers, Red Onions, Cilantro, Corn, Chipotle Sauce, Garlic"/>
    <x v="1"/>
  </r>
  <r>
    <n v="5823"/>
    <n v="2581"/>
    <n v="0.5"/>
    <s v="big_meat_s"/>
    <n v="1"/>
    <x v="24"/>
    <x v="2"/>
    <x v="739"/>
    <n v="12"/>
    <n v="12"/>
    <x v="1"/>
    <x v="0"/>
    <s v="Bacon, Pepperoni, Italian Sausage, Chorizo Sausage"/>
    <x v="4"/>
  </r>
  <r>
    <n v="5824"/>
    <n v="2581"/>
    <n v="0.5"/>
    <s v="hawaiian_l"/>
    <n v="1"/>
    <x v="24"/>
    <x v="2"/>
    <x v="739"/>
    <n v="16.5"/>
    <n v="16.5"/>
    <x v="2"/>
    <x v="0"/>
    <s v="Sliced Ham, Pineapple, Mozzarella Cheese"/>
    <x v="0"/>
  </r>
  <r>
    <n v="5826"/>
    <n v="2583"/>
    <n v="1"/>
    <s v="pepperoni_m"/>
    <n v="1"/>
    <x v="24"/>
    <x v="2"/>
    <x v="740"/>
    <n v="12.5"/>
    <n v="12.5"/>
    <x v="0"/>
    <x v="0"/>
    <s v="Mozzarella Cheese, Pepperoni"/>
    <x v="3"/>
  </r>
  <r>
    <n v="5827"/>
    <n v="2584"/>
    <n v="1"/>
    <s v="hawaiian_m"/>
    <n v="1"/>
    <x v="24"/>
    <x v="2"/>
    <x v="741"/>
    <n v="13.25"/>
    <n v="13.25"/>
    <x v="0"/>
    <x v="0"/>
    <s v="Sliced Ham, Pineapple, Mozzarella Cheese"/>
    <x v="0"/>
  </r>
  <r>
    <n v="5829"/>
    <n v="2585"/>
    <n v="0.5"/>
    <s v="napolitana_m"/>
    <n v="1"/>
    <x v="24"/>
    <x v="2"/>
    <x v="742"/>
    <n v="16"/>
    <n v="16"/>
    <x v="0"/>
    <x v="0"/>
    <s v="Tomatoes, Anchovies, Green Olives, Red Onions, Garlic"/>
    <x v="5"/>
  </r>
  <r>
    <n v="5830"/>
    <n v="2585"/>
    <n v="0.5"/>
    <s v="pepperoni_l"/>
    <n v="1"/>
    <x v="24"/>
    <x v="2"/>
    <x v="742"/>
    <n v="15.25"/>
    <n v="15.25"/>
    <x v="2"/>
    <x v="0"/>
    <s v="Mozzarella Cheese, Pepperoni"/>
    <x v="3"/>
  </r>
  <r>
    <n v="5835"/>
    <n v="2587"/>
    <n v="1"/>
    <s v="sicilian_s"/>
    <n v="1"/>
    <x v="24"/>
    <x v="2"/>
    <x v="743"/>
    <n v="12.25"/>
    <n v="12.25"/>
    <x v="1"/>
    <x v="2"/>
    <s v="Coarse Sicilian Salami, Tomatoes, Green Olives, Luganega Sausage, Onions, Garlic"/>
    <x v="7"/>
  </r>
  <r>
    <n v="5838"/>
    <n v="2588"/>
    <n v="1"/>
    <s v="sicilian_l"/>
    <n v="1"/>
    <x v="24"/>
    <x v="2"/>
    <x v="744"/>
    <n v="20.25"/>
    <n v="20.25"/>
    <x v="2"/>
    <x v="2"/>
    <s v="Coarse Sicilian Salami, Tomatoes, Green Olives, Luganega Sausage, Onions, Garlic"/>
    <x v="7"/>
  </r>
  <r>
    <n v="5845"/>
    <n v="2592"/>
    <n v="1"/>
    <s v="big_meat_s"/>
    <n v="1"/>
    <x v="24"/>
    <x v="2"/>
    <x v="745"/>
    <n v="12"/>
    <n v="12"/>
    <x v="1"/>
    <x v="0"/>
    <s v="Bacon, Pepperoni, Italian Sausage, Chorizo Sausage"/>
    <x v="4"/>
  </r>
  <r>
    <n v="5847"/>
    <n v="2593"/>
    <n v="0.5"/>
    <s v="pepperoni_m"/>
    <n v="1"/>
    <x v="24"/>
    <x v="2"/>
    <x v="746"/>
    <n v="12.5"/>
    <n v="12.5"/>
    <x v="0"/>
    <x v="0"/>
    <s v="Mozzarella Cheese, Pepperoni"/>
    <x v="3"/>
  </r>
  <r>
    <n v="5848"/>
    <n v="2593"/>
    <n v="0.5"/>
    <s v="sicilian_s"/>
    <n v="1"/>
    <x v="24"/>
    <x v="2"/>
    <x v="746"/>
    <n v="12.25"/>
    <n v="12.25"/>
    <x v="1"/>
    <x v="2"/>
    <s v="Coarse Sicilian Salami, Tomatoes, Green Olives, Luganega Sausage, Onions, Garlic"/>
    <x v="7"/>
  </r>
  <r>
    <n v="5851"/>
    <n v="2594"/>
    <n v="1"/>
    <s v="the_greek_m"/>
    <n v="1"/>
    <x v="24"/>
    <x v="2"/>
    <x v="747"/>
    <n v="16"/>
    <n v="16"/>
    <x v="0"/>
    <x v="0"/>
    <s v="Kalamata Olives, Feta Cheese, Tomatoes, Garlic, Beef Chuck Roast, Red Onions"/>
    <x v="2"/>
  </r>
  <r>
    <n v="8049"/>
    <n v="3531"/>
    <n v="1"/>
    <s v="pepperoni_m"/>
    <n v="1"/>
    <x v="25"/>
    <x v="5"/>
    <x v="748"/>
    <n v="12.5"/>
    <n v="12.5"/>
    <x v="0"/>
    <x v="0"/>
    <s v="Mozzarella Cheese, Pepperoni"/>
    <x v="3"/>
  </r>
  <r>
    <n v="8060"/>
    <n v="3537"/>
    <n v="0.5"/>
    <s v="hawaiian_s"/>
    <n v="1"/>
    <x v="25"/>
    <x v="5"/>
    <x v="749"/>
    <n v="10.5"/>
    <n v="10.5"/>
    <x v="1"/>
    <x v="0"/>
    <s v="Sliced Ham, Pineapple, Mozzarella Cheese"/>
    <x v="0"/>
  </r>
  <r>
    <n v="8061"/>
    <n v="3537"/>
    <n v="0.5"/>
    <s v="sicilian_l"/>
    <n v="1"/>
    <x v="25"/>
    <x v="5"/>
    <x v="749"/>
    <n v="20.25"/>
    <n v="20.25"/>
    <x v="2"/>
    <x v="2"/>
    <s v="Coarse Sicilian Salami, Tomatoes, Green Olives, Luganega Sausage, Onions, Garlic"/>
    <x v="7"/>
  </r>
  <r>
    <n v="8063"/>
    <n v="3538"/>
    <n v="1"/>
    <s v="hawaiian_s"/>
    <n v="1"/>
    <x v="25"/>
    <x v="5"/>
    <x v="750"/>
    <n v="10.5"/>
    <n v="10.5"/>
    <x v="1"/>
    <x v="0"/>
    <s v="Sliced Ham, Pineapple, Mozzarella Cheese"/>
    <x v="0"/>
  </r>
  <r>
    <n v="8067"/>
    <n v="3539"/>
    <n v="1"/>
    <s v="calabrese_m"/>
    <n v="1"/>
    <x v="25"/>
    <x v="5"/>
    <x v="751"/>
    <n v="16.25"/>
    <n v="16.25"/>
    <x v="0"/>
    <x v="2"/>
    <s v="?duja Salami, Pancetta, Tomatoes, Red Onions, Friggitello Peppers, Garlic"/>
    <x v="6"/>
  </r>
  <r>
    <n v="8072"/>
    <n v="3540"/>
    <n v="1"/>
    <s v="pepperoni_m"/>
    <n v="1"/>
    <x v="25"/>
    <x v="5"/>
    <x v="752"/>
    <n v="12.5"/>
    <n v="12.5"/>
    <x v="0"/>
    <x v="0"/>
    <s v="Mozzarella Cheese, Pepperoni"/>
    <x v="3"/>
  </r>
  <r>
    <n v="8080"/>
    <n v="3546"/>
    <n v="1"/>
    <s v="hawaiian_s"/>
    <n v="1"/>
    <x v="25"/>
    <x v="5"/>
    <x v="753"/>
    <n v="10.5"/>
    <n v="10.5"/>
    <x v="1"/>
    <x v="0"/>
    <s v="Sliced Ham, Pineapple, Mozzarella Cheese"/>
    <x v="0"/>
  </r>
  <r>
    <n v="8084"/>
    <n v="3547"/>
    <n v="1"/>
    <s v="big_meat_s"/>
    <n v="1"/>
    <x v="25"/>
    <x v="5"/>
    <x v="754"/>
    <n v="12"/>
    <n v="12"/>
    <x v="1"/>
    <x v="0"/>
    <s v="Bacon, Pepperoni, Italian Sausage, Chorizo Sausage"/>
    <x v="4"/>
  </r>
  <r>
    <n v="8092"/>
    <n v="3551"/>
    <n v="1"/>
    <s v="big_meat_s"/>
    <n v="1"/>
    <x v="25"/>
    <x v="5"/>
    <x v="755"/>
    <n v="12"/>
    <n v="12"/>
    <x v="1"/>
    <x v="0"/>
    <s v="Bacon, Pepperoni, Italian Sausage, Chorizo Sausage"/>
    <x v="4"/>
  </r>
  <r>
    <n v="8094"/>
    <n v="3552"/>
    <n v="1"/>
    <s v="pepperoni_m"/>
    <n v="1"/>
    <x v="25"/>
    <x v="5"/>
    <x v="756"/>
    <n v="12.5"/>
    <n v="12.5"/>
    <x v="0"/>
    <x v="0"/>
    <s v="Mozzarella Cheese, Pepperoni"/>
    <x v="3"/>
  </r>
  <r>
    <n v="8097"/>
    <n v="3553"/>
    <n v="1"/>
    <s v="napolitana_m"/>
    <n v="1"/>
    <x v="25"/>
    <x v="5"/>
    <x v="757"/>
    <n v="16"/>
    <n v="16"/>
    <x v="0"/>
    <x v="0"/>
    <s v="Tomatoes, Anchovies, Green Olives, Red Onions, Garlic"/>
    <x v="5"/>
  </r>
  <r>
    <n v="8101"/>
    <n v="3555"/>
    <n v="1"/>
    <s v="hawaiian_l"/>
    <n v="1"/>
    <x v="25"/>
    <x v="5"/>
    <x v="758"/>
    <n v="16.5"/>
    <n v="16.5"/>
    <x v="2"/>
    <x v="0"/>
    <s v="Sliced Ham, Pineapple, Mozzarella Cheese"/>
    <x v="0"/>
  </r>
  <r>
    <n v="8107"/>
    <n v="3558"/>
    <n v="1"/>
    <s v="the_greek_m"/>
    <n v="1"/>
    <x v="25"/>
    <x v="5"/>
    <x v="759"/>
    <n v="16"/>
    <n v="16"/>
    <x v="0"/>
    <x v="0"/>
    <s v="Kalamata Olives, Feta Cheese, Tomatoes, Garlic, Beef Chuck Roast, Red Onions"/>
    <x v="2"/>
  </r>
  <r>
    <n v="8109"/>
    <n v="3559"/>
    <n v="1"/>
    <s v="mexicana_m"/>
    <n v="1"/>
    <x v="25"/>
    <x v="5"/>
    <x v="760"/>
    <n v="16"/>
    <n v="16"/>
    <x v="0"/>
    <x v="1"/>
    <s v="Tomatoes, Red Peppers, Jalapeno Peppers, Red Onions, Cilantro, Corn, Chipotle Sauce, Garlic"/>
    <x v="1"/>
  </r>
  <r>
    <n v="8114"/>
    <n v="3561"/>
    <n v="1"/>
    <s v="pepperoni_l"/>
    <n v="1"/>
    <x v="25"/>
    <x v="5"/>
    <x v="761"/>
    <n v="15.25"/>
    <n v="15.25"/>
    <x v="2"/>
    <x v="0"/>
    <s v="Mozzarella Cheese, Pepperoni"/>
    <x v="3"/>
  </r>
  <r>
    <n v="8119"/>
    <n v="3564"/>
    <n v="1"/>
    <s v="sicilian_m"/>
    <n v="1"/>
    <x v="25"/>
    <x v="5"/>
    <x v="762"/>
    <n v="16.25"/>
    <n v="16.25"/>
    <x v="0"/>
    <x v="2"/>
    <s v="Coarse Sicilian Salami, Tomatoes, Green Olives, Luganega Sausage, Onions, Garlic"/>
    <x v="7"/>
  </r>
  <r>
    <n v="8123"/>
    <n v="3566"/>
    <n v="1"/>
    <s v="hawaiian_l"/>
    <n v="1"/>
    <x v="25"/>
    <x v="5"/>
    <x v="763"/>
    <n v="16.5"/>
    <n v="16.5"/>
    <x v="2"/>
    <x v="0"/>
    <s v="Sliced Ham, Pineapple, Mozzarella Cheese"/>
    <x v="0"/>
  </r>
  <r>
    <n v="8126"/>
    <n v="3568"/>
    <n v="1"/>
    <s v="the_greek_s"/>
    <n v="1"/>
    <x v="25"/>
    <x v="5"/>
    <x v="764"/>
    <n v="12"/>
    <n v="12"/>
    <x v="1"/>
    <x v="0"/>
    <s v="Kalamata Olives, Feta Cheese, Tomatoes, Garlic, Beef Chuck Roast, Red Onions"/>
    <x v="2"/>
  </r>
  <r>
    <n v="8128"/>
    <n v="3570"/>
    <n v="1"/>
    <s v="pepperoni_s"/>
    <n v="1"/>
    <x v="25"/>
    <x v="5"/>
    <x v="765"/>
    <n v="9.75"/>
    <n v="9.75"/>
    <x v="1"/>
    <x v="0"/>
    <s v="Mozzarella Cheese, Pepperoni"/>
    <x v="3"/>
  </r>
  <r>
    <n v="8131"/>
    <n v="3571"/>
    <n v="0.5"/>
    <s v="pepperoni_s"/>
    <n v="1"/>
    <x v="25"/>
    <x v="5"/>
    <x v="766"/>
    <n v="9.75"/>
    <n v="9.75"/>
    <x v="1"/>
    <x v="0"/>
    <s v="Mozzarella Cheese, Pepperoni"/>
    <x v="3"/>
  </r>
  <r>
    <n v="8132"/>
    <n v="3571"/>
    <n v="0.5"/>
    <s v="the_greek_xl"/>
    <n v="1"/>
    <x v="25"/>
    <x v="5"/>
    <x v="766"/>
    <n v="25.5"/>
    <n v="25.5"/>
    <x v="3"/>
    <x v="0"/>
    <s v="Kalamata Olives, Feta Cheese, Tomatoes, Garlic, Beef Chuck Roast, Red Onions"/>
    <x v="2"/>
  </r>
  <r>
    <n v="8135"/>
    <n v="3573"/>
    <n v="1"/>
    <s v="pepperoni_l"/>
    <n v="1"/>
    <x v="25"/>
    <x v="5"/>
    <x v="767"/>
    <n v="15.25"/>
    <n v="15.25"/>
    <x v="2"/>
    <x v="0"/>
    <s v="Mozzarella Cheese, Pepperoni"/>
    <x v="3"/>
  </r>
  <r>
    <n v="8137"/>
    <n v="3574"/>
    <n v="0.5"/>
    <s v="brie_carre_s"/>
    <n v="1"/>
    <x v="25"/>
    <x v="5"/>
    <x v="768"/>
    <n v="23.65"/>
    <n v="23.65"/>
    <x v="1"/>
    <x v="2"/>
    <s v="Brie Carre Cheese, Prosciutto, Caramelized Onions, Pears, Thyme, Garlic"/>
    <x v="8"/>
  </r>
  <r>
    <n v="8138"/>
    <n v="3574"/>
    <n v="0.5"/>
    <s v="hawaiian_s"/>
    <n v="1"/>
    <x v="25"/>
    <x v="5"/>
    <x v="768"/>
    <n v="10.5"/>
    <n v="10.5"/>
    <x v="1"/>
    <x v="0"/>
    <s v="Sliced Ham, Pineapple, Mozzarella Cheese"/>
    <x v="0"/>
  </r>
  <r>
    <n v="8142"/>
    <n v="3576"/>
    <n v="1"/>
    <s v="pepperoni_l"/>
    <n v="1"/>
    <x v="25"/>
    <x v="5"/>
    <x v="769"/>
    <n v="15.25"/>
    <n v="15.25"/>
    <x v="2"/>
    <x v="0"/>
    <s v="Mozzarella Cheese, Pepperoni"/>
    <x v="3"/>
  </r>
  <r>
    <n v="8146"/>
    <n v="3579"/>
    <n v="1"/>
    <s v="big_meat_s"/>
    <n v="1"/>
    <x v="25"/>
    <x v="5"/>
    <x v="770"/>
    <n v="12"/>
    <n v="12"/>
    <x v="1"/>
    <x v="0"/>
    <s v="Bacon, Pepperoni, Italian Sausage, Chorizo Sausage"/>
    <x v="4"/>
  </r>
  <r>
    <n v="8153"/>
    <n v="3583"/>
    <n v="0.33333333333333331"/>
    <s v="calabrese_m"/>
    <n v="1"/>
    <x v="26"/>
    <x v="6"/>
    <x v="771"/>
    <n v="16.25"/>
    <n v="16.25"/>
    <x v="0"/>
    <x v="2"/>
    <s v="?duja Salami, Pancetta, Tomatoes, Red Onions, Friggitello Peppers, Garlic"/>
    <x v="6"/>
  </r>
  <r>
    <n v="8158"/>
    <n v="3583"/>
    <n v="0.33333333333333331"/>
    <s v="mexicana_m"/>
    <n v="1"/>
    <x v="26"/>
    <x v="6"/>
    <x v="771"/>
    <n v="16"/>
    <n v="16"/>
    <x v="0"/>
    <x v="1"/>
    <s v="Tomatoes, Red Peppers, Jalapeno Peppers, Red Onions, Cilantro, Corn, Chipotle Sauce, Garlic"/>
    <x v="1"/>
  </r>
  <r>
    <n v="8159"/>
    <n v="3583"/>
    <n v="0.33333333333333331"/>
    <s v="sicilian_m"/>
    <n v="1"/>
    <x v="26"/>
    <x v="6"/>
    <x v="771"/>
    <n v="16.25"/>
    <n v="16.25"/>
    <x v="0"/>
    <x v="2"/>
    <s v="Coarse Sicilian Salami, Tomatoes, Green Olives, Luganega Sausage, Onions, Garlic"/>
    <x v="7"/>
  </r>
  <r>
    <n v="8168"/>
    <n v="3585"/>
    <n v="1"/>
    <s v="napolitana_l"/>
    <n v="1"/>
    <x v="26"/>
    <x v="6"/>
    <x v="772"/>
    <n v="20.5"/>
    <n v="20.5"/>
    <x v="2"/>
    <x v="0"/>
    <s v="Tomatoes, Anchovies, Green Olives, Red Onions, Garlic"/>
    <x v="5"/>
  </r>
  <r>
    <n v="8177"/>
    <n v="3589"/>
    <n v="0.33333333333333331"/>
    <s v="hawaiian_m"/>
    <n v="1"/>
    <x v="26"/>
    <x v="6"/>
    <x v="773"/>
    <n v="13.25"/>
    <n v="13.25"/>
    <x v="0"/>
    <x v="0"/>
    <s v="Sliced Ham, Pineapple, Mozzarella Cheese"/>
    <x v="0"/>
  </r>
  <r>
    <n v="8179"/>
    <n v="3589"/>
    <n v="0.33333333333333331"/>
    <s v="napolitana_m"/>
    <n v="1"/>
    <x v="26"/>
    <x v="6"/>
    <x v="773"/>
    <n v="16"/>
    <n v="16"/>
    <x v="0"/>
    <x v="0"/>
    <s v="Tomatoes, Anchovies, Green Olives, Red Onions, Garlic"/>
    <x v="5"/>
  </r>
  <r>
    <n v="8180"/>
    <n v="3589"/>
    <n v="0.33333333333333331"/>
    <s v="the_greek_xl"/>
    <n v="1"/>
    <x v="26"/>
    <x v="6"/>
    <x v="773"/>
    <n v="25.5"/>
    <n v="25.5"/>
    <x v="3"/>
    <x v="0"/>
    <s v="Kalamata Olives, Feta Cheese, Tomatoes, Garlic, Beef Chuck Roast, Red Onions"/>
    <x v="2"/>
  </r>
  <r>
    <n v="8183"/>
    <n v="3590"/>
    <n v="1"/>
    <s v="hawaiian_s"/>
    <n v="1"/>
    <x v="26"/>
    <x v="6"/>
    <x v="774"/>
    <n v="10.5"/>
    <n v="10.5"/>
    <x v="1"/>
    <x v="0"/>
    <s v="Sliced Ham, Pineapple, Mozzarella Cheese"/>
    <x v="0"/>
  </r>
  <r>
    <n v="8194"/>
    <n v="3595"/>
    <n v="1"/>
    <s v="brie_carre_s"/>
    <n v="1"/>
    <x v="26"/>
    <x v="6"/>
    <x v="775"/>
    <n v="23.65"/>
    <n v="23.65"/>
    <x v="1"/>
    <x v="2"/>
    <s v="Brie Carre Cheese, Prosciutto, Caramelized Onions, Pears, Thyme, Garlic"/>
    <x v="8"/>
  </r>
  <r>
    <n v="8196"/>
    <n v="3596"/>
    <n v="1"/>
    <s v="big_meat_s"/>
    <n v="1"/>
    <x v="26"/>
    <x v="6"/>
    <x v="776"/>
    <n v="12"/>
    <n v="12"/>
    <x v="1"/>
    <x v="0"/>
    <s v="Bacon, Pepperoni, Italian Sausage, Chorizo Sausage"/>
    <x v="4"/>
  </r>
  <r>
    <n v="8199"/>
    <n v="3599"/>
    <n v="1"/>
    <s v="calabrese_m"/>
    <n v="1"/>
    <x v="26"/>
    <x v="6"/>
    <x v="777"/>
    <n v="16.25"/>
    <n v="16.25"/>
    <x v="0"/>
    <x v="2"/>
    <s v="?duja Salami, Pancetta, Tomatoes, Red Onions, Friggitello Peppers, Garlic"/>
    <x v="6"/>
  </r>
  <r>
    <n v="8202"/>
    <n v="3601"/>
    <n v="1"/>
    <s v="hawaiian_m"/>
    <n v="1"/>
    <x v="26"/>
    <x v="6"/>
    <x v="778"/>
    <n v="13.25"/>
    <n v="13.25"/>
    <x v="0"/>
    <x v="0"/>
    <s v="Sliced Ham, Pineapple, Mozzarella Cheese"/>
    <x v="0"/>
  </r>
  <r>
    <n v="8205"/>
    <n v="3602"/>
    <n v="1"/>
    <s v="mexicana_l"/>
    <n v="1"/>
    <x v="26"/>
    <x v="6"/>
    <x v="779"/>
    <n v="20.25"/>
    <n v="20.25"/>
    <x v="2"/>
    <x v="1"/>
    <s v="Tomatoes, Red Peppers, Jalapeno Peppers, Red Onions, Cilantro, Corn, Chipotle Sauce, Garlic"/>
    <x v="1"/>
  </r>
  <r>
    <n v="8206"/>
    <n v="3603"/>
    <n v="1"/>
    <s v="big_meat_s"/>
    <n v="1"/>
    <x v="26"/>
    <x v="6"/>
    <x v="780"/>
    <n v="12"/>
    <n v="12"/>
    <x v="1"/>
    <x v="0"/>
    <s v="Bacon, Pepperoni, Italian Sausage, Chorizo Sausage"/>
    <x v="4"/>
  </r>
  <r>
    <n v="8208"/>
    <n v="3605"/>
    <n v="1"/>
    <s v="hawaiian_s"/>
    <n v="1"/>
    <x v="26"/>
    <x v="6"/>
    <x v="781"/>
    <n v="10.5"/>
    <n v="10.5"/>
    <x v="1"/>
    <x v="0"/>
    <s v="Sliced Ham, Pineapple, Mozzarella Cheese"/>
    <x v="0"/>
  </r>
  <r>
    <n v="8211"/>
    <n v="3606"/>
    <n v="1"/>
    <s v="sicilian_l"/>
    <n v="1"/>
    <x v="26"/>
    <x v="6"/>
    <x v="782"/>
    <n v="20.25"/>
    <n v="20.25"/>
    <x v="2"/>
    <x v="2"/>
    <s v="Coarse Sicilian Salami, Tomatoes, Green Olives, Luganega Sausage, Onions, Garlic"/>
    <x v="7"/>
  </r>
  <r>
    <n v="8218"/>
    <n v="3608"/>
    <n v="1"/>
    <s v="mexicana_l"/>
    <n v="1"/>
    <x v="26"/>
    <x v="6"/>
    <x v="783"/>
    <n v="20.25"/>
    <n v="20.25"/>
    <x v="2"/>
    <x v="1"/>
    <s v="Tomatoes, Red Peppers, Jalapeno Peppers, Red Onions, Cilantro, Corn, Chipotle Sauce, Garlic"/>
    <x v="1"/>
  </r>
  <r>
    <n v="8227"/>
    <n v="3613"/>
    <n v="1"/>
    <s v="the_greek_xl"/>
    <n v="1"/>
    <x v="26"/>
    <x v="6"/>
    <x v="784"/>
    <n v="25.5"/>
    <n v="25.5"/>
    <x v="3"/>
    <x v="0"/>
    <s v="Kalamata Olives, Feta Cheese, Tomatoes, Garlic, Beef Chuck Roast, Red Onions"/>
    <x v="2"/>
  </r>
  <r>
    <n v="8228"/>
    <n v="3614"/>
    <n v="1"/>
    <s v="sicilian_l"/>
    <n v="1"/>
    <x v="26"/>
    <x v="6"/>
    <x v="610"/>
    <n v="20.25"/>
    <n v="20.25"/>
    <x v="2"/>
    <x v="2"/>
    <s v="Coarse Sicilian Salami, Tomatoes, Green Olives, Luganega Sausage, Onions, Garlic"/>
    <x v="7"/>
  </r>
  <r>
    <n v="8232"/>
    <n v="3615"/>
    <n v="1"/>
    <s v="pepperoni_m"/>
    <n v="1"/>
    <x v="26"/>
    <x v="6"/>
    <x v="785"/>
    <n v="12.5"/>
    <n v="12.5"/>
    <x v="0"/>
    <x v="0"/>
    <s v="Mozzarella Cheese, Pepperoni"/>
    <x v="3"/>
  </r>
  <r>
    <n v="8238"/>
    <n v="3618"/>
    <n v="1"/>
    <s v="big_meat_s"/>
    <n v="1"/>
    <x v="26"/>
    <x v="6"/>
    <x v="786"/>
    <n v="12"/>
    <n v="12"/>
    <x v="1"/>
    <x v="0"/>
    <s v="Bacon, Pepperoni, Italian Sausage, Chorizo Sausage"/>
    <x v="4"/>
  </r>
  <r>
    <n v="8242"/>
    <n v="3619"/>
    <n v="1"/>
    <s v="napolitana_l"/>
    <n v="1"/>
    <x v="26"/>
    <x v="6"/>
    <x v="787"/>
    <n v="20.5"/>
    <n v="20.5"/>
    <x v="2"/>
    <x v="0"/>
    <s v="Tomatoes, Anchovies, Green Olives, Red Onions, Garlic"/>
    <x v="5"/>
  </r>
  <r>
    <n v="8244"/>
    <n v="3620"/>
    <n v="1"/>
    <s v="calabrese_m"/>
    <n v="1"/>
    <x v="26"/>
    <x v="6"/>
    <x v="788"/>
    <n v="16.25"/>
    <n v="16.25"/>
    <x v="0"/>
    <x v="2"/>
    <s v="?duja Salami, Pancetta, Tomatoes, Red Onions, Friggitello Peppers, Garlic"/>
    <x v="6"/>
  </r>
  <r>
    <n v="8245"/>
    <n v="3621"/>
    <n v="1"/>
    <s v="pepperoni_s"/>
    <n v="1"/>
    <x v="26"/>
    <x v="6"/>
    <x v="789"/>
    <n v="9.75"/>
    <n v="9.75"/>
    <x v="1"/>
    <x v="0"/>
    <s v="Mozzarella Cheese, Pepperoni"/>
    <x v="3"/>
  </r>
  <r>
    <n v="8246"/>
    <n v="3622"/>
    <n v="0.5"/>
    <s v="hawaiian_m"/>
    <n v="1"/>
    <x v="26"/>
    <x v="6"/>
    <x v="790"/>
    <n v="13.25"/>
    <n v="13.25"/>
    <x v="0"/>
    <x v="0"/>
    <s v="Sliced Ham, Pineapple, Mozzarella Cheese"/>
    <x v="0"/>
  </r>
  <r>
    <n v="8249"/>
    <n v="3622"/>
    <n v="0.5"/>
    <s v="the_greek_xl"/>
    <n v="1"/>
    <x v="26"/>
    <x v="6"/>
    <x v="790"/>
    <n v="25.5"/>
    <n v="25.5"/>
    <x v="3"/>
    <x v="0"/>
    <s v="Kalamata Olives, Feta Cheese, Tomatoes, Garlic, Beef Chuck Roast, Red Onions"/>
    <x v="2"/>
  </r>
  <r>
    <n v="8256"/>
    <n v="3626"/>
    <n v="1"/>
    <s v="mexicana_l"/>
    <n v="1"/>
    <x v="26"/>
    <x v="6"/>
    <x v="791"/>
    <n v="20.25"/>
    <n v="20.25"/>
    <x v="2"/>
    <x v="1"/>
    <s v="Tomatoes, Red Peppers, Jalapeno Peppers, Red Onions, Cilantro, Corn, Chipotle Sauce, Garlic"/>
    <x v="1"/>
  </r>
  <r>
    <n v="8263"/>
    <n v="3628"/>
    <n v="1"/>
    <s v="mexicana_l"/>
    <n v="1"/>
    <x v="26"/>
    <x v="6"/>
    <x v="792"/>
    <n v="20.25"/>
    <n v="20.25"/>
    <x v="2"/>
    <x v="1"/>
    <s v="Tomatoes, Red Peppers, Jalapeno Peppers, Red Onions, Cilantro, Corn, Chipotle Sauce, Garlic"/>
    <x v="1"/>
  </r>
  <r>
    <n v="8264"/>
    <n v="3629"/>
    <n v="1"/>
    <s v="big_meat_s"/>
    <n v="1"/>
    <x v="26"/>
    <x v="6"/>
    <x v="793"/>
    <n v="12"/>
    <n v="12"/>
    <x v="1"/>
    <x v="0"/>
    <s v="Bacon, Pepperoni, Italian Sausage, Chorizo Sausage"/>
    <x v="4"/>
  </r>
  <r>
    <n v="8272"/>
    <n v="3632"/>
    <n v="1"/>
    <s v="pepperoni_l"/>
    <n v="1"/>
    <x v="26"/>
    <x v="6"/>
    <x v="794"/>
    <n v="15.25"/>
    <n v="15.25"/>
    <x v="2"/>
    <x v="0"/>
    <s v="Mozzarella Cheese, Pepperoni"/>
    <x v="3"/>
  </r>
  <r>
    <n v="8273"/>
    <n v="3633"/>
    <n v="0.5"/>
    <s v="hawaiian_m"/>
    <n v="1"/>
    <x v="26"/>
    <x v="6"/>
    <x v="795"/>
    <n v="13.25"/>
    <n v="13.25"/>
    <x v="0"/>
    <x v="0"/>
    <s v="Sliced Ham, Pineapple, Mozzarella Cheese"/>
    <x v="0"/>
  </r>
  <r>
    <n v="8275"/>
    <n v="3633"/>
    <n v="0.5"/>
    <s v="pepperoni_m"/>
    <n v="1"/>
    <x v="26"/>
    <x v="6"/>
    <x v="795"/>
    <n v="12.5"/>
    <n v="12.5"/>
    <x v="0"/>
    <x v="0"/>
    <s v="Mozzarella Cheese, Pepperoni"/>
    <x v="3"/>
  </r>
  <r>
    <n v="8276"/>
    <n v="3634"/>
    <n v="1"/>
    <s v="big_meat_s"/>
    <n v="1"/>
    <x v="26"/>
    <x v="6"/>
    <x v="796"/>
    <n v="12"/>
    <n v="12"/>
    <x v="1"/>
    <x v="0"/>
    <s v="Bacon, Pepperoni, Italian Sausage, Chorizo Sausage"/>
    <x v="4"/>
  </r>
  <r>
    <n v="8279"/>
    <n v="3635"/>
    <n v="1"/>
    <s v="sicilian_l"/>
    <n v="1"/>
    <x v="26"/>
    <x v="6"/>
    <x v="797"/>
    <n v="20.25"/>
    <n v="20.25"/>
    <x v="2"/>
    <x v="2"/>
    <s v="Coarse Sicilian Salami, Tomatoes, Green Olives, Luganega Sausage, Onions, Garlic"/>
    <x v="7"/>
  </r>
  <r>
    <n v="8285"/>
    <n v="3637"/>
    <n v="1"/>
    <s v="hawaiian_s"/>
    <n v="1"/>
    <x v="26"/>
    <x v="6"/>
    <x v="798"/>
    <n v="10.5"/>
    <n v="10.5"/>
    <x v="1"/>
    <x v="0"/>
    <s v="Sliced Ham, Pineapple, Mozzarella Cheese"/>
    <x v="0"/>
  </r>
  <r>
    <n v="8289"/>
    <n v="3640"/>
    <n v="1"/>
    <s v="sicilian_s"/>
    <n v="1"/>
    <x v="27"/>
    <x v="6"/>
    <x v="799"/>
    <n v="12.25"/>
    <n v="12.25"/>
    <x v="1"/>
    <x v="2"/>
    <s v="Coarse Sicilian Salami, Tomatoes, Green Olives, Luganega Sausage, Onions, Garlic"/>
    <x v="7"/>
  </r>
  <r>
    <n v="8290"/>
    <n v="3641"/>
    <n v="1"/>
    <s v="napolitana_l"/>
    <n v="1"/>
    <x v="27"/>
    <x v="6"/>
    <x v="800"/>
    <n v="20.5"/>
    <n v="20.5"/>
    <x v="2"/>
    <x v="0"/>
    <s v="Tomatoes, Anchovies, Green Olives, Red Onions, Garlic"/>
    <x v="5"/>
  </r>
  <r>
    <n v="8292"/>
    <n v="3642"/>
    <n v="1"/>
    <s v="hawaiian_m"/>
    <n v="1"/>
    <x v="27"/>
    <x v="6"/>
    <x v="801"/>
    <n v="13.25"/>
    <n v="13.25"/>
    <x v="0"/>
    <x v="0"/>
    <s v="Sliced Ham, Pineapple, Mozzarella Cheese"/>
    <x v="0"/>
  </r>
  <r>
    <n v="8296"/>
    <n v="3643"/>
    <n v="1"/>
    <s v="napolitana_m"/>
    <n v="1"/>
    <x v="27"/>
    <x v="6"/>
    <x v="802"/>
    <n v="16"/>
    <n v="16"/>
    <x v="0"/>
    <x v="0"/>
    <s v="Tomatoes, Anchovies, Green Olives, Red Onions, Garlic"/>
    <x v="5"/>
  </r>
  <r>
    <n v="8298"/>
    <n v="3644"/>
    <n v="1"/>
    <s v="hawaiian_l"/>
    <n v="1"/>
    <x v="27"/>
    <x v="6"/>
    <x v="803"/>
    <n v="16.5"/>
    <n v="16.5"/>
    <x v="2"/>
    <x v="0"/>
    <s v="Sliced Ham, Pineapple, Mozzarella Cheese"/>
    <x v="0"/>
  </r>
  <r>
    <n v="8304"/>
    <n v="3648"/>
    <n v="1"/>
    <s v="hawaiian_s"/>
    <n v="1"/>
    <x v="27"/>
    <x v="6"/>
    <x v="804"/>
    <n v="10.5"/>
    <n v="10.5"/>
    <x v="1"/>
    <x v="0"/>
    <s v="Sliced Ham, Pineapple, Mozzarella Cheese"/>
    <x v="0"/>
  </r>
  <r>
    <n v="8305"/>
    <n v="3649"/>
    <n v="1"/>
    <s v="big_meat_s"/>
    <n v="1"/>
    <x v="27"/>
    <x v="6"/>
    <x v="805"/>
    <n v="12"/>
    <n v="12"/>
    <x v="1"/>
    <x v="0"/>
    <s v="Bacon, Pepperoni, Italian Sausage, Chorizo Sausage"/>
    <x v="4"/>
  </r>
  <r>
    <n v="8309"/>
    <n v="3650"/>
    <n v="0.5"/>
    <s v="calabrese_m"/>
    <n v="1"/>
    <x v="27"/>
    <x v="6"/>
    <x v="544"/>
    <n v="16.25"/>
    <n v="16.25"/>
    <x v="0"/>
    <x v="2"/>
    <s v="?duja Salami, Pancetta, Tomatoes, Red Onions, Friggitello Peppers, Garlic"/>
    <x v="6"/>
  </r>
  <r>
    <n v="8311"/>
    <n v="3650"/>
    <n v="0.5"/>
    <s v="hawaiian_l"/>
    <n v="1"/>
    <x v="27"/>
    <x v="6"/>
    <x v="544"/>
    <n v="16.5"/>
    <n v="16.5"/>
    <x v="2"/>
    <x v="0"/>
    <s v="Sliced Ham, Pineapple, Mozzarella Cheese"/>
    <x v="0"/>
  </r>
  <r>
    <n v="8319"/>
    <n v="3654"/>
    <n v="0.16666666666666666"/>
    <s v="big_meat_s"/>
    <n v="1"/>
    <x v="27"/>
    <x v="6"/>
    <x v="806"/>
    <n v="12"/>
    <n v="12"/>
    <x v="1"/>
    <x v="0"/>
    <s v="Bacon, Pepperoni, Italian Sausage, Chorizo Sausage"/>
    <x v="4"/>
  </r>
  <r>
    <n v="8324"/>
    <n v="3654"/>
    <n v="0.16666666666666666"/>
    <s v="hawaiian_l"/>
    <n v="1"/>
    <x v="27"/>
    <x v="6"/>
    <x v="806"/>
    <n v="16.5"/>
    <n v="16.5"/>
    <x v="2"/>
    <x v="0"/>
    <s v="Sliced Ham, Pineapple, Mozzarella Cheese"/>
    <x v="0"/>
  </r>
  <r>
    <n v="8325"/>
    <n v="3654"/>
    <n v="0.16666666666666666"/>
    <s v="hawaiian_s"/>
    <n v="1"/>
    <x v="27"/>
    <x v="6"/>
    <x v="806"/>
    <n v="10.5"/>
    <n v="10.5"/>
    <x v="1"/>
    <x v="0"/>
    <s v="Sliced Ham, Pineapple, Mozzarella Cheese"/>
    <x v="0"/>
  </r>
  <r>
    <n v="8326"/>
    <n v="3654"/>
    <n v="0.16666666666666666"/>
    <s v="mexicana_l"/>
    <n v="1"/>
    <x v="27"/>
    <x v="6"/>
    <x v="806"/>
    <n v="20.25"/>
    <n v="20.25"/>
    <x v="2"/>
    <x v="1"/>
    <s v="Tomatoes, Red Peppers, Jalapeno Peppers, Red Onions, Cilantro, Corn, Chipotle Sauce, Garlic"/>
    <x v="1"/>
  </r>
  <r>
    <n v="8327"/>
    <n v="3654"/>
    <n v="0.16666666666666666"/>
    <s v="napolitana_m"/>
    <n v="1"/>
    <x v="27"/>
    <x v="6"/>
    <x v="806"/>
    <n v="16"/>
    <n v="16"/>
    <x v="0"/>
    <x v="0"/>
    <s v="Tomatoes, Anchovies, Green Olives, Red Onions, Garlic"/>
    <x v="5"/>
  </r>
  <r>
    <n v="8328"/>
    <n v="3654"/>
    <n v="0.16666666666666666"/>
    <s v="sicilian_m"/>
    <n v="1"/>
    <x v="27"/>
    <x v="6"/>
    <x v="806"/>
    <n v="16.25"/>
    <n v="16.25"/>
    <x v="0"/>
    <x v="2"/>
    <s v="Coarse Sicilian Salami, Tomatoes, Green Olives, Luganega Sausage, Onions, Garlic"/>
    <x v="7"/>
  </r>
  <r>
    <n v="8331"/>
    <n v="3655"/>
    <n v="0.5"/>
    <s v="napolitana_l"/>
    <n v="1"/>
    <x v="27"/>
    <x v="6"/>
    <x v="807"/>
    <n v="20.5"/>
    <n v="20.5"/>
    <x v="2"/>
    <x v="0"/>
    <s v="Tomatoes, Anchovies, Green Olives, Red Onions, Garlic"/>
    <x v="5"/>
  </r>
  <r>
    <n v="8332"/>
    <n v="3655"/>
    <n v="0.5"/>
    <s v="sicilian_m"/>
    <n v="1"/>
    <x v="27"/>
    <x v="6"/>
    <x v="807"/>
    <n v="16.25"/>
    <n v="16.25"/>
    <x v="0"/>
    <x v="2"/>
    <s v="Coarse Sicilian Salami, Tomatoes, Green Olives, Luganega Sausage, Onions, Garlic"/>
    <x v="7"/>
  </r>
  <r>
    <n v="8336"/>
    <n v="3657"/>
    <n v="1"/>
    <s v="mexicana_m"/>
    <n v="1"/>
    <x v="27"/>
    <x v="6"/>
    <x v="808"/>
    <n v="16"/>
    <n v="16"/>
    <x v="0"/>
    <x v="1"/>
    <s v="Tomatoes, Red Peppers, Jalapeno Peppers, Red Onions, Cilantro, Corn, Chipotle Sauce, Garlic"/>
    <x v="1"/>
  </r>
  <r>
    <n v="8340"/>
    <n v="3659"/>
    <n v="0.5"/>
    <s v="hawaiian_m"/>
    <n v="1"/>
    <x v="27"/>
    <x v="6"/>
    <x v="809"/>
    <n v="13.25"/>
    <n v="13.25"/>
    <x v="0"/>
    <x v="0"/>
    <s v="Sliced Ham, Pineapple, Mozzarella Cheese"/>
    <x v="0"/>
  </r>
  <r>
    <n v="8341"/>
    <n v="3659"/>
    <n v="0.5"/>
    <s v="pepperoni_l"/>
    <n v="1"/>
    <x v="27"/>
    <x v="6"/>
    <x v="809"/>
    <n v="15.25"/>
    <n v="15.25"/>
    <x v="2"/>
    <x v="0"/>
    <s v="Mozzarella Cheese, Pepperoni"/>
    <x v="3"/>
  </r>
  <r>
    <n v="8349"/>
    <n v="3660"/>
    <n v="0.33333333333333331"/>
    <s v="big_meat_s"/>
    <n v="1"/>
    <x v="27"/>
    <x v="6"/>
    <x v="810"/>
    <n v="12"/>
    <n v="12"/>
    <x v="1"/>
    <x v="0"/>
    <s v="Bacon, Pepperoni, Italian Sausage, Chorizo Sausage"/>
    <x v="4"/>
  </r>
  <r>
    <n v="8351"/>
    <n v="3660"/>
    <n v="0.33333333333333331"/>
    <s v="hawaiian_l"/>
    <n v="1"/>
    <x v="27"/>
    <x v="6"/>
    <x v="810"/>
    <n v="16.5"/>
    <n v="16.5"/>
    <x v="2"/>
    <x v="0"/>
    <s v="Sliced Ham, Pineapple, Mozzarella Cheese"/>
    <x v="0"/>
  </r>
  <r>
    <n v="8352"/>
    <n v="3660"/>
    <n v="0.33333333333333331"/>
    <s v="pepperoni_m"/>
    <n v="1"/>
    <x v="27"/>
    <x v="6"/>
    <x v="810"/>
    <n v="12.5"/>
    <n v="12.5"/>
    <x v="0"/>
    <x v="0"/>
    <s v="Mozzarella Cheese, Pepperoni"/>
    <x v="3"/>
  </r>
  <r>
    <n v="8355"/>
    <n v="3661"/>
    <n v="1"/>
    <s v="mexicana_s"/>
    <n v="1"/>
    <x v="27"/>
    <x v="6"/>
    <x v="811"/>
    <n v="12"/>
    <n v="12"/>
    <x v="1"/>
    <x v="1"/>
    <s v="Tomatoes, Red Peppers, Jalapeno Peppers, Red Onions, Cilantro, Corn, Chipotle Sauce, Garlic"/>
    <x v="1"/>
  </r>
  <r>
    <n v="8360"/>
    <n v="3663"/>
    <n v="0.5"/>
    <s v="mexicana_l"/>
    <n v="1"/>
    <x v="27"/>
    <x v="6"/>
    <x v="812"/>
    <n v="20.25"/>
    <n v="20.25"/>
    <x v="2"/>
    <x v="1"/>
    <s v="Tomatoes, Red Peppers, Jalapeno Peppers, Red Onions, Cilantro, Corn, Chipotle Sauce, Garlic"/>
    <x v="1"/>
  </r>
  <r>
    <n v="8361"/>
    <n v="3663"/>
    <n v="0.5"/>
    <s v="sicilian_l"/>
    <n v="1"/>
    <x v="27"/>
    <x v="6"/>
    <x v="812"/>
    <n v="20.25"/>
    <n v="20.25"/>
    <x v="2"/>
    <x v="2"/>
    <s v="Coarse Sicilian Salami, Tomatoes, Green Olives, Luganega Sausage, Onions, Garlic"/>
    <x v="7"/>
  </r>
  <r>
    <n v="8371"/>
    <n v="3668"/>
    <n v="0.5"/>
    <s v="hawaiian_s"/>
    <n v="1"/>
    <x v="27"/>
    <x v="6"/>
    <x v="813"/>
    <n v="10.5"/>
    <n v="10.5"/>
    <x v="1"/>
    <x v="0"/>
    <s v="Sliced Ham, Pineapple, Mozzarella Cheese"/>
    <x v="0"/>
  </r>
  <r>
    <n v="8373"/>
    <n v="3668"/>
    <n v="0.5"/>
    <s v="sicilian_l"/>
    <n v="1"/>
    <x v="27"/>
    <x v="6"/>
    <x v="813"/>
    <n v="20.25"/>
    <n v="20.25"/>
    <x v="2"/>
    <x v="2"/>
    <s v="Coarse Sicilian Salami, Tomatoes, Green Olives, Luganega Sausage, Onions, Garlic"/>
    <x v="7"/>
  </r>
  <r>
    <n v="8374"/>
    <n v="3669"/>
    <n v="0.5"/>
    <s v="big_meat_s"/>
    <n v="1"/>
    <x v="27"/>
    <x v="6"/>
    <x v="814"/>
    <n v="12"/>
    <n v="12"/>
    <x v="1"/>
    <x v="0"/>
    <s v="Bacon, Pepperoni, Italian Sausage, Chorizo Sausage"/>
    <x v="4"/>
  </r>
  <r>
    <n v="8375"/>
    <n v="3669"/>
    <n v="0.5"/>
    <s v="brie_carre_s"/>
    <n v="1"/>
    <x v="27"/>
    <x v="6"/>
    <x v="814"/>
    <n v="23.65"/>
    <n v="23.65"/>
    <x v="1"/>
    <x v="2"/>
    <s v="Brie Carre Cheese, Prosciutto, Caramelized Onions, Pears, Thyme, Garlic"/>
    <x v="8"/>
  </r>
  <r>
    <n v="8381"/>
    <n v="3671"/>
    <n v="1"/>
    <s v="the_greek_m"/>
    <n v="1"/>
    <x v="27"/>
    <x v="6"/>
    <x v="815"/>
    <n v="16"/>
    <n v="16"/>
    <x v="0"/>
    <x v="0"/>
    <s v="Kalamata Olives, Feta Cheese, Tomatoes, Garlic, Beef Chuck Roast, Red Onions"/>
    <x v="2"/>
  </r>
  <r>
    <n v="8383"/>
    <n v="3673"/>
    <n v="1"/>
    <s v="brie_carre_s"/>
    <n v="1"/>
    <x v="27"/>
    <x v="6"/>
    <x v="816"/>
    <n v="23.65"/>
    <n v="23.65"/>
    <x v="1"/>
    <x v="2"/>
    <s v="Brie Carre Cheese, Prosciutto, Caramelized Onions, Pears, Thyme, Garlic"/>
    <x v="8"/>
  </r>
  <r>
    <n v="8387"/>
    <n v="3675"/>
    <n v="0.5"/>
    <s v="hawaiian_s"/>
    <n v="1"/>
    <x v="27"/>
    <x v="6"/>
    <x v="817"/>
    <n v="10.5"/>
    <n v="10.5"/>
    <x v="1"/>
    <x v="0"/>
    <s v="Sliced Ham, Pineapple, Mozzarella Cheese"/>
    <x v="0"/>
  </r>
  <r>
    <n v="8388"/>
    <n v="3675"/>
    <n v="0.5"/>
    <s v="mexicana_l"/>
    <n v="1"/>
    <x v="27"/>
    <x v="6"/>
    <x v="817"/>
    <n v="20.25"/>
    <n v="20.25"/>
    <x v="2"/>
    <x v="1"/>
    <s v="Tomatoes, Red Peppers, Jalapeno Peppers, Red Onions, Cilantro, Corn, Chipotle Sauce, Garlic"/>
    <x v="1"/>
  </r>
  <r>
    <n v="8390"/>
    <n v="3676"/>
    <n v="1"/>
    <s v="sicilian_m"/>
    <n v="1"/>
    <x v="27"/>
    <x v="6"/>
    <x v="818"/>
    <n v="16.25"/>
    <n v="16.25"/>
    <x v="0"/>
    <x v="2"/>
    <s v="Coarse Sicilian Salami, Tomatoes, Green Olives, Luganega Sausage, Onions, Garlic"/>
    <x v="7"/>
  </r>
  <r>
    <n v="8391"/>
    <n v="3677"/>
    <n v="0.5"/>
    <s v="big_meat_s"/>
    <n v="1"/>
    <x v="27"/>
    <x v="6"/>
    <x v="819"/>
    <n v="12"/>
    <n v="12"/>
    <x v="1"/>
    <x v="0"/>
    <s v="Bacon, Pepperoni, Italian Sausage, Chorizo Sausage"/>
    <x v="4"/>
  </r>
  <r>
    <n v="8393"/>
    <n v="3677"/>
    <n v="0.5"/>
    <s v="pepperoni_l"/>
    <n v="1"/>
    <x v="27"/>
    <x v="6"/>
    <x v="819"/>
    <n v="15.25"/>
    <n v="15.25"/>
    <x v="2"/>
    <x v="0"/>
    <s v="Mozzarella Cheese, Pepperoni"/>
    <x v="3"/>
  </r>
  <r>
    <n v="8395"/>
    <n v="3678"/>
    <n v="1"/>
    <s v="pepperoni_s"/>
    <n v="1"/>
    <x v="27"/>
    <x v="6"/>
    <x v="820"/>
    <n v="9.75"/>
    <n v="9.75"/>
    <x v="1"/>
    <x v="0"/>
    <s v="Mozzarella Cheese, Pepperoni"/>
    <x v="3"/>
  </r>
  <r>
    <n v="8399"/>
    <n v="3681"/>
    <n v="1"/>
    <s v="hawaiian_m"/>
    <n v="1"/>
    <x v="27"/>
    <x v="6"/>
    <x v="821"/>
    <n v="13.25"/>
    <n v="13.25"/>
    <x v="0"/>
    <x v="0"/>
    <s v="Sliced Ham, Pineapple, Mozzarella Cheese"/>
    <x v="0"/>
  </r>
  <r>
    <n v="8401"/>
    <n v="3682"/>
    <n v="1"/>
    <s v="mexicana_l"/>
    <n v="1"/>
    <x v="27"/>
    <x v="6"/>
    <x v="822"/>
    <n v="20.25"/>
    <n v="20.25"/>
    <x v="2"/>
    <x v="1"/>
    <s v="Tomatoes, Red Peppers, Jalapeno Peppers, Red Onions, Cilantro, Corn, Chipotle Sauce, Garlic"/>
    <x v="1"/>
  </r>
  <r>
    <n v="8406"/>
    <n v="3684"/>
    <n v="1"/>
    <s v="brie_carre_s"/>
    <n v="1"/>
    <x v="27"/>
    <x v="6"/>
    <x v="823"/>
    <n v="23.65"/>
    <n v="23.65"/>
    <x v="1"/>
    <x v="2"/>
    <s v="Brie Carre Cheese, Prosciutto, Caramelized Onions, Pears, Thyme, Garlic"/>
    <x v="8"/>
  </r>
  <r>
    <n v="8411"/>
    <n v="3687"/>
    <n v="1"/>
    <s v="sicilian_l"/>
    <n v="1"/>
    <x v="27"/>
    <x v="6"/>
    <x v="824"/>
    <n v="20.25"/>
    <n v="20.25"/>
    <x v="2"/>
    <x v="2"/>
    <s v="Coarse Sicilian Salami, Tomatoes, Green Olives, Luganega Sausage, Onions, Garlic"/>
    <x v="7"/>
  </r>
  <r>
    <n v="8420"/>
    <n v="3691"/>
    <n v="0.5"/>
    <s v="mexicana_l"/>
    <n v="1"/>
    <x v="28"/>
    <x v="3"/>
    <x v="825"/>
    <n v="20.25"/>
    <n v="20.25"/>
    <x v="2"/>
    <x v="1"/>
    <s v="Tomatoes, Red Peppers, Jalapeno Peppers, Red Onions, Cilantro, Corn, Chipotle Sauce, Garlic"/>
    <x v="1"/>
  </r>
  <r>
    <n v="8422"/>
    <n v="3691"/>
    <n v="0.5"/>
    <s v="sicilian_l"/>
    <n v="1"/>
    <x v="28"/>
    <x v="3"/>
    <x v="825"/>
    <n v="20.25"/>
    <n v="20.25"/>
    <x v="2"/>
    <x v="2"/>
    <s v="Coarse Sicilian Salami, Tomatoes, Green Olives, Luganega Sausage, Onions, Garlic"/>
    <x v="7"/>
  </r>
  <r>
    <n v="8425"/>
    <n v="3692"/>
    <n v="1"/>
    <s v="hawaiian_m"/>
    <n v="1"/>
    <x v="28"/>
    <x v="3"/>
    <x v="826"/>
    <n v="13.25"/>
    <n v="13.25"/>
    <x v="0"/>
    <x v="0"/>
    <s v="Sliced Ham, Pineapple, Mozzarella Cheese"/>
    <x v="0"/>
  </r>
  <r>
    <n v="8431"/>
    <n v="3694"/>
    <n v="1"/>
    <s v="calabrese_m"/>
    <n v="1"/>
    <x v="28"/>
    <x v="3"/>
    <x v="827"/>
    <n v="16.25"/>
    <n v="16.25"/>
    <x v="0"/>
    <x v="2"/>
    <s v="?duja Salami, Pancetta, Tomatoes, Red Onions, Friggitello Peppers, Garlic"/>
    <x v="6"/>
  </r>
  <r>
    <n v="8433"/>
    <n v="3696"/>
    <n v="1"/>
    <s v="hawaiian_s"/>
    <n v="1"/>
    <x v="28"/>
    <x v="3"/>
    <x v="828"/>
    <n v="10.5"/>
    <n v="10.5"/>
    <x v="1"/>
    <x v="0"/>
    <s v="Sliced Ham, Pineapple, Mozzarella Cheese"/>
    <x v="0"/>
  </r>
  <r>
    <n v="8436"/>
    <n v="3697"/>
    <n v="1"/>
    <s v="napolitana_m"/>
    <n v="1"/>
    <x v="28"/>
    <x v="3"/>
    <x v="829"/>
    <n v="16"/>
    <n v="16"/>
    <x v="0"/>
    <x v="0"/>
    <s v="Tomatoes, Anchovies, Green Olives, Red Onions, Garlic"/>
    <x v="5"/>
  </r>
  <r>
    <n v="8439"/>
    <n v="3699"/>
    <n v="1"/>
    <s v="big_meat_s"/>
    <n v="1"/>
    <x v="28"/>
    <x v="3"/>
    <x v="830"/>
    <n v="12"/>
    <n v="12"/>
    <x v="1"/>
    <x v="0"/>
    <s v="Bacon, Pepperoni, Italian Sausage, Chorizo Sausage"/>
    <x v="4"/>
  </r>
  <r>
    <n v="8442"/>
    <n v="3700"/>
    <n v="0.5"/>
    <s v="calabrese_m"/>
    <n v="1"/>
    <x v="28"/>
    <x v="3"/>
    <x v="831"/>
    <n v="16.25"/>
    <n v="16.25"/>
    <x v="0"/>
    <x v="2"/>
    <s v="?duja Salami, Pancetta, Tomatoes, Red Onions, Friggitello Peppers, Garlic"/>
    <x v="6"/>
  </r>
  <r>
    <n v="8443"/>
    <n v="3700"/>
    <n v="0.5"/>
    <s v="pepperoni_m"/>
    <n v="1"/>
    <x v="28"/>
    <x v="3"/>
    <x v="831"/>
    <n v="12.5"/>
    <n v="12.5"/>
    <x v="0"/>
    <x v="0"/>
    <s v="Mozzarella Cheese, Pepperoni"/>
    <x v="3"/>
  </r>
  <r>
    <n v="8452"/>
    <n v="3702"/>
    <n v="1"/>
    <s v="the_greek_m"/>
    <n v="1"/>
    <x v="28"/>
    <x v="3"/>
    <x v="832"/>
    <n v="16"/>
    <n v="16"/>
    <x v="0"/>
    <x v="0"/>
    <s v="Kalamata Olives, Feta Cheese, Tomatoes, Garlic, Beef Chuck Roast, Red Onions"/>
    <x v="2"/>
  </r>
  <r>
    <n v="8454"/>
    <n v="3703"/>
    <n v="0.5"/>
    <s v="brie_carre_s"/>
    <n v="1"/>
    <x v="28"/>
    <x v="3"/>
    <x v="833"/>
    <n v="23.65"/>
    <n v="23.65"/>
    <x v="1"/>
    <x v="2"/>
    <s v="Brie Carre Cheese, Prosciutto, Caramelized Onions, Pears, Thyme, Garlic"/>
    <x v="8"/>
  </r>
  <r>
    <n v="8455"/>
    <n v="3703"/>
    <n v="0.5"/>
    <s v="calabrese_m"/>
    <n v="1"/>
    <x v="28"/>
    <x v="3"/>
    <x v="833"/>
    <n v="16.25"/>
    <n v="16.25"/>
    <x v="0"/>
    <x v="2"/>
    <s v="?duja Salami, Pancetta, Tomatoes, Red Onions, Friggitello Peppers, Garlic"/>
    <x v="6"/>
  </r>
  <r>
    <n v="8456"/>
    <n v="3704"/>
    <n v="1"/>
    <s v="hawaiian_s"/>
    <n v="1"/>
    <x v="28"/>
    <x v="3"/>
    <x v="834"/>
    <n v="10.5"/>
    <n v="10.5"/>
    <x v="1"/>
    <x v="0"/>
    <s v="Sliced Ham, Pineapple, Mozzarella Cheese"/>
    <x v="0"/>
  </r>
  <r>
    <n v="8460"/>
    <n v="3705"/>
    <n v="1"/>
    <s v="mexicana_m"/>
    <n v="1"/>
    <x v="28"/>
    <x v="3"/>
    <x v="835"/>
    <n v="16"/>
    <n v="16"/>
    <x v="0"/>
    <x v="1"/>
    <s v="Tomatoes, Red Peppers, Jalapeno Peppers, Red Onions, Cilantro, Corn, Chipotle Sauce, Garlic"/>
    <x v="1"/>
  </r>
  <r>
    <n v="8462"/>
    <n v="3706"/>
    <n v="1"/>
    <s v="napolitana_l"/>
    <n v="1"/>
    <x v="28"/>
    <x v="3"/>
    <x v="836"/>
    <n v="20.5"/>
    <n v="20.5"/>
    <x v="2"/>
    <x v="0"/>
    <s v="Tomatoes, Anchovies, Green Olives, Red Onions, Garlic"/>
    <x v="5"/>
  </r>
  <r>
    <n v="8463"/>
    <n v="3707"/>
    <n v="1"/>
    <s v="hawaiian_l"/>
    <n v="1"/>
    <x v="28"/>
    <x v="3"/>
    <x v="837"/>
    <n v="16.5"/>
    <n v="16.5"/>
    <x v="2"/>
    <x v="0"/>
    <s v="Sliced Ham, Pineapple, Mozzarella Cheese"/>
    <x v="0"/>
  </r>
  <r>
    <n v="8465"/>
    <n v="3709"/>
    <n v="1"/>
    <s v="sicilian_l"/>
    <n v="2"/>
    <x v="28"/>
    <x v="3"/>
    <x v="838"/>
    <n v="20.25"/>
    <n v="40.5"/>
    <x v="2"/>
    <x v="2"/>
    <s v="Coarse Sicilian Salami, Tomatoes, Green Olives, Luganega Sausage, Onions, Garlic"/>
    <x v="7"/>
  </r>
  <r>
    <n v="8474"/>
    <n v="3710"/>
    <n v="1"/>
    <s v="sicilian_l"/>
    <n v="1"/>
    <x v="28"/>
    <x v="3"/>
    <x v="839"/>
    <n v="20.25"/>
    <n v="20.25"/>
    <x v="2"/>
    <x v="2"/>
    <s v="Coarse Sicilian Salami, Tomatoes, Green Olives, Luganega Sausage, Onions, Garlic"/>
    <x v="7"/>
  </r>
  <r>
    <n v="8481"/>
    <n v="3713"/>
    <n v="0.5"/>
    <s v="hawaiian_s"/>
    <n v="1"/>
    <x v="28"/>
    <x v="3"/>
    <x v="840"/>
    <n v="10.5"/>
    <n v="10.5"/>
    <x v="1"/>
    <x v="0"/>
    <s v="Sliced Ham, Pineapple, Mozzarella Cheese"/>
    <x v="0"/>
  </r>
  <r>
    <n v="8482"/>
    <n v="3713"/>
    <n v="0.5"/>
    <s v="mexicana_m"/>
    <n v="1"/>
    <x v="28"/>
    <x v="3"/>
    <x v="840"/>
    <n v="16"/>
    <n v="16"/>
    <x v="0"/>
    <x v="1"/>
    <s v="Tomatoes, Red Peppers, Jalapeno Peppers, Red Onions, Cilantro, Corn, Chipotle Sauce, Garlic"/>
    <x v="1"/>
  </r>
  <r>
    <n v="8483"/>
    <n v="3714"/>
    <n v="1"/>
    <s v="hawaiian_l"/>
    <n v="1"/>
    <x v="28"/>
    <x v="3"/>
    <x v="841"/>
    <n v="16.5"/>
    <n v="16.5"/>
    <x v="2"/>
    <x v="0"/>
    <s v="Sliced Ham, Pineapple, Mozzarella Cheese"/>
    <x v="0"/>
  </r>
  <r>
    <n v="8487"/>
    <n v="3716"/>
    <n v="0.5"/>
    <s v="hawaiian_s"/>
    <n v="1"/>
    <x v="28"/>
    <x v="3"/>
    <x v="842"/>
    <n v="10.5"/>
    <n v="10.5"/>
    <x v="1"/>
    <x v="0"/>
    <s v="Sliced Ham, Pineapple, Mozzarella Cheese"/>
    <x v="0"/>
  </r>
  <r>
    <n v="8488"/>
    <n v="3716"/>
    <n v="0.5"/>
    <s v="napolitana_s"/>
    <n v="1"/>
    <x v="28"/>
    <x v="3"/>
    <x v="842"/>
    <n v="12"/>
    <n v="12"/>
    <x v="1"/>
    <x v="0"/>
    <s v="Tomatoes, Anchovies, Green Olives, Red Onions, Garlic"/>
    <x v="5"/>
  </r>
  <r>
    <n v="8495"/>
    <n v="3722"/>
    <n v="1"/>
    <s v="calabrese_m"/>
    <n v="1"/>
    <x v="28"/>
    <x v="3"/>
    <x v="843"/>
    <n v="16.25"/>
    <n v="16.25"/>
    <x v="0"/>
    <x v="2"/>
    <s v="?duja Salami, Pancetta, Tomatoes, Red Onions, Friggitello Peppers, Garlic"/>
    <x v="6"/>
  </r>
  <r>
    <n v="8500"/>
    <n v="3724"/>
    <n v="1"/>
    <s v="pepperoni_l"/>
    <n v="1"/>
    <x v="28"/>
    <x v="3"/>
    <x v="844"/>
    <n v="15.25"/>
    <n v="15.25"/>
    <x v="2"/>
    <x v="0"/>
    <s v="Mozzarella Cheese, Pepperoni"/>
    <x v="3"/>
  </r>
  <r>
    <n v="8503"/>
    <n v="3725"/>
    <n v="0.5"/>
    <s v="napolitana_m"/>
    <n v="1"/>
    <x v="28"/>
    <x v="3"/>
    <x v="845"/>
    <n v="16"/>
    <n v="16"/>
    <x v="0"/>
    <x v="0"/>
    <s v="Tomatoes, Anchovies, Green Olives, Red Onions, Garlic"/>
    <x v="5"/>
  </r>
  <r>
    <n v="8504"/>
    <n v="3725"/>
    <n v="0.5"/>
    <s v="the_greek_xl"/>
    <n v="1"/>
    <x v="28"/>
    <x v="3"/>
    <x v="845"/>
    <n v="25.5"/>
    <n v="25.5"/>
    <x v="3"/>
    <x v="0"/>
    <s v="Kalamata Olives, Feta Cheese, Tomatoes, Garlic, Beef Chuck Roast, Red Onions"/>
    <x v="2"/>
  </r>
  <r>
    <n v="8505"/>
    <n v="3726"/>
    <n v="1"/>
    <s v="big_meat_s"/>
    <n v="1"/>
    <x v="28"/>
    <x v="3"/>
    <x v="846"/>
    <n v="12"/>
    <n v="12"/>
    <x v="1"/>
    <x v="0"/>
    <s v="Bacon, Pepperoni, Italian Sausage, Chorizo Sausage"/>
    <x v="4"/>
  </r>
  <r>
    <n v="8509"/>
    <n v="3728"/>
    <n v="1"/>
    <s v="napolitana_m"/>
    <n v="1"/>
    <x v="28"/>
    <x v="3"/>
    <x v="847"/>
    <n v="16"/>
    <n v="16"/>
    <x v="0"/>
    <x v="0"/>
    <s v="Tomatoes, Anchovies, Green Olives, Red Onions, Garlic"/>
    <x v="5"/>
  </r>
  <r>
    <n v="8516"/>
    <n v="3729"/>
    <n v="1"/>
    <s v="napolitana_s"/>
    <n v="1"/>
    <x v="28"/>
    <x v="3"/>
    <x v="848"/>
    <n v="12"/>
    <n v="12"/>
    <x v="1"/>
    <x v="0"/>
    <s v="Tomatoes, Anchovies, Green Olives, Red Onions, Garlic"/>
    <x v="5"/>
  </r>
  <r>
    <n v="8525"/>
    <n v="3733"/>
    <n v="1"/>
    <s v="napolitana_l"/>
    <n v="1"/>
    <x v="28"/>
    <x v="3"/>
    <x v="849"/>
    <n v="20.5"/>
    <n v="20.5"/>
    <x v="2"/>
    <x v="0"/>
    <s v="Tomatoes, Anchovies, Green Olives, Red Onions, Garlic"/>
    <x v="5"/>
  </r>
  <r>
    <n v="8527"/>
    <n v="3734"/>
    <n v="0.5"/>
    <s v="big_meat_s"/>
    <n v="1"/>
    <x v="28"/>
    <x v="3"/>
    <x v="850"/>
    <n v="12"/>
    <n v="12"/>
    <x v="1"/>
    <x v="0"/>
    <s v="Bacon, Pepperoni, Italian Sausage, Chorizo Sausage"/>
    <x v="4"/>
  </r>
  <r>
    <n v="8529"/>
    <n v="3734"/>
    <n v="0.5"/>
    <s v="pepperoni_s"/>
    <n v="1"/>
    <x v="28"/>
    <x v="3"/>
    <x v="850"/>
    <n v="9.75"/>
    <n v="9.75"/>
    <x v="1"/>
    <x v="0"/>
    <s v="Mozzarella Cheese, Pepperoni"/>
    <x v="3"/>
  </r>
  <r>
    <n v="8534"/>
    <n v="3736"/>
    <n v="0.5"/>
    <s v="big_meat_s"/>
    <n v="1"/>
    <x v="28"/>
    <x v="3"/>
    <x v="851"/>
    <n v="12"/>
    <n v="12"/>
    <x v="1"/>
    <x v="0"/>
    <s v="Bacon, Pepperoni, Italian Sausage, Chorizo Sausage"/>
    <x v="4"/>
  </r>
  <r>
    <n v="8536"/>
    <n v="3736"/>
    <n v="0.5"/>
    <s v="mexicana_l"/>
    <n v="1"/>
    <x v="28"/>
    <x v="3"/>
    <x v="851"/>
    <n v="20.25"/>
    <n v="20.25"/>
    <x v="2"/>
    <x v="1"/>
    <s v="Tomatoes, Red Peppers, Jalapeno Peppers, Red Onions, Cilantro, Corn, Chipotle Sauce, Garlic"/>
    <x v="1"/>
  </r>
  <r>
    <n v="8543"/>
    <n v="3740"/>
    <n v="1"/>
    <s v="sicilian_s"/>
    <n v="1"/>
    <x v="28"/>
    <x v="3"/>
    <x v="852"/>
    <n v="12.25"/>
    <n v="12.25"/>
    <x v="1"/>
    <x v="2"/>
    <s v="Coarse Sicilian Salami, Tomatoes, Green Olives, Luganega Sausage, Onions, Garlic"/>
    <x v="7"/>
  </r>
  <r>
    <n v="8548"/>
    <n v="3744"/>
    <n v="1"/>
    <s v="big_meat_s"/>
    <n v="1"/>
    <x v="28"/>
    <x v="3"/>
    <x v="853"/>
    <n v="12"/>
    <n v="12"/>
    <x v="1"/>
    <x v="0"/>
    <s v="Bacon, Pepperoni, Italian Sausage, Chorizo Sausage"/>
    <x v="4"/>
  </r>
  <r>
    <n v="8552"/>
    <n v="3746"/>
    <n v="1"/>
    <s v="napolitana_s"/>
    <n v="1"/>
    <x v="28"/>
    <x v="3"/>
    <x v="854"/>
    <n v="12"/>
    <n v="12"/>
    <x v="1"/>
    <x v="0"/>
    <s v="Tomatoes, Anchovies, Green Olives, Red Onions, Garlic"/>
    <x v="5"/>
  </r>
  <r>
    <n v="8560"/>
    <n v="3749"/>
    <n v="1"/>
    <s v="hawaiian_l"/>
    <n v="1"/>
    <x v="28"/>
    <x v="3"/>
    <x v="855"/>
    <n v="16.5"/>
    <n v="16.5"/>
    <x v="2"/>
    <x v="0"/>
    <s v="Sliced Ham, Pineapple, Mozzarella Cheese"/>
    <x v="0"/>
  </r>
  <r>
    <n v="8565"/>
    <n v="3751"/>
    <n v="0.5"/>
    <s v="napolitana_s"/>
    <n v="1"/>
    <x v="29"/>
    <x v="1"/>
    <x v="856"/>
    <n v="12"/>
    <n v="12"/>
    <x v="1"/>
    <x v="0"/>
    <s v="Tomatoes, Anchovies, Green Olives, Red Onions, Garlic"/>
    <x v="5"/>
  </r>
  <r>
    <n v="8566"/>
    <n v="3751"/>
    <n v="0.5"/>
    <s v="pepperoni_l"/>
    <n v="1"/>
    <x v="29"/>
    <x v="1"/>
    <x v="856"/>
    <n v="15.25"/>
    <n v="15.25"/>
    <x v="2"/>
    <x v="0"/>
    <s v="Mozzarella Cheese, Pepperoni"/>
    <x v="3"/>
  </r>
  <r>
    <n v="8570"/>
    <n v="3753"/>
    <n v="1"/>
    <s v="hawaiian_l"/>
    <n v="1"/>
    <x v="29"/>
    <x v="1"/>
    <x v="857"/>
    <n v="16.5"/>
    <n v="16.5"/>
    <x v="2"/>
    <x v="0"/>
    <s v="Sliced Ham, Pineapple, Mozzarella Cheese"/>
    <x v="0"/>
  </r>
  <r>
    <n v="8572"/>
    <n v="3754"/>
    <n v="1"/>
    <s v="hawaiian_s"/>
    <n v="1"/>
    <x v="29"/>
    <x v="1"/>
    <x v="858"/>
    <n v="10.5"/>
    <n v="10.5"/>
    <x v="1"/>
    <x v="0"/>
    <s v="Sliced Ham, Pineapple, Mozzarella Cheese"/>
    <x v="0"/>
  </r>
  <r>
    <n v="8575"/>
    <n v="3756"/>
    <n v="1"/>
    <s v="calabrese_l"/>
    <n v="1"/>
    <x v="29"/>
    <x v="1"/>
    <x v="859"/>
    <n v="20.25"/>
    <n v="20.25"/>
    <x v="2"/>
    <x v="2"/>
    <s v="?duja Salami, Pancetta, Tomatoes, Red Onions, Friggitello Peppers, Garlic"/>
    <x v="6"/>
  </r>
  <r>
    <n v="8583"/>
    <n v="3762"/>
    <n v="1"/>
    <s v="hawaiian_l"/>
    <n v="1"/>
    <x v="29"/>
    <x v="1"/>
    <x v="860"/>
    <n v="16.5"/>
    <n v="16.5"/>
    <x v="2"/>
    <x v="0"/>
    <s v="Sliced Ham, Pineapple, Mozzarella Cheese"/>
    <x v="0"/>
  </r>
  <r>
    <n v="8590"/>
    <n v="3765"/>
    <n v="1"/>
    <s v="the_greek_xl"/>
    <n v="1"/>
    <x v="29"/>
    <x v="1"/>
    <x v="861"/>
    <n v="25.5"/>
    <n v="25.5"/>
    <x v="3"/>
    <x v="0"/>
    <s v="Kalamata Olives, Feta Cheese, Tomatoes, Garlic, Beef Chuck Roast, Red Onions"/>
    <x v="2"/>
  </r>
  <r>
    <n v="8603"/>
    <n v="3773"/>
    <n v="1"/>
    <s v="napolitana_s"/>
    <n v="1"/>
    <x v="29"/>
    <x v="1"/>
    <x v="862"/>
    <n v="12"/>
    <n v="12"/>
    <x v="1"/>
    <x v="0"/>
    <s v="Tomatoes, Anchovies, Green Olives, Red Onions, Garlic"/>
    <x v="5"/>
  </r>
  <r>
    <n v="8608"/>
    <n v="3774"/>
    <n v="0.5"/>
    <s v="hawaiian_l"/>
    <n v="1"/>
    <x v="29"/>
    <x v="1"/>
    <x v="863"/>
    <n v="16.5"/>
    <n v="16.5"/>
    <x v="2"/>
    <x v="0"/>
    <s v="Sliced Ham, Pineapple, Mozzarella Cheese"/>
    <x v="0"/>
  </r>
  <r>
    <n v="8611"/>
    <n v="3774"/>
    <n v="0.5"/>
    <s v="sicilian_s"/>
    <n v="1"/>
    <x v="29"/>
    <x v="1"/>
    <x v="863"/>
    <n v="12.25"/>
    <n v="12.25"/>
    <x v="1"/>
    <x v="2"/>
    <s v="Coarse Sicilian Salami, Tomatoes, Green Olives, Luganega Sausage, Onions, Garlic"/>
    <x v="7"/>
  </r>
  <r>
    <n v="8617"/>
    <n v="3776"/>
    <n v="0.5"/>
    <s v="hawaiian_l"/>
    <n v="1"/>
    <x v="29"/>
    <x v="1"/>
    <x v="864"/>
    <n v="16.5"/>
    <n v="16.5"/>
    <x v="2"/>
    <x v="0"/>
    <s v="Sliced Ham, Pineapple, Mozzarella Cheese"/>
    <x v="0"/>
  </r>
  <r>
    <n v="8618"/>
    <n v="3776"/>
    <n v="0.5"/>
    <s v="napolitana_s"/>
    <n v="1"/>
    <x v="29"/>
    <x v="1"/>
    <x v="864"/>
    <n v="12"/>
    <n v="12"/>
    <x v="1"/>
    <x v="0"/>
    <s v="Tomatoes, Anchovies, Green Olives, Red Onions, Garlic"/>
    <x v="5"/>
  </r>
  <r>
    <n v="8621"/>
    <n v="3777"/>
    <n v="1"/>
    <s v="hawaiian_l"/>
    <n v="1"/>
    <x v="29"/>
    <x v="1"/>
    <x v="865"/>
    <n v="16.5"/>
    <n v="16.5"/>
    <x v="2"/>
    <x v="0"/>
    <s v="Sliced Ham, Pineapple, Mozzarella Cheese"/>
    <x v="0"/>
  </r>
  <r>
    <n v="8622"/>
    <n v="3778"/>
    <n v="0.5"/>
    <s v="mexicana_l"/>
    <n v="1"/>
    <x v="29"/>
    <x v="1"/>
    <x v="866"/>
    <n v="20.25"/>
    <n v="20.25"/>
    <x v="2"/>
    <x v="1"/>
    <s v="Tomatoes, Red Peppers, Jalapeno Peppers, Red Onions, Cilantro, Corn, Chipotle Sauce, Garlic"/>
    <x v="1"/>
  </r>
  <r>
    <n v="8623"/>
    <n v="3778"/>
    <n v="0.5"/>
    <s v="pepperoni_m"/>
    <n v="1"/>
    <x v="29"/>
    <x v="1"/>
    <x v="866"/>
    <n v="12.5"/>
    <n v="12.5"/>
    <x v="0"/>
    <x v="0"/>
    <s v="Mozzarella Cheese, Pepperoni"/>
    <x v="3"/>
  </r>
  <r>
    <n v="8625"/>
    <n v="3779"/>
    <n v="1"/>
    <s v="mexicana_l"/>
    <n v="1"/>
    <x v="29"/>
    <x v="1"/>
    <x v="867"/>
    <n v="20.25"/>
    <n v="20.25"/>
    <x v="2"/>
    <x v="1"/>
    <s v="Tomatoes, Red Peppers, Jalapeno Peppers, Red Onions, Cilantro, Corn, Chipotle Sauce, Garlic"/>
    <x v="1"/>
  </r>
  <r>
    <n v="8626"/>
    <n v="3780"/>
    <n v="1"/>
    <s v="hawaiian_m"/>
    <n v="1"/>
    <x v="29"/>
    <x v="1"/>
    <x v="868"/>
    <n v="13.25"/>
    <n v="13.25"/>
    <x v="0"/>
    <x v="0"/>
    <s v="Sliced Ham, Pineapple, Mozzarella Cheese"/>
    <x v="0"/>
  </r>
  <r>
    <n v="8631"/>
    <n v="3782"/>
    <n v="0.5"/>
    <s v="pepperoni_m"/>
    <n v="1"/>
    <x v="29"/>
    <x v="1"/>
    <x v="869"/>
    <n v="12.5"/>
    <n v="12.5"/>
    <x v="0"/>
    <x v="0"/>
    <s v="Mozzarella Cheese, Pepperoni"/>
    <x v="3"/>
  </r>
  <r>
    <n v="8634"/>
    <n v="3782"/>
    <n v="0.5"/>
    <s v="the_greek_xl"/>
    <n v="1"/>
    <x v="29"/>
    <x v="1"/>
    <x v="869"/>
    <n v="25.5"/>
    <n v="25.5"/>
    <x v="3"/>
    <x v="0"/>
    <s v="Kalamata Olives, Feta Cheese, Tomatoes, Garlic, Beef Chuck Roast, Red Onions"/>
    <x v="2"/>
  </r>
  <r>
    <n v="8636"/>
    <n v="3783"/>
    <n v="1"/>
    <s v="hawaiian_l"/>
    <n v="1"/>
    <x v="29"/>
    <x v="1"/>
    <x v="870"/>
    <n v="16.5"/>
    <n v="16.5"/>
    <x v="2"/>
    <x v="0"/>
    <s v="Sliced Ham, Pineapple, Mozzarella Cheese"/>
    <x v="0"/>
  </r>
  <r>
    <n v="8639"/>
    <n v="3784"/>
    <n v="1"/>
    <s v="sicilian_m"/>
    <n v="1"/>
    <x v="29"/>
    <x v="1"/>
    <x v="871"/>
    <n v="16.25"/>
    <n v="16.25"/>
    <x v="0"/>
    <x v="2"/>
    <s v="Coarse Sicilian Salami, Tomatoes, Green Olives, Luganega Sausage, Onions, Garlic"/>
    <x v="7"/>
  </r>
  <r>
    <n v="8641"/>
    <n v="3786"/>
    <n v="1"/>
    <s v="hawaiian_m"/>
    <n v="1"/>
    <x v="29"/>
    <x v="1"/>
    <x v="872"/>
    <n v="13.25"/>
    <n v="13.25"/>
    <x v="0"/>
    <x v="0"/>
    <s v="Sliced Ham, Pineapple, Mozzarella Cheese"/>
    <x v="0"/>
  </r>
  <r>
    <n v="8643"/>
    <n v="3787"/>
    <n v="0.5"/>
    <s v="calabrese_l"/>
    <n v="1"/>
    <x v="29"/>
    <x v="1"/>
    <x v="873"/>
    <n v="20.25"/>
    <n v="20.25"/>
    <x v="2"/>
    <x v="2"/>
    <s v="?duja Salami, Pancetta, Tomatoes, Red Onions, Friggitello Peppers, Garlic"/>
    <x v="6"/>
  </r>
  <r>
    <n v="8645"/>
    <n v="3787"/>
    <n v="0.5"/>
    <s v="pepperoni_m"/>
    <n v="1"/>
    <x v="29"/>
    <x v="1"/>
    <x v="873"/>
    <n v="12.5"/>
    <n v="12.5"/>
    <x v="0"/>
    <x v="0"/>
    <s v="Mozzarella Cheese, Pepperoni"/>
    <x v="3"/>
  </r>
  <r>
    <n v="8661"/>
    <n v="3794"/>
    <n v="1"/>
    <s v="the_greek_s"/>
    <n v="1"/>
    <x v="29"/>
    <x v="1"/>
    <x v="874"/>
    <n v="12"/>
    <n v="12"/>
    <x v="1"/>
    <x v="0"/>
    <s v="Kalamata Olives, Feta Cheese, Tomatoes, Garlic, Beef Chuck Roast, Red Onions"/>
    <x v="2"/>
  </r>
  <r>
    <n v="8662"/>
    <n v="3795"/>
    <n v="1"/>
    <s v="big_meat_s"/>
    <n v="1"/>
    <x v="29"/>
    <x v="1"/>
    <x v="875"/>
    <n v="12"/>
    <n v="12"/>
    <x v="1"/>
    <x v="0"/>
    <s v="Bacon, Pepperoni, Italian Sausage, Chorizo Sausage"/>
    <x v="4"/>
  </r>
  <r>
    <n v="8675"/>
    <n v="3800"/>
    <n v="0.5"/>
    <s v="hawaiian_l"/>
    <n v="1"/>
    <x v="29"/>
    <x v="1"/>
    <x v="876"/>
    <n v="16.5"/>
    <n v="16.5"/>
    <x v="2"/>
    <x v="0"/>
    <s v="Sliced Ham, Pineapple, Mozzarella Cheese"/>
    <x v="0"/>
  </r>
  <r>
    <n v="8676"/>
    <n v="3800"/>
    <n v="0.5"/>
    <s v="mexicana_s"/>
    <n v="1"/>
    <x v="29"/>
    <x v="1"/>
    <x v="876"/>
    <n v="12"/>
    <n v="12"/>
    <x v="1"/>
    <x v="1"/>
    <s v="Tomatoes, Red Peppers, Jalapeno Peppers, Red Onions, Cilantro, Corn, Chipotle Sauce, Garlic"/>
    <x v="1"/>
  </r>
  <r>
    <n v="8679"/>
    <n v="3801"/>
    <n v="0.5"/>
    <s v="big_meat_s"/>
    <n v="2"/>
    <x v="29"/>
    <x v="1"/>
    <x v="877"/>
    <n v="12"/>
    <n v="24"/>
    <x v="1"/>
    <x v="0"/>
    <s v="Bacon, Pepperoni, Italian Sausage, Chorizo Sausage"/>
    <x v="4"/>
  </r>
  <r>
    <n v="8681"/>
    <n v="3801"/>
    <n v="0.5"/>
    <s v="mexicana_l"/>
    <n v="1"/>
    <x v="29"/>
    <x v="1"/>
    <x v="877"/>
    <n v="20.25"/>
    <n v="20.25"/>
    <x v="2"/>
    <x v="1"/>
    <s v="Tomatoes, Red Peppers, Jalapeno Peppers, Red Onions, Cilantro, Corn, Chipotle Sauce, Garlic"/>
    <x v="1"/>
  </r>
  <r>
    <n v="8684"/>
    <n v="3803"/>
    <n v="1"/>
    <s v="hawaiian_l"/>
    <n v="1"/>
    <x v="29"/>
    <x v="1"/>
    <x v="878"/>
    <n v="16.5"/>
    <n v="16.5"/>
    <x v="2"/>
    <x v="0"/>
    <s v="Sliced Ham, Pineapple, Mozzarella Cheese"/>
    <x v="0"/>
  </r>
  <r>
    <n v="8693"/>
    <n v="3809"/>
    <n v="0.33333333333333331"/>
    <s v="pepperoni_l"/>
    <n v="1"/>
    <x v="29"/>
    <x v="1"/>
    <x v="879"/>
    <n v="15.25"/>
    <n v="15.25"/>
    <x v="2"/>
    <x v="0"/>
    <s v="Mozzarella Cheese, Pepperoni"/>
    <x v="3"/>
  </r>
  <r>
    <n v="8694"/>
    <n v="3809"/>
    <n v="0.33333333333333331"/>
    <s v="sicilian_s"/>
    <n v="1"/>
    <x v="29"/>
    <x v="1"/>
    <x v="879"/>
    <n v="12.25"/>
    <n v="12.25"/>
    <x v="1"/>
    <x v="2"/>
    <s v="Coarse Sicilian Salami, Tomatoes, Green Olives, Luganega Sausage, Onions, Garlic"/>
    <x v="7"/>
  </r>
  <r>
    <n v="8695"/>
    <n v="3809"/>
    <n v="0.33333333333333331"/>
    <s v="the_greek_s"/>
    <n v="1"/>
    <x v="29"/>
    <x v="1"/>
    <x v="879"/>
    <n v="12"/>
    <n v="12"/>
    <x v="1"/>
    <x v="0"/>
    <s v="Kalamata Olives, Feta Cheese, Tomatoes, Garlic, Beef Chuck Roast, Red Onions"/>
    <x v="2"/>
  </r>
  <r>
    <n v="8714"/>
    <n v="3821"/>
    <n v="0.25"/>
    <s v="big_meat_s"/>
    <n v="1"/>
    <x v="30"/>
    <x v="2"/>
    <x v="880"/>
    <n v="12"/>
    <n v="12"/>
    <x v="1"/>
    <x v="0"/>
    <s v="Bacon, Pepperoni, Italian Sausage, Chorizo Sausage"/>
    <x v="4"/>
  </r>
  <r>
    <n v="8718"/>
    <n v="3821"/>
    <n v="0.25"/>
    <s v="hawaiian_s"/>
    <n v="2"/>
    <x v="30"/>
    <x v="2"/>
    <x v="880"/>
    <n v="10.5"/>
    <n v="21"/>
    <x v="1"/>
    <x v="0"/>
    <s v="Sliced Ham, Pineapple, Mozzarella Cheese"/>
    <x v="0"/>
  </r>
  <r>
    <n v="8719"/>
    <n v="3821"/>
    <n v="0.25"/>
    <s v="mexicana_m"/>
    <n v="1"/>
    <x v="30"/>
    <x v="2"/>
    <x v="880"/>
    <n v="16"/>
    <n v="16"/>
    <x v="0"/>
    <x v="1"/>
    <s v="Tomatoes, Red Peppers, Jalapeno Peppers, Red Onions, Cilantro, Corn, Chipotle Sauce, Garlic"/>
    <x v="1"/>
  </r>
  <r>
    <n v="8720"/>
    <n v="3821"/>
    <n v="0.25"/>
    <s v="pepperoni_s"/>
    <n v="1"/>
    <x v="30"/>
    <x v="2"/>
    <x v="880"/>
    <n v="9.75"/>
    <n v="9.75"/>
    <x v="1"/>
    <x v="0"/>
    <s v="Mozzarella Cheese, Pepperoni"/>
    <x v="3"/>
  </r>
  <r>
    <n v="8727"/>
    <n v="3826"/>
    <n v="1"/>
    <s v="calabrese_l"/>
    <n v="1"/>
    <x v="30"/>
    <x v="2"/>
    <x v="881"/>
    <n v="20.25"/>
    <n v="20.25"/>
    <x v="2"/>
    <x v="2"/>
    <s v="?duja Salami, Pancetta, Tomatoes, Red Onions, Friggitello Peppers, Garlic"/>
    <x v="6"/>
  </r>
  <r>
    <n v="8729"/>
    <n v="3827"/>
    <n v="0.5"/>
    <s v="pepperoni_m"/>
    <n v="1"/>
    <x v="30"/>
    <x v="2"/>
    <x v="882"/>
    <n v="12.5"/>
    <n v="12.5"/>
    <x v="0"/>
    <x v="0"/>
    <s v="Mozzarella Cheese, Pepperoni"/>
    <x v="3"/>
  </r>
  <r>
    <n v="8731"/>
    <n v="3827"/>
    <n v="0.5"/>
    <s v="sicilian_m"/>
    <n v="1"/>
    <x v="30"/>
    <x v="2"/>
    <x v="882"/>
    <n v="16.25"/>
    <n v="16.25"/>
    <x v="0"/>
    <x v="2"/>
    <s v="Coarse Sicilian Salami, Tomatoes, Green Olives, Luganega Sausage, Onions, Garlic"/>
    <x v="7"/>
  </r>
  <r>
    <n v="8733"/>
    <n v="3828"/>
    <n v="0.5"/>
    <s v="big_meat_s"/>
    <n v="2"/>
    <x v="30"/>
    <x v="2"/>
    <x v="883"/>
    <n v="12"/>
    <n v="24"/>
    <x v="1"/>
    <x v="0"/>
    <s v="Bacon, Pepperoni, Italian Sausage, Chorizo Sausage"/>
    <x v="4"/>
  </r>
  <r>
    <n v="8736"/>
    <n v="3828"/>
    <n v="0.5"/>
    <s v="sicilian_l"/>
    <n v="1"/>
    <x v="30"/>
    <x v="2"/>
    <x v="883"/>
    <n v="20.25"/>
    <n v="20.25"/>
    <x v="2"/>
    <x v="2"/>
    <s v="Coarse Sicilian Salami, Tomatoes, Green Olives, Luganega Sausage, Onions, Garlic"/>
    <x v="7"/>
  </r>
  <r>
    <n v="8743"/>
    <n v="3830"/>
    <n v="1"/>
    <s v="hawaiian_s"/>
    <n v="1"/>
    <x v="30"/>
    <x v="2"/>
    <x v="884"/>
    <n v="10.5"/>
    <n v="10.5"/>
    <x v="1"/>
    <x v="0"/>
    <s v="Sliced Ham, Pineapple, Mozzarella Cheese"/>
    <x v="0"/>
  </r>
  <r>
    <n v="8746"/>
    <n v="3833"/>
    <n v="1"/>
    <s v="brie_carre_s"/>
    <n v="2"/>
    <x v="30"/>
    <x v="2"/>
    <x v="885"/>
    <n v="23.65"/>
    <n v="47.3"/>
    <x v="1"/>
    <x v="2"/>
    <s v="Brie Carre Cheese, Prosciutto, Caramelized Onions, Pears, Thyme, Garlic"/>
    <x v="8"/>
  </r>
  <r>
    <n v="8749"/>
    <n v="3834"/>
    <n v="0.33333333333333331"/>
    <s v="hawaiian_s"/>
    <n v="1"/>
    <x v="30"/>
    <x v="2"/>
    <x v="886"/>
    <n v="10.5"/>
    <n v="10.5"/>
    <x v="1"/>
    <x v="0"/>
    <s v="Sliced Ham, Pineapple, Mozzarella Cheese"/>
    <x v="0"/>
  </r>
  <r>
    <n v="8750"/>
    <n v="3834"/>
    <n v="0.33333333333333331"/>
    <s v="mexicana_m"/>
    <n v="1"/>
    <x v="30"/>
    <x v="2"/>
    <x v="886"/>
    <n v="16"/>
    <n v="16"/>
    <x v="0"/>
    <x v="1"/>
    <s v="Tomatoes, Red Peppers, Jalapeno Peppers, Red Onions, Cilantro, Corn, Chipotle Sauce, Garlic"/>
    <x v="1"/>
  </r>
  <r>
    <n v="8751"/>
    <n v="3834"/>
    <n v="0.33333333333333331"/>
    <s v="napolitana_s"/>
    <n v="1"/>
    <x v="30"/>
    <x v="2"/>
    <x v="886"/>
    <n v="12"/>
    <n v="12"/>
    <x v="1"/>
    <x v="0"/>
    <s v="Tomatoes, Anchovies, Green Olives, Red Onions, Garlic"/>
    <x v="5"/>
  </r>
  <r>
    <n v="8762"/>
    <n v="3842"/>
    <n v="1"/>
    <s v="mexicana_l"/>
    <n v="1"/>
    <x v="30"/>
    <x v="2"/>
    <x v="887"/>
    <n v="20.25"/>
    <n v="20.25"/>
    <x v="2"/>
    <x v="1"/>
    <s v="Tomatoes, Red Peppers, Jalapeno Peppers, Red Onions, Cilantro, Corn, Chipotle Sauce, Garlic"/>
    <x v="1"/>
  </r>
  <r>
    <n v="8769"/>
    <n v="3846"/>
    <n v="1"/>
    <s v="pepperoni_s"/>
    <n v="1"/>
    <x v="30"/>
    <x v="2"/>
    <x v="888"/>
    <n v="9.75"/>
    <n v="9.75"/>
    <x v="1"/>
    <x v="0"/>
    <s v="Mozzarella Cheese, Pepperoni"/>
    <x v="3"/>
  </r>
  <r>
    <n v="8771"/>
    <n v="3847"/>
    <n v="1"/>
    <s v="hawaiian_s"/>
    <n v="1"/>
    <x v="30"/>
    <x v="2"/>
    <x v="889"/>
    <n v="10.5"/>
    <n v="10.5"/>
    <x v="1"/>
    <x v="0"/>
    <s v="Sliced Ham, Pineapple, Mozzarella Cheese"/>
    <x v="0"/>
  </r>
  <r>
    <n v="8779"/>
    <n v="3852"/>
    <n v="1"/>
    <s v="hawaiian_s"/>
    <n v="1"/>
    <x v="30"/>
    <x v="2"/>
    <x v="890"/>
    <n v="10.5"/>
    <n v="10.5"/>
    <x v="1"/>
    <x v="0"/>
    <s v="Sliced Ham, Pineapple, Mozzarella Cheese"/>
    <x v="0"/>
  </r>
  <r>
    <n v="8782"/>
    <n v="3853"/>
    <n v="0.25"/>
    <s v="calabrese_l"/>
    <n v="1"/>
    <x v="30"/>
    <x v="2"/>
    <x v="891"/>
    <n v="20.25"/>
    <n v="20.25"/>
    <x v="2"/>
    <x v="2"/>
    <s v="?duja Salami, Pancetta, Tomatoes, Red Onions, Friggitello Peppers, Garlic"/>
    <x v="6"/>
  </r>
  <r>
    <n v="8783"/>
    <n v="3853"/>
    <n v="0.25"/>
    <s v="mexicana_l"/>
    <n v="1"/>
    <x v="30"/>
    <x v="2"/>
    <x v="891"/>
    <n v="20.25"/>
    <n v="20.25"/>
    <x v="2"/>
    <x v="1"/>
    <s v="Tomatoes, Red Peppers, Jalapeno Peppers, Red Onions, Cilantro, Corn, Chipotle Sauce, Garlic"/>
    <x v="1"/>
  </r>
  <r>
    <n v="8784"/>
    <n v="3853"/>
    <n v="0.25"/>
    <s v="pepperoni_l"/>
    <n v="1"/>
    <x v="30"/>
    <x v="2"/>
    <x v="891"/>
    <n v="15.25"/>
    <n v="15.25"/>
    <x v="2"/>
    <x v="0"/>
    <s v="Mozzarella Cheese, Pepperoni"/>
    <x v="3"/>
  </r>
  <r>
    <n v="8785"/>
    <n v="3853"/>
    <n v="0.25"/>
    <s v="pepperoni_m"/>
    <n v="1"/>
    <x v="30"/>
    <x v="2"/>
    <x v="891"/>
    <n v="12.5"/>
    <n v="12.5"/>
    <x v="0"/>
    <x v="0"/>
    <s v="Mozzarella Cheese, Pepperoni"/>
    <x v="3"/>
  </r>
  <r>
    <n v="8790"/>
    <n v="3856"/>
    <n v="0.5"/>
    <s v="pepperoni_l"/>
    <n v="1"/>
    <x v="30"/>
    <x v="2"/>
    <x v="892"/>
    <n v="15.25"/>
    <n v="15.25"/>
    <x v="2"/>
    <x v="0"/>
    <s v="Mozzarella Cheese, Pepperoni"/>
    <x v="3"/>
  </r>
  <r>
    <n v="8791"/>
    <n v="3856"/>
    <n v="0.5"/>
    <s v="sicilian_s"/>
    <n v="1"/>
    <x v="30"/>
    <x v="2"/>
    <x v="892"/>
    <n v="12.25"/>
    <n v="12.25"/>
    <x v="1"/>
    <x v="2"/>
    <s v="Coarse Sicilian Salami, Tomatoes, Green Olives, Luganega Sausage, Onions, Garlic"/>
    <x v="7"/>
  </r>
  <r>
    <n v="8793"/>
    <n v="3857"/>
    <n v="1"/>
    <s v="pepperoni_m"/>
    <n v="1"/>
    <x v="30"/>
    <x v="2"/>
    <x v="893"/>
    <n v="12.5"/>
    <n v="12.5"/>
    <x v="0"/>
    <x v="0"/>
    <s v="Mozzarella Cheese, Pepperoni"/>
    <x v="3"/>
  </r>
  <r>
    <n v="8794"/>
    <n v="3858"/>
    <n v="1"/>
    <s v="hawaiian_m"/>
    <n v="2"/>
    <x v="30"/>
    <x v="2"/>
    <x v="894"/>
    <n v="13.25"/>
    <n v="26.5"/>
    <x v="0"/>
    <x v="0"/>
    <s v="Sliced Ham, Pineapple, Mozzarella Cheese"/>
    <x v="0"/>
  </r>
  <r>
    <n v="8797"/>
    <n v="3859"/>
    <n v="1"/>
    <s v="brie_carre_s"/>
    <n v="1"/>
    <x v="30"/>
    <x v="2"/>
    <x v="895"/>
    <n v="23.65"/>
    <n v="23.65"/>
    <x v="1"/>
    <x v="2"/>
    <s v="Brie Carre Cheese, Prosciutto, Caramelized Onions, Pears, Thyme, Garlic"/>
    <x v="8"/>
  </r>
  <r>
    <n v="8809"/>
    <n v="3863"/>
    <n v="1"/>
    <s v="pepperoni_l"/>
    <n v="1"/>
    <x v="30"/>
    <x v="2"/>
    <x v="896"/>
    <n v="15.25"/>
    <n v="15.25"/>
    <x v="2"/>
    <x v="0"/>
    <s v="Mozzarella Cheese, Pepperoni"/>
    <x v="3"/>
  </r>
  <r>
    <n v="8810"/>
    <n v="3864"/>
    <n v="1"/>
    <s v="pepperoni_m"/>
    <n v="1"/>
    <x v="30"/>
    <x v="2"/>
    <x v="897"/>
    <n v="12.5"/>
    <n v="12.5"/>
    <x v="0"/>
    <x v="0"/>
    <s v="Mozzarella Cheese, Pepperoni"/>
    <x v="3"/>
  </r>
  <r>
    <n v="8813"/>
    <n v="3865"/>
    <n v="1"/>
    <s v="hawaiian_s"/>
    <n v="1"/>
    <x v="30"/>
    <x v="2"/>
    <x v="898"/>
    <n v="10.5"/>
    <n v="10.5"/>
    <x v="1"/>
    <x v="0"/>
    <s v="Sliced Ham, Pineapple, Mozzarella Cheese"/>
    <x v="0"/>
  </r>
  <r>
    <n v="8821"/>
    <n v="3867"/>
    <n v="1"/>
    <s v="napolitana_m"/>
    <n v="1"/>
    <x v="30"/>
    <x v="2"/>
    <x v="899"/>
    <n v="16"/>
    <n v="16"/>
    <x v="0"/>
    <x v="0"/>
    <s v="Tomatoes, Anchovies, Green Olives, Red Onions, Garlic"/>
    <x v="5"/>
  </r>
  <r>
    <n v="8828"/>
    <n v="3870"/>
    <n v="1"/>
    <s v="sicilian_m"/>
    <n v="1"/>
    <x v="30"/>
    <x v="2"/>
    <x v="900"/>
    <n v="16.25"/>
    <n v="16.25"/>
    <x v="0"/>
    <x v="2"/>
    <s v="Coarse Sicilian Salami, Tomatoes, Green Olives, Luganega Sausage, Onions, Garlic"/>
    <x v="7"/>
  </r>
  <r>
    <n v="8831"/>
    <n v="3871"/>
    <n v="0.5"/>
    <s v="pepperoni_s"/>
    <n v="1"/>
    <x v="30"/>
    <x v="2"/>
    <x v="901"/>
    <n v="9.75"/>
    <n v="9.75"/>
    <x v="1"/>
    <x v="0"/>
    <s v="Mozzarella Cheese, Pepperoni"/>
    <x v="3"/>
  </r>
  <r>
    <n v="8832"/>
    <n v="3871"/>
    <n v="0.5"/>
    <s v="the_greek_m"/>
    <n v="1"/>
    <x v="30"/>
    <x v="2"/>
    <x v="901"/>
    <n v="16"/>
    <n v="16"/>
    <x v="0"/>
    <x v="0"/>
    <s v="Kalamata Olives, Feta Cheese, Tomatoes, Garlic, Beef Chuck Roast, Red Onions"/>
    <x v="2"/>
  </r>
  <r>
    <n v="8833"/>
    <n v="3872"/>
    <n v="1"/>
    <s v="big_meat_s"/>
    <n v="1"/>
    <x v="30"/>
    <x v="2"/>
    <x v="902"/>
    <n v="12"/>
    <n v="12"/>
    <x v="1"/>
    <x v="0"/>
    <s v="Bacon, Pepperoni, Italian Sausage, Chorizo Sausage"/>
    <x v="4"/>
  </r>
  <r>
    <n v="8840"/>
    <n v="3875"/>
    <n v="0.5"/>
    <s v="big_meat_s"/>
    <n v="1"/>
    <x v="30"/>
    <x v="2"/>
    <x v="903"/>
    <n v="12"/>
    <n v="12"/>
    <x v="1"/>
    <x v="0"/>
    <s v="Bacon, Pepperoni, Italian Sausage, Chorizo Sausage"/>
    <x v="4"/>
  </r>
  <r>
    <n v="8841"/>
    <n v="3875"/>
    <n v="0.5"/>
    <s v="the_greek_xl"/>
    <n v="1"/>
    <x v="30"/>
    <x v="2"/>
    <x v="903"/>
    <n v="25.5"/>
    <n v="25.5"/>
    <x v="3"/>
    <x v="0"/>
    <s v="Kalamata Olives, Feta Cheese, Tomatoes, Garlic, Beef Chuck Roast, Red Onions"/>
    <x v="2"/>
  </r>
  <r>
    <n v="8843"/>
    <n v="3877"/>
    <n v="1"/>
    <s v="brie_carre_s"/>
    <n v="1"/>
    <x v="30"/>
    <x v="2"/>
    <x v="904"/>
    <n v="23.65"/>
    <n v="23.65"/>
    <x v="1"/>
    <x v="2"/>
    <s v="Brie Carre Cheese, Prosciutto, Caramelized Onions, Pears, Thyme, Garlic"/>
    <x v="8"/>
  </r>
  <r>
    <n v="8846"/>
    <n v="3878"/>
    <n v="1"/>
    <s v="hawaiian_s"/>
    <n v="1"/>
    <x v="30"/>
    <x v="2"/>
    <x v="905"/>
    <n v="10.5"/>
    <n v="10.5"/>
    <x v="1"/>
    <x v="0"/>
    <s v="Sliced Ham, Pineapple, Mozzarella Cheese"/>
    <x v="0"/>
  </r>
  <r>
    <n v="8850"/>
    <n v="3880"/>
    <n v="1"/>
    <s v="pepperoni_m"/>
    <n v="1"/>
    <x v="31"/>
    <x v="3"/>
    <x v="906"/>
    <n v="12.5"/>
    <n v="12.5"/>
    <x v="0"/>
    <x v="0"/>
    <s v="Mozzarella Cheese, Pepperoni"/>
    <x v="3"/>
  </r>
  <r>
    <n v="8852"/>
    <n v="3881"/>
    <n v="1"/>
    <s v="sicilian_s"/>
    <n v="2"/>
    <x v="31"/>
    <x v="3"/>
    <x v="420"/>
    <n v="12.25"/>
    <n v="24.5"/>
    <x v="1"/>
    <x v="2"/>
    <s v="Coarse Sicilian Salami, Tomatoes, Green Olives, Luganega Sausage, Onions, Garlic"/>
    <x v="7"/>
  </r>
  <r>
    <n v="8853"/>
    <n v="3882"/>
    <n v="1"/>
    <s v="big_meat_s"/>
    <n v="1"/>
    <x v="31"/>
    <x v="3"/>
    <x v="907"/>
    <n v="12"/>
    <n v="12"/>
    <x v="1"/>
    <x v="0"/>
    <s v="Bacon, Pepperoni, Italian Sausage, Chorizo Sausage"/>
    <x v="4"/>
  </r>
  <r>
    <n v="8855"/>
    <n v="3884"/>
    <n v="0.5"/>
    <s v="hawaiian_m"/>
    <n v="1"/>
    <x v="31"/>
    <x v="3"/>
    <x v="908"/>
    <n v="13.25"/>
    <n v="13.25"/>
    <x v="0"/>
    <x v="0"/>
    <s v="Sliced Ham, Pineapple, Mozzarella Cheese"/>
    <x v="0"/>
  </r>
  <r>
    <n v="8856"/>
    <n v="3884"/>
    <n v="0.5"/>
    <s v="mexicana_l"/>
    <n v="1"/>
    <x v="31"/>
    <x v="3"/>
    <x v="908"/>
    <n v="20.25"/>
    <n v="20.25"/>
    <x v="2"/>
    <x v="1"/>
    <s v="Tomatoes, Red Peppers, Jalapeno Peppers, Red Onions, Cilantro, Corn, Chipotle Sauce, Garlic"/>
    <x v="1"/>
  </r>
  <r>
    <n v="8860"/>
    <n v="3886"/>
    <n v="0.5"/>
    <s v="calabrese_m"/>
    <n v="1"/>
    <x v="31"/>
    <x v="3"/>
    <x v="909"/>
    <n v="16.25"/>
    <n v="16.25"/>
    <x v="0"/>
    <x v="2"/>
    <s v="?duja Salami, Pancetta, Tomatoes, Red Onions, Friggitello Peppers, Garlic"/>
    <x v="6"/>
  </r>
  <r>
    <n v="8863"/>
    <n v="3886"/>
    <n v="0.5"/>
    <s v="napolitana_s"/>
    <n v="1"/>
    <x v="31"/>
    <x v="3"/>
    <x v="909"/>
    <n v="12"/>
    <n v="12"/>
    <x v="1"/>
    <x v="0"/>
    <s v="Tomatoes, Anchovies, Green Olives, Red Onions, Garlic"/>
    <x v="5"/>
  </r>
  <r>
    <n v="8875"/>
    <n v="3888"/>
    <n v="1"/>
    <s v="sicilian_m"/>
    <n v="1"/>
    <x v="31"/>
    <x v="3"/>
    <x v="910"/>
    <n v="16.25"/>
    <n v="16.25"/>
    <x v="0"/>
    <x v="2"/>
    <s v="Coarse Sicilian Salami, Tomatoes, Green Olives, Luganega Sausage, Onions, Garlic"/>
    <x v="7"/>
  </r>
  <r>
    <n v="8878"/>
    <n v="3891"/>
    <n v="1"/>
    <s v="big_meat_s"/>
    <n v="1"/>
    <x v="31"/>
    <x v="3"/>
    <x v="911"/>
    <n v="12"/>
    <n v="12"/>
    <x v="1"/>
    <x v="0"/>
    <s v="Bacon, Pepperoni, Italian Sausage, Chorizo Sausage"/>
    <x v="4"/>
  </r>
  <r>
    <n v="8887"/>
    <n v="3895"/>
    <n v="0.33333333333333331"/>
    <s v="big_meat_s"/>
    <n v="1"/>
    <x v="31"/>
    <x v="3"/>
    <x v="912"/>
    <n v="12"/>
    <n v="12"/>
    <x v="1"/>
    <x v="0"/>
    <s v="Bacon, Pepperoni, Italian Sausage, Chorizo Sausage"/>
    <x v="4"/>
  </r>
  <r>
    <n v="8888"/>
    <n v="3895"/>
    <n v="0.33333333333333331"/>
    <s v="hawaiian_l"/>
    <n v="1"/>
    <x v="31"/>
    <x v="3"/>
    <x v="912"/>
    <n v="16.5"/>
    <n v="16.5"/>
    <x v="2"/>
    <x v="0"/>
    <s v="Sliced Ham, Pineapple, Mozzarella Cheese"/>
    <x v="0"/>
  </r>
  <r>
    <n v="8889"/>
    <n v="3895"/>
    <n v="0.33333333333333331"/>
    <s v="mexicana_l"/>
    <n v="1"/>
    <x v="31"/>
    <x v="3"/>
    <x v="912"/>
    <n v="20.25"/>
    <n v="20.25"/>
    <x v="2"/>
    <x v="1"/>
    <s v="Tomatoes, Red Peppers, Jalapeno Peppers, Red Onions, Cilantro, Corn, Chipotle Sauce, Garlic"/>
    <x v="1"/>
  </r>
  <r>
    <n v="8896"/>
    <n v="3899"/>
    <n v="1"/>
    <s v="napolitana_s"/>
    <n v="1"/>
    <x v="31"/>
    <x v="3"/>
    <x v="913"/>
    <n v="12"/>
    <n v="12"/>
    <x v="1"/>
    <x v="0"/>
    <s v="Tomatoes, Anchovies, Green Olives, Red Onions, Garlic"/>
    <x v="5"/>
  </r>
  <r>
    <n v="8905"/>
    <n v="3901"/>
    <n v="0.5"/>
    <s v="mexicana_l"/>
    <n v="1"/>
    <x v="31"/>
    <x v="3"/>
    <x v="914"/>
    <n v="20.25"/>
    <n v="20.25"/>
    <x v="2"/>
    <x v="1"/>
    <s v="Tomatoes, Red Peppers, Jalapeno Peppers, Red Onions, Cilantro, Corn, Chipotle Sauce, Garlic"/>
    <x v="1"/>
  </r>
  <r>
    <n v="8906"/>
    <n v="3901"/>
    <n v="0.5"/>
    <s v="sicilian_s"/>
    <n v="1"/>
    <x v="31"/>
    <x v="3"/>
    <x v="914"/>
    <n v="12.25"/>
    <n v="12.25"/>
    <x v="1"/>
    <x v="2"/>
    <s v="Coarse Sicilian Salami, Tomatoes, Green Olives, Luganega Sausage, Onions, Garlic"/>
    <x v="7"/>
  </r>
  <r>
    <n v="8907"/>
    <n v="3902"/>
    <n v="1"/>
    <s v="calabrese_l"/>
    <n v="1"/>
    <x v="31"/>
    <x v="3"/>
    <x v="915"/>
    <n v="20.25"/>
    <n v="20.25"/>
    <x v="2"/>
    <x v="2"/>
    <s v="?duja Salami, Pancetta, Tomatoes, Red Onions, Friggitello Peppers, Garlic"/>
    <x v="6"/>
  </r>
  <r>
    <n v="8913"/>
    <n v="3905"/>
    <n v="1"/>
    <s v="hawaiian_l"/>
    <n v="1"/>
    <x v="31"/>
    <x v="3"/>
    <x v="916"/>
    <n v="16.5"/>
    <n v="16.5"/>
    <x v="2"/>
    <x v="0"/>
    <s v="Sliced Ham, Pineapple, Mozzarella Cheese"/>
    <x v="0"/>
  </r>
  <r>
    <n v="8915"/>
    <n v="3906"/>
    <n v="1"/>
    <s v="the_greek_xl"/>
    <n v="1"/>
    <x v="31"/>
    <x v="3"/>
    <x v="917"/>
    <n v="25.5"/>
    <n v="25.5"/>
    <x v="3"/>
    <x v="0"/>
    <s v="Kalamata Olives, Feta Cheese, Tomatoes, Garlic, Beef Chuck Roast, Red Onions"/>
    <x v="2"/>
  </r>
  <r>
    <n v="8916"/>
    <n v="3907"/>
    <n v="1"/>
    <s v="big_meat_s"/>
    <n v="1"/>
    <x v="31"/>
    <x v="3"/>
    <x v="918"/>
    <n v="12"/>
    <n v="12"/>
    <x v="1"/>
    <x v="0"/>
    <s v="Bacon, Pepperoni, Italian Sausage, Chorizo Sausage"/>
    <x v="4"/>
  </r>
  <r>
    <n v="8924"/>
    <n v="3911"/>
    <n v="1"/>
    <s v="sicilian_s"/>
    <n v="1"/>
    <x v="31"/>
    <x v="3"/>
    <x v="919"/>
    <n v="12.25"/>
    <n v="12.25"/>
    <x v="1"/>
    <x v="2"/>
    <s v="Coarse Sicilian Salami, Tomatoes, Green Olives, Luganega Sausage, Onions, Garlic"/>
    <x v="7"/>
  </r>
  <r>
    <n v="8928"/>
    <n v="3913"/>
    <n v="0.5"/>
    <s v="hawaiian_l"/>
    <n v="1"/>
    <x v="31"/>
    <x v="3"/>
    <x v="920"/>
    <n v="16.5"/>
    <n v="16.5"/>
    <x v="2"/>
    <x v="0"/>
    <s v="Sliced Ham, Pineapple, Mozzarella Cheese"/>
    <x v="0"/>
  </r>
  <r>
    <n v="8929"/>
    <n v="3913"/>
    <n v="0.5"/>
    <s v="mexicana_l"/>
    <n v="1"/>
    <x v="31"/>
    <x v="3"/>
    <x v="920"/>
    <n v="20.25"/>
    <n v="20.25"/>
    <x v="2"/>
    <x v="1"/>
    <s v="Tomatoes, Red Peppers, Jalapeno Peppers, Red Onions, Cilantro, Corn, Chipotle Sauce, Garlic"/>
    <x v="1"/>
  </r>
  <r>
    <n v="8932"/>
    <n v="3914"/>
    <n v="1"/>
    <s v="pepperoni_m"/>
    <n v="1"/>
    <x v="31"/>
    <x v="3"/>
    <x v="921"/>
    <n v="12.5"/>
    <n v="12.5"/>
    <x v="0"/>
    <x v="0"/>
    <s v="Mozzarella Cheese, Pepperoni"/>
    <x v="3"/>
  </r>
  <r>
    <n v="8938"/>
    <n v="3916"/>
    <n v="1"/>
    <s v="pepperoni_s"/>
    <n v="1"/>
    <x v="31"/>
    <x v="3"/>
    <x v="922"/>
    <n v="9.75"/>
    <n v="9.75"/>
    <x v="1"/>
    <x v="0"/>
    <s v="Mozzarella Cheese, Pepperoni"/>
    <x v="3"/>
  </r>
  <r>
    <n v="8939"/>
    <n v="3917"/>
    <n v="0.5"/>
    <s v="hawaiian_l"/>
    <n v="1"/>
    <x v="31"/>
    <x v="3"/>
    <x v="923"/>
    <n v="16.5"/>
    <n v="16.5"/>
    <x v="2"/>
    <x v="0"/>
    <s v="Sliced Ham, Pineapple, Mozzarella Cheese"/>
    <x v="0"/>
  </r>
  <r>
    <n v="8940"/>
    <n v="3917"/>
    <n v="0.5"/>
    <s v="sicilian_m"/>
    <n v="1"/>
    <x v="31"/>
    <x v="3"/>
    <x v="923"/>
    <n v="16.25"/>
    <n v="16.25"/>
    <x v="0"/>
    <x v="2"/>
    <s v="Coarse Sicilian Salami, Tomatoes, Green Olives, Luganega Sausage, Onions, Garlic"/>
    <x v="7"/>
  </r>
  <r>
    <n v="8941"/>
    <n v="3918"/>
    <n v="0.5"/>
    <s v="big_meat_s"/>
    <n v="2"/>
    <x v="31"/>
    <x v="3"/>
    <x v="924"/>
    <n v="12"/>
    <n v="24"/>
    <x v="1"/>
    <x v="0"/>
    <s v="Bacon, Pepperoni, Italian Sausage, Chorizo Sausage"/>
    <x v="4"/>
  </r>
  <r>
    <n v="8943"/>
    <n v="3918"/>
    <n v="0.5"/>
    <s v="sicilian_s"/>
    <n v="1"/>
    <x v="31"/>
    <x v="3"/>
    <x v="924"/>
    <n v="12.25"/>
    <n v="12.25"/>
    <x v="1"/>
    <x v="2"/>
    <s v="Coarse Sicilian Salami, Tomatoes, Green Olives, Luganega Sausage, Onions, Garlic"/>
    <x v="7"/>
  </r>
  <r>
    <n v="8951"/>
    <n v="3922"/>
    <n v="1"/>
    <s v="napolitana_s"/>
    <n v="1"/>
    <x v="31"/>
    <x v="3"/>
    <x v="925"/>
    <n v="12"/>
    <n v="12"/>
    <x v="1"/>
    <x v="0"/>
    <s v="Tomatoes, Anchovies, Green Olives, Red Onions, Garlic"/>
    <x v="5"/>
  </r>
  <r>
    <n v="8957"/>
    <n v="3924"/>
    <n v="1"/>
    <s v="the_greek_m"/>
    <n v="1"/>
    <x v="31"/>
    <x v="3"/>
    <x v="926"/>
    <n v="16"/>
    <n v="16"/>
    <x v="0"/>
    <x v="0"/>
    <s v="Kalamata Olives, Feta Cheese, Tomatoes, Garlic, Beef Chuck Roast, Red Onions"/>
    <x v="2"/>
  </r>
  <r>
    <n v="8961"/>
    <n v="3926"/>
    <n v="1"/>
    <s v="big_meat_s"/>
    <n v="1"/>
    <x v="31"/>
    <x v="3"/>
    <x v="927"/>
    <n v="12"/>
    <n v="12"/>
    <x v="1"/>
    <x v="0"/>
    <s v="Bacon, Pepperoni, Italian Sausage, Chorizo Sausage"/>
    <x v="4"/>
  </r>
  <r>
    <n v="8966"/>
    <n v="3928"/>
    <n v="0.5"/>
    <s v="brie_carre_s"/>
    <n v="1"/>
    <x v="31"/>
    <x v="3"/>
    <x v="928"/>
    <n v="23.65"/>
    <n v="23.65"/>
    <x v="1"/>
    <x v="2"/>
    <s v="Brie Carre Cheese, Prosciutto, Caramelized Onions, Pears, Thyme, Garlic"/>
    <x v="8"/>
  </r>
  <r>
    <n v="8967"/>
    <n v="3928"/>
    <n v="0.5"/>
    <s v="the_greek_s"/>
    <n v="1"/>
    <x v="31"/>
    <x v="3"/>
    <x v="928"/>
    <n v="12"/>
    <n v="12"/>
    <x v="1"/>
    <x v="0"/>
    <s v="Kalamata Olives, Feta Cheese, Tomatoes, Garlic, Beef Chuck Roast, Red Onions"/>
    <x v="2"/>
  </r>
  <r>
    <n v="8968"/>
    <n v="3929"/>
    <n v="1"/>
    <s v="napolitana_l"/>
    <n v="1"/>
    <x v="31"/>
    <x v="3"/>
    <x v="929"/>
    <n v="20.5"/>
    <n v="20.5"/>
    <x v="2"/>
    <x v="0"/>
    <s v="Tomatoes, Anchovies, Green Olives, Red Onions, Garlic"/>
    <x v="5"/>
  </r>
  <r>
    <n v="8973"/>
    <n v="3932"/>
    <n v="1"/>
    <s v="sicilian_l"/>
    <n v="1"/>
    <x v="31"/>
    <x v="3"/>
    <x v="930"/>
    <n v="20.25"/>
    <n v="20.25"/>
    <x v="2"/>
    <x v="2"/>
    <s v="Coarse Sicilian Salami, Tomatoes, Green Olives, Luganega Sausage, Onions, Garlic"/>
    <x v="7"/>
  </r>
  <r>
    <n v="8980"/>
    <n v="3935"/>
    <n v="1"/>
    <s v="hawaiian_l"/>
    <n v="1"/>
    <x v="31"/>
    <x v="3"/>
    <x v="931"/>
    <n v="16.5"/>
    <n v="16.5"/>
    <x v="2"/>
    <x v="0"/>
    <s v="Sliced Ham, Pineapple, Mozzarella Cheese"/>
    <x v="0"/>
  </r>
  <r>
    <n v="8984"/>
    <n v="3937"/>
    <n v="1"/>
    <s v="big_meat_s"/>
    <n v="1"/>
    <x v="31"/>
    <x v="3"/>
    <x v="932"/>
    <n v="12"/>
    <n v="12"/>
    <x v="1"/>
    <x v="0"/>
    <s v="Bacon, Pepperoni, Italian Sausage, Chorizo Sausage"/>
    <x v="4"/>
  </r>
  <r>
    <n v="8987"/>
    <n v="3938"/>
    <n v="1"/>
    <s v="hawaiian_l"/>
    <n v="1"/>
    <x v="32"/>
    <x v="4"/>
    <x v="933"/>
    <n v="16.5"/>
    <n v="16.5"/>
    <x v="2"/>
    <x v="0"/>
    <s v="Sliced Ham, Pineapple, Mozzarella Cheese"/>
    <x v="0"/>
  </r>
  <r>
    <n v="8988"/>
    <n v="3939"/>
    <n v="1"/>
    <s v="sicilian_s"/>
    <n v="1"/>
    <x v="32"/>
    <x v="4"/>
    <x v="934"/>
    <n v="12.25"/>
    <n v="12.25"/>
    <x v="1"/>
    <x v="2"/>
    <s v="Coarse Sicilian Salami, Tomatoes, Green Olives, Luganega Sausage, Onions, Garlic"/>
    <x v="7"/>
  </r>
  <r>
    <n v="8993"/>
    <n v="3940"/>
    <n v="0.5"/>
    <s v="pepperoni_l"/>
    <n v="2"/>
    <x v="32"/>
    <x v="4"/>
    <x v="935"/>
    <n v="15.25"/>
    <n v="30.5"/>
    <x v="2"/>
    <x v="0"/>
    <s v="Mozzarella Cheese, Pepperoni"/>
    <x v="3"/>
  </r>
  <r>
    <n v="8994"/>
    <n v="3940"/>
    <n v="0.5"/>
    <s v="pepperoni_m"/>
    <n v="1"/>
    <x v="32"/>
    <x v="4"/>
    <x v="935"/>
    <n v="12.5"/>
    <n v="12.5"/>
    <x v="0"/>
    <x v="0"/>
    <s v="Mozzarella Cheese, Pepperoni"/>
    <x v="3"/>
  </r>
  <r>
    <n v="9006"/>
    <n v="3945"/>
    <n v="0.33333333333333331"/>
    <s v="big_meat_s"/>
    <n v="1"/>
    <x v="32"/>
    <x v="4"/>
    <x v="936"/>
    <n v="12"/>
    <n v="12"/>
    <x v="1"/>
    <x v="0"/>
    <s v="Bacon, Pepperoni, Italian Sausage, Chorizo Sausage"/>
    <x v="4"/>
  </r>
  <r>
    <n v="9009"/>
    <n v="3945"/>
    <n v="0.33333333333333331"/>
    <s v="pepperoni_s"/>
    <n v="1"/>
    <x v="32"/>
    <x v="4"/>
    <x v="936"/>
    <n v="9.75"/>
    <n v="9.75"/>
    <x v="1"/>
    <x v="0"/>
    <s v="Mozzarella Cheese, Pepperoni"/>
    <x v="3"/>
  </r>
  <r>
    <n v="9010"/>
    <n v="3945"/>
    <n v="0.33333333333333331"/>
    <s v="sicilian_s"/>
    <n v="1"/>
    <x v="32"/>
    <x v="4"/>
    <x v="936"/>
    <n v="12.25"/>
    <n v="12.25"/>
    <x v="1"/>
    <x v="2"/>
    <s v="Coarse Sicilian Salami, Tomatoes, Green Olives, Luganega Sausage, Onions, Garlic"/>
    <x v="7"/>
  </r>
  <r>
    <n v="9012"/>
    <n v="3946"/>
    <n v="1"/>
    <s v="hawaiian_s"/>
    <n v="1"/>
    <x v="32"/>
    <x v="4"/>
    <x v="937"/>
    <n v="10.5"/>
    <n v="10.5"/>
    <x v="1"/>
    <x v="0"/>
    <s v="Sliced Ham, Pineapple, Mozzarella Cheese"/>
    <x v="0"/>
  </r>
  <r>
    <n v="9014"/>
    <n v="3947"/>
    <n v="1"/>
    <s v="pepperoni_s"/>
    <n v="1"/>
    <x v="32"/>
    <x v="4"/>
    <x v="938"/>
    <n v="9.75"/>
    <n v="9.75"/>
    <x v="1"/>
    <x v="0"/>
    <s v="Mozzarella Cheese, Pepperoni"/>
    <x v="3"/>
  </r>
  <r>
    <n v="9017"/>
    <n v="3950"/>
    <n v="1"/>
    <s v="big_meat_s"/>
    <n v="1"/>
    <x v="32"/>
    <x v="4"/>
    <x v="939"/>
    <n v="12"/>
    <n v="12"/>
    <x v="1"/>
    <x v="0"/>
    <s v="Bacon, Pepperoni, Italian Sausage, Chorizo Sausage"/>
    <x v="4"/>
  </r>
  <r>
    <n v="9019"/>
    <n v="3951"/>
    <n v="0.5"/>
    <s v="hawaiian_m"/>
    <n v="1"/>
    <x v="32"/>
    <x v="4"/>
    <x v="940"/>
    <n v="13.25"/>
    <n v="13.25"/>
    <x v="0"/>
    <x v="0"/>
    <s v="Sliced Ham, Pineapple, Mozzarella Cheese"/>
    <x v="0"/>
  </r>
  <r>
    <n v="9020"/>
    <n v="3951"/>
    <n v="0.5"/>
    <s v="mexicana_m"/>
    <n v="1"/>
    <x v="32"/>
    <x v="4"/>
    <x v="940"/>
    <n v="16"/>
    <n v="16"/>
    <x v="0"/>
    <x v="1"/>
    <s v="Tomatoes, Red Peppers, Jalapeno Peppers, Red Onions, Cilantro, Corn, Chipotle Sauce, Garlic"/>
    <x v="1"/>
  </r>
  <r>
    <n v="9027"/>
    <n v="3957"/>
    <n v="1"/>
    <s v="hawaiian_m"/>
    <n v="1"/>
    <x v="32"/>
    <x v="4"/>
    <x v="941"/>
    <n v="13.25"/>
    <n v="13.25"/>
    <x v="0"/>
    <x v="0"/>
    <s v="Sliced Ham, Pineapple, Mozzarella Cheese"/>
    <x v="0"/>
  </r>
  <r>
    <n v="9028"/>
    <n v="3958"/>
    <n v="1"/>
    <s v="big_meat_s"/>
    <n v="1"/>
    <x v="32"/>
    <x v="4"/>
    <x v="942"/>
    <n v="12"/>
    <n v="12"/>
    <x v="1"/>
    <x v="0"/>
    <s v="Bacon, Pepperoni, Italian Sausage, Chorizo Sausage"/>
    <x v="4"/>
  </r>
  <r>
    <n v="9032"/>
    <n v="3960"/>
    <n v="1"/>
    <s v="mexicana_l"/>
    <n v="1"/>
    <x v="32"/>
    <x v="4"/>
    <x v="943"/>
    <n v="20.25"/>
    <n v="20.25"/>
    <x v="2"/>
    <x v="1"/>
    <s v="Tomatoes, Red Peppers, Jalapeno Peppers, Red Onions, Cilantro, Corn, Chipotle Sauce, Garlic"/>
    <x v="1"/>
  </r>
  <r>
    <n v="9035"/>
    <n v="3963"/>
    <n v="0.5"/>
    <s v="big_meat_s"/>
    <n v="1"/>
    <x v="32"/>
    <x v="4"/>
    <x v="944"/>
    <n v="12"/>
    <n v="12"/>
    <x v="1"/>
    <x v="0"/>
    <s v="Bacon, Pepperoni, Italian Sausage, Chorizo Sausage"/>
    <x v="4"/>
  </r>
  <r>
    <n v="9036"/>
    <n v="3963"/>
    <n v="0.5"/>
    <s v="hawaiian_m"/>
    <n v="1"/>
    <x v="32"/>
    <x v="4"/>
    <x v="944"/>
    <n v="13.25"/>
    <n v="13.25"/>
    <x v="0"/>
    <x v="0"/>
    <s v="Sliced Ham, Pineapple, Mozzarella Cheese"/>
    <x v="0"/>
  </r>
  <r>
    <n v="9041"/>
    <n v="3966"/>
    <n v="0.5"/>
    <s v="big_meat_s"/>
    <n v="1"/>
    <x v="32"/>
    <x v="4"/>
    <x v="945"/>
    <n v="12"/>
    <n v="12"/>
    <x v="1"/>
    <x v="0"/>
    <s v="Bacon, Pepperoni, Italian Sausage, Chorizo Sausage"/>
    <x v="4"/>
  </r>
  <r>
    <n v="9043"/>
    <n v="3966"/>
    <n v="0.5"/>
    <s v="hawaiian_s"/>
    <n v="1"/>
    <x v="32"/>
    <x v="4"/>
    <x v="945"/>
    <n v="10.5"/>
    <n v="10.5"/>
    <x v="1"/>
    <x v="0"/>
    <s v="Sliced Ham, Pineapple, Mozzarella Cheese"/>
    <x v="0"/>
  </r>
  <r>
    <n v="9046"/>
    <n v="3967"/>
    <n v="1"/>
    <s v="brie_carre_s"/>
    <n v="1"/>
    <x v="32"/>
    <x v="4"/>
    <x v="946"/>
    <n v="23.65"/>
    <n v="23.65"/>
    <x v="1"/>
    <x v="2"/>
    <s v="Brie Carre Cheese, Prosciutto, Caramelized Onions, Pears, Thyme, Garlic"/>
    <x v="8"/>
  </r>
  <r>
    <n v="9047"/>
    <n v="3968"/>
    <n v="1"/>
    <s v="napolitana_l"/>
    <n v="1"/>
    <x v="32"/>
    <x v="4"/>
    <x v="947"/>
    <n v="20.5"/>
    <n v="20.5"/>
    <x v="2"/>
    <x v="0"/>
    <s v="Tomatoes, Anchovies, Green Olives, Red Onions, Garlic"/>
    <x v="5"/>
  </r>
  <r>
    <n v="9057"/>
    <n v="3971"/>
    <n v="1"/>
    <s v="pepperoni_l"/>
    <n v="1"/>
    <x v="32"/>
    <x v="4"/>
    <x v="948"/>
    <n v="15.25"/>
    <n v="15.25"/>
    <x v="2"/>
    <x v="0"/>
    <s v="Mozzarella Cheese, Pepperoni"/>
    <x v="3"/>
  </r>
  <r>
    <n v="9066"/>
    <n v="3974"/>
    <n v="1"/>
    <s v="mexicana_l"/>
    <n v="1"/>
    <x v="32"/>
    <x v="4"/>
    <x v="949"/>
    <n v="20.25"/>
    <n v="20.25"/>
    <x v="2"/>
    <x v="1"/>
    <s v="Tomatoes, Red Peppers, Jalapeno Peppers, Red Onions, Cilantro, Corn, Chipotle Sauce, Garlic"/>
    <x v="1"/>
  </r>
  <r>
    <n v="9068"/>
    <n v="3975"/>
    <n v="1"/>
    <s v="big_meat_s"/>
    <n v="1"/>
    <x v="32"/>
    <x v="4"/>
    <x v="950"/>
    <n v="12"/>
    <n v="12"/>
    <x v="1"/>
    <x v="0"/>
    <s v="Bacon, Pepperoni, Italian Sausage, Chorizo Sausage"/>
    <x v="4"/>
  </r>
  <r>
    <n v="9071"/>
    <n v="3977"/>
    <n v="1"/>
    <s v="calabrese_m"/>
    <n v="1"/>
    <x v="32"/>
    <x v="4"/>
    <x v="951"/>
    <n v="16.25"/>
    <n v="16.25"/>
    <x v="0"/>
    <x v="2"/>
    <s v="?duja Salami, Pancetta, Tomatoes, Red Onions, Friggitello Peppers, Garlic"/>
    <x v="6"/>
  </r>
  <r>
    <n v="9074"/>
    <n v="3978"/>
    <n v="0.5"/>
    <s v="hawaiian_m"/>
    <n v="2"/>
    <x v="32"/>
    <x v="4"/>
    <x v="952"/>
    <n v="13.25"/>
    <n v="26.5"/>
    <x v="0"/>
    <x v="0"/>
    <s v="Sliced Ham, Pineapple, Mozzarella Cheese"/>
    <x v="0"/>
  </r>
  <r>
    <n v="9075"/>
    <n v="3978"/>
    <n v="0.5"/>
    <s v="sicilian_l"/>
    <n v="1"/>
    <x v="32"/>
    <x v="4"/>
    <x v="952"/>
    <n v="20.25"/>
    <n v="20.25"/>
    <x v="2"/>
    <x v="2"/>
    <s v="Coarse Sicilian Salami, Tomatoes, Green Olives, Luganega Sausage, Onions, Garlic"/>
    <x v="7"/>
  </r>
  <r>
    <n v="9077"/>
    <n v="3979"/>
    <n v="1"/>
    <s v="hawaiian_s"/>
    <n v="1"/>
    <x v="32"/>
    <x v="4"/>
    <x v="953"/>
    <n v="10.5"/>
    <n v="10.5"/>
    <x v="1"/>
    <x v="0"/>
    <s v="Sliced Ham, Pineapple, Mozzarella Cheese"/>
    <x v="0"/>
  </r>
  <r>
    <n v="9080"/>
    <n v="3982"/>
    <n v="1"/>
    <s v="calabrese_l"/>
    <n v="1"/>
    <x v="32"/>
    <x v="4"/>
    <x v="954"/>
    <n v="20.25"/>
    <n v="20.25"/>
    <x v="2"/>
    <x v="2"/>
    <s v="?duja Salami, Pancetta, Tomatoes, Red Onions, Friggitello Peppers, Garlic"/>
    <x v="6"/>
  </r>
  <r>
    <n v="9081"/>
    <n v="3983"/>
    <n v="1"/>
    <s v="sicilian_m"/>
    <n v="1"/>
    <x v="32"/>
    <x v="4"/>
    <x v="955"/>
    <n v="16.25"/>
    <n v="16.25"/>
    <x v="0"/>
    <x v="2"/>
    <s v="Coarse Sicilian Salami, Tomatoes, Green Olives, Luganega Sausage, Onions, Garlic"/>
    <x v="7"/>
  </r>
  <r>
    <n v="9083"/>
    <n v="3984"/>
    <n v="0.5"/>
    <s v="hawaiian_s"/>
    <n v="1"/>
    <x v="32"/>
    <x v="4"/>
    <x v="956"/>
    <n v="10.5"/>
    <n v="10.5"/>
    <x v="1"/>
    <x v="0"/>
    <s v="Sliced Ham, Pineapple, Mozzarella Cheese"/>
    <x v="0"/>
  </r>
  <r>
    <n v="9084"/>
    <n v="3984"/>
    <n v="0.5"/>
    <s v="pepperoni_m"/>
    <n v="1"/>
    <x v="32"/>
    <x v="4"/>
    <x v="956"/>
    <n v="12.5"/>
    <n v="12.5"/>
    <x v="0"/>
    <x v="0"/>
    <s v="Mozzarella Cheese, Pepperoni"/>
    <x v="3"/>
  </r>
  <r>
    <n v="9094"/>
    <n v="3988"/>
    <n v="1"/>
    <s v="big_meat_s"/>
    <n v="1"/>
    <x v="32"/>
    <x v="4"/>
    <x v="957"/>
    <n v="12"/>
    <n v="12"/>
    <x v="1"/>
    <x v="0"/>
    <s v="Bacon, Pepperoni, Italian Sausage, Chorizo Sausage"/>
    <x v="4"/>
  </r>
  <r>
    <n v="9100"/>
    <n v="3991"/>
    <n v="1"/>
    <s v="napolitana_l"/>
    <n v="1"/>
    <x v="32"/>
    <x v="4"/>
    <x v="958"/>
    <n v="20.5"/>
    <n v="20.5"/>
    <x v="2"/>
    <x v="0"/>
    <s v="Tomatoes, Anchovies, Green Olives, Red Onions, Garlic"/>
    <x v="5"/>
  </r>
  <r>
    <n v="9103"/>
    <n v="3992"/>
    <n v="0.5"/>
    <s v="big_meat_s"/>
    <n v="1"/>
    <x v="32"/>
    <x v="4"/>
    <x v="959"/>
    <n v="12"/>
    <n v="12"/>
    <x v="1"/>
    <x v="0"/>
    <s v="Bacon, Pepperoni, Italian Sausage, Chorizo Sausage"/>
    <x v="4"/>
  </r>
  <r>
    <n v="9104"/>
    <n v="3992"/>
    <n v="0.5"/>
    <s v="pepperoni_l"/>
    <n v="1"/>
    <x v="32"/>
    <x v="4"/>
    <x v="959"/>
    <n v="15.25"/>
    <n v="15.25"/>
    <x v="2"/>
    <x v="0"/>
    <s v="Mozzarella Cheese, Pepperoni"/>
    <x v="3"/>
  </r>
  <r>
    <n v="9108"/>
    <n v="3994"/>
    <n v="1"/>
    <s v="mexicana_l"/>
    <n v="1"/>
    <x v="32"/>
    <x v="4"/>
    <x v="960"/>
    <n v="20.25"/>
    <n v="20.25"/>
    <x v="2"/>
    <x v="1"/>
    <s v="Tomatoes, Red Peppers, Jalapeno Peppers, Red Onions, Cilantro, Corn, Chipotle Sauce, Garlic"/>
    <x v="1"/>
  </r>
  <r>
    <n v="9133"/>
    <n v="4005"/>
    <n v="1"/>
    <s v="mexicana_s"/>
    <n v="1"/>
    <x v="33"/>
    <x v="0"/>
    <x v="961"/>
    <n v="12"/>
    <n v="12"/>
    <x v="1"/>
    <x v="1"/>
    <s v="Tomatoes, Red Peppers, Jalapeno Peppers, Red Onions, Cilantro, Corn, Chipotle Sauce, Garlic"/>
    <x v="1"/>
  </r>
  <r>
    <n v="9135"/>
    <n v="4006"/>
    <n v="1"/>
    <s v="sicilian_m"/>
    <n v="1"/>
    <x v="33"/>
    <x v="0"/>
    <x v="962"/>
    <n v="16.25"/>
    <n v="16.25"/>
    <x v="0"/>
    <x v="2"/>
    <s v="Coarse Sicilian Salami, Tomatoes, Green Olives, Luganega Sausage, Onions, Garlic"/>
    <x v="7"/>
  </r>
  <r>
    <n v="9149"/>
    <n v="4012"/>
    <n v="1"/>
    <s v="the_greek_s"/>
    <n v="1"/>
    <x v="33"/>
    <x v="0"/>
    <x v="963"/>
    <n v="12"/>
    <n v="12"/>
    <x v="1"/>
    <x v="0"/>
    <s v="Kalamata Olives, Feta Cheese, Tomatoes, Garlic, Beef Chuck Roast, Red Onions"/>
    <x v="2"/>
  </r>
  <r>
    <n v="9158"/>
    <n v="4014"/>
    <n v="0.5"/>
    <s v="mexicana_m"/>
    <n v="1"/>
    <x v="33"/>
    <x v="0"/>
    <x v="964"/>
    <n v="16"/>
    <n v="16"/>
    <x v="0"/>
    <x v="1"/>
    <s v="Tomatoes, Red Peppers, Jalapeno Peppers, Red Onions, Cilantro, Corn, Chipotle Sauce, Garlic"/>
    <x v="1"/>
  </r>
  <r>
    <n v="9159"/>
    <n v="4014"/>
    <n v="0.5"/>
    <s v="pepperoni_m"/>
    <n v="1"/>
    <x v="33"/>
    <x v="0"/>
    <x v="964"/>
    <n v="12.5"/>
    <n v="12.5"/>
    <x v="0"/>
    <x v="0"/>
    <s v="Mozzarella Cheese, Pepperoni"/>
    <x v="3"/>
  </r>
  <r>
    <n v="9165"/>
    <n v="4015"/>
    <n v="1"/>
    <s v="calabrese_m"/>
    <n v="1"/>
    <x v="33"/>
    <x v="0"/>
    <x v="965"/>
    <n v="16.25"/>
    <n v="16.25"/>
    <x v="0"/>
    <x v="2"/>
    <s v="?duja Salami, Pancetta, Tomatoes, Red Onions, Friggitello Peppers, Garlic"/>
    <x v="6"/>
  </r>
  <r>
    <n v="9171"/>
    <n v="4016"/>
    <n v="1"/>
    <s v="the_greek_m"/>
    <n v="1"/>
    <x v="33"/>
    <x v="0"/>
    <x v="966"/>
    <n v="16"/>
    <n v="16"/>
    <x v="0"/>
    <x v="0"/>
    <s v="Kalamata Olives, Feta Cheese, Tomatoes, Garlic, Beef Chuck Roast, Red Onions"/>
    <x v="2"/>
  </r>
  <r>
    <n v="9172"/>
    <n v="4017"/>
    <n v="1"/>
    <s v="hawaiian_s"/>
    <n v="1"/>
    <x v="33"/>
    <x v="0"/>
    <x v="967"/>
    <n v="10.5"/>
    <n v="10.5"/>
    <x v="1"/>
    <x v="0"/>
    <s v="Sliced Ham, Pineapple, Mozzarella Cheese"/>
    <x v="0"/>
  </r>
  <r>
    <n v="9174"/>
    <n v="4019"/>
    <n v="1"/>
    <s v="hawaiian_s"/>
    <n v="1"/>
    <x v="33"/>
    <x v="0"/>
    <x v="968"/>
    <n v="10.5"/>
    <n v="10.5"/>
    <x v="1"/>
    <x v="0"/>
    <s v="Sliced Ham, Pineapple, Mozzarella Cheese"/>
    <x v="0"/>
  </r>
  <r>
    <n v="9198"/>
    <n v="4030"/>
    <n v="1"/>
    <s v="big_meat_s"/>
    <n v="1"/>
    <x v="33"/>
    <x v="0"/>
    <x v="969"/>
    <n v="12"/>
    <n v="12"/>
    <x v="1"/>
    <x v="0"/>
    <s v="Bacon, Pepperoni, Italian Sausage, Chorizo Sausage"/>
    <x v="4"/>
  </r>
  <r>
    <n v="9200"/>
    <n v="4031"/>
    <n v="0.5"/>
    <s v="big_meat_s"/>
    <n v="1"/>
    <x v="33"/>
    <x v="0"/>
    <x v="970"/>
    <n v="12"/>
    <n v="12"/>
    <x v="1"/>
    <x v="0"/>
    <s v="Bacon, Pepperoni, Italian Sausage, Chorizo Sausage"/>
    <x v="4"/>
  </r>
  <r>
    <n v="9202"/>
    <n v="4031"/>
    <n v="0.5"/>
    <s v="hawaiian_l"/>
    <n v="1"/>
    <x v="33"/>
    <x v="0"/>
    <x v="970"/>
    <n v="16.5"/>
    <n v="16.5"/>
    <x v="2"/>
    <x v="0"/>
    <s v="Sliced Ham, Pineapple, Mozzarella Cheese"/>
    <x v="0"/>
  </r>
  <r>
    <n v="9203"/>
    <n v="4032"/>
    <n v="1"/>
    <s v="sicilian_s"/>
    <n v="1"/>
    <x v="33"/>
    <x v="0"/>
    <x v="971"/>
    <n v="12.25"/>
    <n v="12.25"/>
    <x v="1"/>
    <x v="2"/>
    <s v="Coarse Sicilian Salami, Tomatoes, Green Olives, Luganega Sausage, Onions, Garlic"/>
    <x v="7"/>
  </r>
  <r>
    <n v="9206"/>
    <n v="4034"/>
    <n v="0.25"/>
    <s v="hawaiian_s"/>
    <n v="1"/>
    <x v="33"/>
    <x v="0"/>
    <x v="972"/>
    <n v="10.5"/>
    <n v="10.5"/>
    <x v="1"/>
    <x v="0"/>
    <s v="Sliced Ham, Pineapple, Mozzarella Cheese"/>
    <x v="0"/>
  </r>
  <r>
    <n v="9207"/>
    <n v="4034"/>
    <n v="0.25"/>
    <s v="mexicana_m"/>
    <n v="1"/>
    <x v="33"/>
    <x v="0"/>
    <x v="972"/>
    <n v="16"/>
    <n v="16"/>
    <x v="0"/>
    <x v="1"/>
    <s v="Tomatoes, Red Peppers, Jalapeno Peppers, Red Onions, Cilantro, Corn, Chipotle Sauce, Garlic"/>
    <x v="1"/>
  </r>
  <r>
    <n v="9208"/>
    <n v="4034"/>
    <n v="0.25"/>
    <s v="pepperoni_l"/>
    <n v="1"/>
    <x v="33"/>
    <x v="0"/>
    <x v="972"/>
    <n v="15.25"/>
    <n v="15.25"/>
    <x v="2"/>
    <x v="0"/>
    <s v="Mozzarella Cheese, Pepperoni"/>
    <x v="3"/>
  </r>
  <r>
    <n v="9209"/>
    <n v="4034"/>
    <n v="0.25"/>
    <s v="the_greek_l"/>
    <n v="1"/>
    <x v="33"/>
    <x v="0"/>
    <x v="972"/>
    <n v="20.5"/>
    <n v="20.5"/>
    <x v="2"/>
    <x v="0"/>
    <s v="Kalamata Olives, Feta Cheese, Tomatoes, Garlic, Beef Chuck Roast, Red Onions"/>
    <x v="2"/>
  </r>
  <r>
    <n v="9219"/>
    <n v="4037"/>
    <n v="1"/>
    <s v="pepperoni_l"/>
    <n v="1"/>
    <x v="33"/>
    <x v="0"/>
    <x v="973"/>
    <n v="15.25"/>
    <n v="15.25"/>
    <x v="2"/>
    <x v="0"/>
    <s v="Mozzarella Cheese, Pepperoni"/>
    <x v="3"/>
  </r>
  <r>
    <n v="9221"/>
    <n v="4038"/>
    <n v="1"/>
    <s v="the_greek_l"/>
    <n v="1"/>
    <x v="33"/>
    <x v="0"/>
    <x v="974"/>
    <n v="20.5"/>
    <n v="20.5"/>
    <x v="2"/>
    <x v="0"/>
    <s v="Kalamata Olives, Feta Cheese, Tomatoes, Garlic, Beef Chuck Roast, Red Onions"/>
    <x v="2"/>
  </r>
  <r>
    <n v="9223"/>
    <n v="4040"/>
    <n v="1"/>
    <s v="napolitana_l"/>
    <n v="1"/>
    <x v="33"/>
    <x v="0"/>
    <x v="975"/>
    <n v="20.5"/>
    <n v="20.5"/>
    <x v="2"/>
    <x v="0"/>
    <s v="Tomatoes, Anchovies, Green Olives, Red Onions, Garlic"/>
    <x v="5"/>
  </r>
  <r>
    <n v="9225"/>
    <n v="4041"/>
    <n v="1"/>
    <s v="big_meat_s"/>
    <n v="1"/>
    <x v="33"/>
    <x v="0"/>
    <x v="976"/>
    <n v="12"/>
    <n v="12"/>
    <x v="1"/>
    <x v="0"/>
    <s v="Bacon, Pepperoni, Italian Sausage, Chorizo Sausage"/>
    <x v="4"/>
  </r>
  <r>
    <n v="9227"/>
    <n v="4042"/>
    <n v="1"/>
    <s v="mexicana_l"/>
    <n v="1"/>
    <x v="33"/>
    <x v="0"/>
    <x v="977"/>
    <n v="20.25"/>
    <n v="20.25"/>
    <x v="2"/>
    <x v="1"/>
    <s v="Tomatoes, Red Peppers, Jalapeno Peppers, Red Onions, Cilantro, Corn, Chipotle Sauce, Garlic"/>
    <x v="1"/>
  </r>
  <r>
    <n v="9229"/>
    <n v="4044"/>
    <n v="1"/>
    <s v="big_meat_s"/>
    <n v="1"/>
    <x v="33"/>
    <x v="0"/>
    <x v="978"/>
    <n v="12"/>
    <n v="12"/>
    <x v="1"/>
    <x v="0"/>
    <s v="Bacon, Pepperoni, Italian Sausage, Chorizo Sausage"/>
    <x v="4"/>
  </r>
  <r>
    <n v="9231"/>
    <n v="4045"/>
    <n v="1"/>
    <s v="napolitana_m"/>
    <n v="1"/>
    <x v="33"/>
    <x v="0"/>
    <x v="979"/>
    <n v="16"/>
    <n v="16"/>
    <x v="0"/>
    <x v="0"/>
    <s v="Tomatoes, Anchovies, Green Olives, Red Onions, Garlic"/>
    <x v="5"/>
  </r>
  <r>
    <n v="9234"/>
    <n v="4046"/>
    <n v="1"/>
    <s v="hawaiian_s"/>
    <n v="1"/>
    <x v="33"/>
    <x v="0"/>
    <x v="980"/>
    <n v="10.5"/>
    <n v="10.5"/>
    <x v="1"/>
    <x v="0"/>
    <s v="Sliced Ham, Pineapple, Mozzarella Cheese"/>
    <x v="0"/>
  </r>
  <r>
    <n v="9236"/>
    <n v="4048"/>
    <n v="0.33333333333333331"/>
    <s v="brie_carre_s"/>
    <n v="1"/>
    <x v="33"/>
    <x v="0"/>
    <x v="251"/>
    <n v="23.65"/>
    <n v="23.65"/>
    <x v="1"/>
    <x v="2"/>
    <s v="Brie Carre Cheese, Prosciutto, Caramelized Onions, Pears, Thyme, Garlic"/>
    <x v="8"/>
  </r>
  <r>
    <n v="9238"/>
    <n v="4048"/>
    <n v="0.33333333333333331"/>
    <s v="hawaiian_l"/>
    <n v="1"/>
    <x v="33"/>
    <x v="0"/>
    <x v="251"/>
    <n v="16.5"/>
    <n v="16.5"/>
    <x v="2"/>
    <x v="0"/>
    <s v="Sliced Ham, Pineapple, Mozzarella Cheese"/>
    <x v="0"/>
  </r>
  <r>
    <n v="9239"/>
    <n v="4048"/>
    <n v="0.33333333333333331"/>
    <s v="the_greek_l"/>
    <n v="1"/>
    <x v="33"/>
    <x v="0"/>
    <x v="251"/>
    <n v="20.5"/>
    <n v="20.5"/>
    <x v="2"/>
    <x v="0"/>
    <s v="Kalamata Olives, Feta Cheese, Tomatoes, Garlic, Beef Chuck Roast, Red Onions"/>
    <x v="2"/>
  </r>
  <r>
    <n v="9240"/>
    <n v="4049"/>
    <n v="1"/>
    <s v="brie_carre_s"/>
    <n v="1"/>
    <x v="33"/>
    <x v="0"/>
    <x v="981"/>
    <n v="23.65"/>
    <n v="23.65"/>
    <x v="1"/>
    <x v="2"/>
    <s v="Brie Carre Cheese, Prosciutto, Caramelized Onions, Pears, Thyme, Garlic"/>
    <x v="8"/>
  </r>
  <r>
    <n v="9245"/>
    <n v="4051"/>
    <n v="0.5"/>
    <s v="big_meat_s"/>
    <n v="1"/>
    <x v="33"/>
    <x v="0"/>
    <x v="982"/>
    <n v="12"/>
    <n v="12"/>
    <x v="1"/>
    <x v="0"/>
    <s v="Bacon, Pepperoni, Italian Sausage, Chorizo Sausage"/>
    <x v="4"/>
  </r>
  <r>
    <n v="9246"/>
    <n v="4051"/>
    <n v="0.5"/>
    <s v="pepperoni_m"/>
    <n v="1"/>
    <x v="33"/>
    <x v="0"/>
    <x v="982"/>
    <n v="12.5"/>
    <n v="12.5"/>
    <x v="0"/>
    <x v="0"/>
    <s v="Mozzarella Cheese, Pepperoni"/>
    <x v="3"/>
  </r>
  <r>
    <n v="9252"/>
    <n v="4055"/>
    <n v="0.5"/>
    <s v="calabrese_m"/>
    <n v="1"/>
    <x v="33"/>
    <x v="0"/>
    <x v="983"/>
    <n v="16.25"/>
    <n v="16.25"/>
    <x v="0"/>
    <x v="2"/>
    <s v="?duja Salami, Pancetta, Tomatoes, Red Onions, Friggitello Peppers, Garlic"/>
    <x v="6"/>
  </r>
  <r>
    <n v="9253"/>
    <n v="4055"/>
    <n v="0.5"/>
    <s v="pepperoni_s"/>
    <n v="1"/>
    <x v="33"/>
    <x v="0"/>
    <x v="983"/>
    <n v="9.75"/>
    <n v="9.75"/>
    <x v="1"/>
    <x v="0"/>
    <s v="Mozzarella Cheese, Pepperoni"/>
    <x v="3"/>
  </r>
  <r>
    <n v="9256"/>
    <n v="4056"/>
    <n v="1"/>
    <s v="hawaiian_s"/>
    <n v="1"/>
    <x v="34"/>
    <x v="5"/>
    <x v="984"/>
    <n v="10.5"/>
    <n v="10.5"/>
    <x v="1"/>
    <x v="0"/>
    <s v="Sliced Ham, Pineapple, Mozzarella Cheese"/>
    <x v="0"/>
  </r>
  <r>
    <n v="9260"/>
    <n v="4057"/>
    <n v="1"/>
    <s v="hawaiian_m"/>
    <n v="2"/>
    <x v="34"/>
    <x v="5"/>
    <x v="985"/>
    <n v="13.25"/>
    <n v="26.5"/>
    <x v="0"/>
    <x v="0"/>
    <s v="Sliced Ham, Pineapple, Mozzarella Cheese"/>
    <x v="0"/>
  </r>
  <r>
    <n v="9271"/>
    <n v="4063"/>
    <n v="0.5"/>
    <s v="hawaiian_l"/>
    <n v="1"/>
    <x v="34"/>
    <x v="5"/>
    <x v="986"/>
    <n v="16.5"/>
    <n v="16.5"/>
    <x v="2"/>
    <x v="0"/>
    <s v="Sliced Ham, Pineapple, Mozzarella Cheese"/>
    <x v="0"/>
  </r>
  <r>
    <n v="9273"/>
    <n v="4063"/>
    <n v="0.5"/>
    <s v="pepperoni_m"/>
    <n v="1"/>
    <x v="34"/>
    <x v="5"/>
    <x v="986"/>
    <n v="12.5"/>
    <n v="12.5"/>
    <x v="0"/>
    <x v="0"/>
    <s v="Mozzarella Cheese, Pepperoni"/>
    <x v="3"/>
  </r>
  <r>
    <n v="9276"/>
    <n v="4064"/>
    <n v="0.33333333333333331"/>
    <s v="hawaiian_l"/>
    <n v="1"/>
    <x v="34"/>
    <x v="5"/>
    <x v="987"/>
    <n v="16.5"/>
    <n v="16.5"/>
    <x v="2"/>
    <x v="0"/>
    <s v="Sliced Ham, Pineapple, Mozzarella Cheese"/>
    <x v="0"/>
  </r>
  <r>
    <n v="9278"/>
    <n v="4064"/>
    <n v="0.33333333333333331"/>
    <s v="pepperoni_m"/>
    <n v="1"/>
    <x v="34"/>
    <x v="5"/>
    <x v="987"/>
    <n v="12.5"/>
    <n v="12.5"/>
    <x v="0"/>
    <x v="0"/>
    <s v="Mozzarella Cheese, Pepperoni"/>
    <x v="3"/>
  </r>
  <r>
    <n v="9279"/>
    <n v="4064"/>
    <n v="0.33333333333333331"/>
    <s v="pepperoni_s"/>
    <n v="1"/>
    <x v="34"/>
    <x v="5"/>
    <x v="987"/>
    <n v="9.75"/>
    <n v="9.75"/>
    <x v="1"/>
    <x v="0"/>
    <s v="Mozzarella Cheese, Pepperoni"/>
    <x v="3"/>
  </r>
  <r>
    <n v="9284"/>
    <n v="4066"/>
    <n v="1"/>
    <s v="big_meat_s"/>
    <n v="1"/>
    <x v="34"/>
    <x v="5"/>
    <x v="988"/>
    <n v="12"/>
    <n v="12"/>
    <x v="1"/>
    <x v="0"/>
    <s v="Bacon, Pepperoni, Italian Sausage, Chorizo Sausage"/>
    <x v="4"/>
  </r>
  <r>
    <n v="9286"/>
    <n v="4068"/>
    <n v="0.5"/>
    <s v="big_meat_s"/>
    <n v="1"/>
    <x v="34"/>
    <x v="5"/>
    <x v="989"/>
    <n v="12"/>
    <n v="12"/>
    <x v="1"/>
    <x v="0"/>
    <s v="Bacon, Pepperoni, Italian Sausage, Chorizo Sausage"/>
    <x v="4"/>
  </r>
  <r>
    <n v="9288"/>
    <n v="4068"/>
    <n v="0.5"/>
    <s v="napolitana_m"/>
    <n v="1"/>
    <x v="34"/>
    <x v="5"/>
    <x v="989"/>
    <n v="16"/>
    <n v="16"/>
    <x v="0"/>
    <x v="0"/>
    <s v="Tomatoes, Anchovies, Green Olives, Red Onions, Garlic"/>
    <x v="5"/>
  </r>
  <r>
    <n v="9292"/>
    <n v="4070"/>
    <n v="1"/>
    <s v="mexicana_l"/>
    <n v="1"/>
    <x v="34"/>
    <x v="5"/>
    <x v="990"/>
    <n v="20.25"/>
    <n v="20.25"/>
    <x v="2"/>
    <x v="1"/>
    <s v="Tomatoes, Red Peppers, Jalapeno Peppers, Red Onions, Cilantro, Corn, Chipotle Sauce, Garlic"/>
    <x v="1"/>
  </r>
  <r>
    <n v="9307"/>
    <n v="4077"/>
    <n v="0.33333333333333331"/>
    <s v="hawaiian_l"/>
    <n v="1"/>
    <x v="34"/>
    <x v="5"/>
    <x v="991"/>
    <n v="16.5"/>
    <n v="16.5"/>
    <x v="2"/>
    <x v="0"/>
    <s v="Sliced Ham, Pineapple, Mozzarella Cheese"/>
    <x v="0"/>
  </r>
  <r>
    <n v="9309"/>
    <n v="4077"/>
    <n v="0.33333333333333331"/>
    <s v="mexicana_m"/>
    <n v="1"/>
    <x v="34"/>
    <x v="5"/>
    <x v="991"/>
    <n v="16"/>
    <n v="16"/>
    <x v="0"/>
    <x v="1"/>
    <s v="Tomatoes, Red Peppers, Jalapeno Peppers, Red Onions, Cilantro, Corn, Chipotle Sauce, Garlic"/>
    <x v="1"/>
  </r>
  <r>
    <n v="9310"/>
    <n v="4077"/>
    <n v="0.33333333333333331"/>
    <s v="sicilian_l"/>
    <n v="1"/>
    <x v="34"/>
    <x v="5"/>
    <x v="991"/>
    <n v="20.25"/>
    <n v="20.25"/>
    <x v="2"/>
    <x v="2"/>
    <s v="Coarse Sicilian Salami, Tomatoes, Green Olives, Luganega Sausage, Onions, Garlic"/>
    <x v="7"/>
  </r>
  <r>
    <n v="9315"/>
    <n v="4078"/>
    <n v="0.5"/>
    <s v="hawaiian_s"/>
    <n v="1"/>
    <x v="34"/>
    <x v="5"/>
    <x v="992"/>
    <n v="10.5"/>
    <n v="10.5"/>
    <x v="1"/>
    <x v="0"/>
    <s v="Sliced Ham, Pineapple, Mozzarella Cheese"/>
    <x v="0"/>
  </r>
  <r>
    <n v="9316"/>
    <n v="4078"/>
    <n v="0.5"/>
    <s v="pepperoni_m"/>
    <n v="1"/>
    <x v="34"/>
    <x v="5"/>
    <x v="992"/>
    <n v="12.5"/>
    <n v="12.5"/>
    <x v="0"/>
    <x v="0"/>
    <s v="Mozzarella Cheese, Pepperoni"/>
    <x v="3"/>
  </r>
  <r>
    <n v="9320"/>
    <n v="4080"/>
    <n v="1"/>
    <s v="the_greek_s"/>
    <n v="1"/>
    <x v="34"/>
    <x v="5"/>
    <x v="993"/>
    <n v="12"/>
    <n v="12"/>
    <x v="1"/>
    <x v="0"/>
    <s v="Kalamata Olives, Feta Cheese, Tomatoes, Garlic, Beef Chuck Roast, Red Onions"/>
    <x v="2"/>
  </r>
  <r>
    <n v="9328"/>
    <n v="4085"/>
    <n v="1"/>
    <s v="mexicana_l"/>
    <n v="1"/>
    <x v="34"/>
    <x v="5"/>
    <x v="994"/>
    <n v="20.25"/>
    <n v="20.25"/>
    <x v="2"/>
    <x v="1"/>
    <s v="Tomatoes, Red Peppers, Jalapeno Peppers, Red Onions, Cilantro, Corn, Chipotle Sauce, Garlic"/>
    <x v="1"/>
  </r>
  <r>
    <n v="9331"/>
    <n v="4087"/>
    <n v="1"/>
    <s v="big_meat_s"/>
    <n v="1"/>
    <x v="34"/>
    <x v="5"/>
    <x v="995"/>
    <n v="12"/>
    <n v="12"/>
    <x v="1"/>
    <x v="0"/>
    <s v="Bacon, Pepperoni, Italian Sausage, Chorizo Sausage"/>
    <x v="4"/>
  </r>
  <r>
    <n v="9335"/>
    <n v="4088"/>
    <n v="1"/>
    <s v="the_greek_l"/>
    <n v="1"/>
    <x v="34"/>
    <x v="5"/>
    <x v="996"/>
    <n v="20.5"/>
    <n v="20.5"/>
    <x v="2"/>
    <x v="0"/>
    <s v="Kalamata Olives, Feta Cheese, Tomatoes, Garlic, Beef Chuck Roast, Red Onions"/>
    <x v="2"/>
  </r>
  <r>
    <n v="9336"/>
    <n v="4089"/>
    <n v="1"/>
    <s v="brie_carre_s"/>
    <n v="1"/>
    <x v="34"/>
    <x v="5"/>
    <x v="997"/>
    <n v="23.65"/>
    <n v="23.65"/>
    <x v="1"/>
    <x v="2"/>
    <s v="Brie Carre Cheese, Prosciutto, Caramelized Onions, Pears, Thyme, Garlic"/>
    <x v="8"/>
  </r>
  <r>
    <n v="9350"/>
    <n v="4094"/>
    <n v="1"/>
    <s v="big_meat_s"/>
    <n v="1"/>
    <x v="34"/>
    <x v="5"/>
    <x v="998"/>
    <n v="12"/>
    <n v="12"/>
    <x v="1"/>
    <x v="0"/>
    <s v="Bacon, Pepperoni, Italian Sausage, Chorizo Sausage"/>
    <x v="4"/>
  </r>
  <r>
    <n v="9354"/>
    <n v="4097"/>
    <n v="0.5"/>
    <s v="hawaiian_l"/>
    <n v="1"/>
    <x v="34"/>
    <x v="5"/>
    <x v="999"/>
    <n v="16.5"/>
    <n v="16.5"/>
    <x v="2"/>
    <x v="0"/>
    <s v="Sliced Ham, Pineapple, Mozzarella Cheese"/>
    <x v="0"/>
  </r>
  <r>
    <n v="9355"/>
    <n v="4097"/>
    <n v="0.5"/>
    <s v="mexicana_l"/>
    <n v="1"/>
    <x v="34"/>
    <x v="5"/>
    <x v="999"/>
    <n v="20.25"/>
    <n v="20.25"/>
    <x v="2"/>
    <x v="1"/>
    <s v="Tomatoes, Red Peppers, Jalapeno Peppers, Red Onions, Cilantro, Corn, Chipotle Sauce, Garlic"/>
    <x v="1"/>
  </r>
  <r>
    <n v="9357"/>
    <n v="4098"/>
    <n v="1"/>
    <s v="hawaiian_s"/>
    <n v="1"/>
    <x v="34"/>
    <x v="5"/>
    <x v="1000"/>
    <n v="10.5"/>
    <n v="10.5"/>
    <x v="1"/>
    <x v="0"/>
    <s v="Sliced Ham, Pineapple, Mozzarella Cheese"/>
    <x v="0"/>
  </r>
  <r>
    <n v="9359"/>
    <n v="4099"/>
    <n v="1"/>
    <s v="brie_carre_s"/>
    <n v="1"/>
    <x v="34"/>
    <x v="5"/>
    <x v="704"/>
    <n v="23.65"/>
    <n v="23.65"/>
    <x v="1"/>
    <x v="2"/>
    <s v="Brie Carre Cheese, Prosciutto, Caramelized Onions, Pears, Thyme, Garlic"/>
    <x v="8"/>
  </r>
  <r>
    <n v="9361"/>
    <n v="4100"/>
    <n v="1"/>
    <s v="hawaiian_l"/>
    <n v="1"/>
    <x v="34"/>
    <x v="5"/>
    <x v="1001"/>
    <n v="16.5"/>
    <n v="16.5"/>
    <x v="2"/>
    <x v="0"/>
    <s v="Sliced Ham, Pineapple, Mozzarella Cheese"/>
    <x v="0"/>
  </r>
  <r>
    <n v="9363"/>
    <n v="4102"/>
    <n v="1"/>
    <s v="big_meat_s"/>
    <n v="1"/>
    <x v="34"/>
    <x v="5"/>
    <x v="1002"/>
    <n v="12"/>
    <n v="12"/>
    <x v="1"/>
    <x v="0"/>
    <s v="Bacon, Pepperoni, Italian Sausage, Chorizo Sausage"/>
    <x v="4"/>
  </r>
  <r>
    <n v="9365"/>
    <n v="4103"/>
    <n v="0.33333333333333331"/>
    <s v="big_meat_s"/>
    <n v="1"/>
    <x v="34"/>
    <x v="5"/>
    <x v="1003"/>
    <n v="12"/>
    <n v="12"/>
    <x v="1"/>
    <x v="0"/>
    <s v="Bacon, Pepperoni, Italian Sausage, Chorizo Sausage"/>
    <x v="4"/>
  </r>
  <r>
    <n v="9366"/>
    <n v="4103"/>
    <n v="0.33333333333333331"/>
    <s v="pepperoni_s"/>
    <n v="1"/>
    <x v="34"/>
    <x v="5"/>
    <x v="1003"/>
    <n v="9.75"/>
    <n v="9.75"/>
    <x v="1"/>
    <x v="0"/>
    <s v="Mozzarella Cheese, Pepperoni"/>
    <x v="3"/>
  </r>
  <r>
    <n v="9367"/>
    <n v="4103"/>
    <n v="0.33333333333333331"/>
    <s v="sicilian_l"/>
    <n v="1"/>
    <x v="34"/>
    <x v="5"/>
    <x v="1003"/>
    <n v="20.25"/>
    <n v="20.25"/>
    <x v="2"/>
    <x v="2"/>
    <s v="Coarse Sicilian Salami, Tomatoes, Green Olives, Luganega Sausage, Onions, Garlic"/>
    <x v="7"/>
  </r>
  <r>
    <n v="9372"/>
    <n v="4105"/>
    <n v="1"/>
    <s v="mexicana_m"/>
    <n v="1"/>
    <x v="34"/>
    <x v="5"/>
    <x v="1004"/>
    <n v="16"/>
    <n v="16"/>
    <x v="0"/>
    <x v="1"/>
    <s v="Tomatoes, Red Peppers, Jalapeno Peppers, Red Onions, Cilantro, Corn, Chipotle Sauce, Garlic"/>
    <x v="1"/>
  </r>
  <r>
    <n v="9374"/>
    <n v="4106"/>
    <n v="0.5"/>
    <s v="big_meat_s"/>
    <n v="1"/>
    <x v="34"/>
    <x v="5"/>
    <x v="1005"/>
    <n v="12"/>
    <n v="12"/>
    <x v="1"/>
    <x v="0"/>
    <s v="Bacon, Pepperoni, Italian Sausage, Chorizo Sausage"/>
    <x v="4"/>
  </r>
  <r>
    <n v="9375"/>
    <n v="4106"/>
    <n v="0.5"/>
    <s v="napolitana_l"/>
    <n v="1"/>
    <x v="34"/>
    <x v="5"/>
    <x v="1005"/>
    <n v="20.5"/>
    <n v="20.5"/>
    <x v="2"/>
    <x v="0"/>
    <s v="Tomatoes, Anchovies, Green Olives, Red Onions, Garlic"/>
    <x v="5"/>
  </r>
  <r>
    <n v="9380"/>
    <n v="4108"/>
    <n v="1"/>
    <s v="mexicana_m"/>
    <n v="1"/>
    <x v="34"/>
    <x v="5"/>
    <x v="1006"/>
    <n v="16"/>
    <n v="16"/>
    <x v="0"/>
    <x v="1"/>
    <s v="Tomatoes, Red Peppers, Jalapeno Peppers, Red Onions, Cilantro, Corn, Chipotle Sauce, Garlic"/>
    <x v="1"/>
  </r>
  <r>
    <n v="9385"/>
    <n v="4109"/>
    <n v="1"/>
    <s v="sicilian_m"/>
    <n v="1"/>
    <x v="34"/>
    <x v="5"/>
    <x v="1007"/>
    <n v="16.25"/>
    <n v="16.25"/>
    <x v="0"/>
    <x v="2"/>
    <s v="Coarse Sicilian Salami, Tomatoes, Green Olives, Luganega Sausage, Onions, Garlic"/>
    <x v="7"/>
  </r>
  <r>
    <n v="9392"/>
    <n v="4112"/>
    <n v="1"/>
    <s v="big_meat_s"/>
    <n v="1"/>
    <x v="34"/>
    <x v="5"/>
    <x v="1008"/>
    <n v="12"/>
    <n v="12"/>
    <x v="1"/>
    <x v="0"/>
    <s v="Bacon, Pepperoni, Italian Sausage, Chorizo Sausage"/>
    <x v="4"/>
  </r>
  <r>
    <n v="9396"/>
    <n v="4114"/>
    <n v="1"/>
    <s v="sicilian_l"/>
    <n v="1"/>
    <x v="34"/>
    <x v="5"/>
    <x v="1009"/>
    <n v="20.25"/>
    <n v="20.25"/>
    <x v="2"/>
    <x v="2"/>
    <s v="Coarse Sicilian Salami, Tomatoes, Green Olives, Luganega Sausage, Onions, Garlic"/>
    <x v="7"/>
  </r>
  <r>
    <n v="9401"/>
    <n v="4119"/>
    <n v="1"/>
    <s v="napolitana_l"/>
    <n v="1"/>
    <x v="35"/>
    <x v="6"/>
    <x v="1010"/>
    <n v="20.5"/>
    <n v="20.5"/>
    <x v="2"/>
    <x v="0"/>
    <s v="Tomatoes, Anchovies, Green Olives, Red Onions, Garlic"/>
    <x v="5"/>
  </r>
  <r>
    <n v="9402"/>
    <n v="4120"/>
    <n v="1"/>
    <s v="napolitana_s"/>
    <n v="1"/>
    <x v="35"/>
    <x v="6"/>
    <x v="1011"/>
    <n v="12"/>
    <n v="12"/>
    <x v="1"/>
    <x v="0"/>
    <s v="Tomatoes, Anchovies, Green Olives, Red Onions, Garlic"/>
    <x v="5"/>
  </r>
  <r>
    <n v="9404"/>
    <n v="4121"/>
    <n v="0.5"/>
    <s v="brie_carre_s"/>
    <n v="1"/>
    <x v="35"/>
    <x v="6"/>
    <x v="1012"/>
    <n v="23.65"/>
    <n v="23.65"/>
    <x v="1"/>
    <x v="2"/>
    <s v="Brie Carre Cheese, Prosciutto, Caramelized Onions, Pears, Thyme, Garlic"/>
    <x v="8"/>
  </r>
  <r>
    <n v="9406"/>
    <n v="4121"/>
    <n v="0.5"/>
    <s v="hawaiian_l"/>
    <n v="1"/>
    <x v="35"/>
    <x v="6"/>
    <x v="1012"/>
    <n v="16.5"/>
    <n v="16.5"/>
    <x v="2"/>
    <x v="0"/>
    <s v="Sliced Ham, Pineapple, Mozzarella Cheese"/>
    <x v="0"/>
  </r>
  <r>
    <n v="9411"/>
    <n v="4123"/>
    <n v="0.2"/>
    <s v="big_meat_s"/>
    <n v="2"/>
    <x v="35"/>
    <x v="6"/>
    <x v="1013"/>
    <n v="12"/>
    <n v="24"/>
    <x v="1"/>
    <x v="0"/>
    <s v="Bacon, Pepperoni, Italian Sausage, Chorizo Sausage"/>
    <x v="4"/>
  </r>
  <r>
    <n v="9412"/>
    <n v="4123"/>
    <n v="0.2"/>
    <s v="calabrese_m"/>
    <n v="1"/>
    <x v="35"/>
    <x v="6"/>
    <x v="1013"/>
    <n v="16.25"/>
    <n v="16.25"/>
    <x v="0"/>
    <x v="2"/>
    <s v="?duja Salami, Pancetta, Tomatoes, Red Onions, Friggitello Peppers, Garlic"/>
    <x v="6"/>
  </r>
  <r>
    <n v="9417"/>
    <n v="4123"/>
    <n v="0.2"/>
    <s v="hawaiian_s"/>
    <n v="1"/>
    <x v="35"/>
    <x v="6"/>
    <x v="1013"/>
    <n v="10.5"/>
    <n v="10.5"/>
    <x v="1"/>
    <x v="0"/>
    <s v="Sliced Ham, Pineapple, Mozzarella Cheese"/>
    <x v="0"/>
  </r>
  <r>
    <n v="9419"/>
    <n v="4123"/>
    <n v="0.2"/>
    <s v="mexicana_m"/>
    <n v="1"/>
    <x v="35"/>
    <x v="6"/>
    <x v="1013"/>
    <n v="16"/>
    <n v="16"/>
    <x v="0"/>
    <x v="1"/>
    <s v="Tomatoes, Red Peppers, Jalapeno Peppers, Red Onions, Cilantro, Corn, Chipotle Sauce, Garlic"/>
    <x v="1"/>
  </r>
  <r>
    <n v="9421"/>
    <n v="4123"/>
    <n v="0.2"/>
    <s v="the_greek_s"/>
    <n v="1"/>
    <x v="35"/>
    <x v="6"/>
    <x v="1013"/>
    <n v="12"/>
    <n v="12"/>
    <x v="1"/>
    <x v="0"/>
    <s v="Kalamata Olives, Feta Cheese, Tomatoes, Garlic, Beef Chuck Roast, Red Onions"/>
    <x v="2"/>
  </r>
  <r>
    <n v="9423"/>
    <n v="4124"/>
    <n v="1"/>
    <s v="pepperoni_m"/>
    <n v="1"/>
    <x v="35"/>
    <x v="6"/>
    <x v="1014"/>
    <n v="12.5"/>
    <n v="12.5"/>
    <x v="0"/>
    <x v="0"/>
    <s v="Mozzarella Cheese, Pepperoni"/>
    <x v="3"/>
  </r>
  <r>
    <n v="9427"/>
    <n v="4126"/>
    <n v="1"/>
    <s v="sicilian_s"/>
    <n v="1"/>
    <x v="35"/>
    <x v="6"/>
    <x v="1015"/>
    <n v="12.25"/>
    <n v="12.25"/>
    <x v="1"/>
    <x v="2"/>
    <s v="Coarse Sicilian Salami, Tomatoes, Green Olives, Luganega Sausage, Onions, Garlic"/>
    <x v="7"/>
  </r>
  <r>
    <n v="9431"/>
    <n v="4130"/>
    <n v="1"/>
    <s v="calabrese_l"/>
    <n v="1"/>
    <x v="35"/>
    <x v="6"/>
    <x v="1016"/>
    <n v="20.25"/>
    <n v="20.25"/>
    <x v="2"/>
    <x v="2"/>
    <s v="?duja Salami, Pancetta, Tomatoes, Red Onions, Friggitello Peppers, Garlic"/>
    <x v="6"/>
  </r>
  <r>
    <n v="9438"/>
    <n v="4131"/>
    <n v="0.5"/>
    <s v="mexicana_m"/>
    <n v="1"/>
    <x v="35"/>
    <x v="6"/>
    <x v="1017"/>
    <n v="16"/>
    <n v="16"/>
    <x v="0"/>
    <x v="1"/>
    <s v="Tomatoes, Red Peppers, Jalapeno Peppers, Red Onions, Cilantro, Corn, Chipotle Sauce, Garlic"/>
    <x v="1"/>
  </r>
  <r>
    <n v="9439"/>
    <n v="4131"/>
    <n v="0.5"/>
    <s v="pepperoni_m"/>
    <n v="1"/>
    <x v="35"/>
    <x v="6"/>
    <x v="1017"/>
    <n v="12.5"/>
    <n v="12.5"/>
    <x v="0"/>
    <x v="0"/>
    <s v="Mozzarella Cheese, Pepperoni"/>
    <x v="3"/>
  </r>
  <r>
    <n v="9442"/>
    <n v="4132"/>
    <n v="1"/>
    <s v="mexicana_l"/>
    <n v="1"/>
    <x v="35"/>
    <x v="6"/>
    <x v="1018"/>
    <n v="20.25"/>
    <n v="20.25"/>
    <x v="2"/>
    <x v="1"/>
    <s v="Tomatoes, Red Peppers, Jalapeno Peppers, Red Onions, Cilantro, Corn, Chipotle Sauce, Garlic"/>
    <x v="1"/>
  </r>
  <r>
    <n v="9452"/>
    <n v="4136"/>
    <n v="0.5"/>
    <s v="sicilian_m"/>
    <n v="1"/>
    <x v="35"/>
    <x v="6"/>
    <x v="1019"/>
    <n v="16.25"/>
    <n v="16.25"/>
    <x v="0"/>
    <x v="2"/>
    <s v="Coarse Sicilian Salami, Tomatoes, Green Olives, Luganega Sausage, Onions, Garlic"/>
    <x v="7"/>
  </r>
  <r>
    <n v="9453"/>
    <n v="4136"/>
    <n v="0.5"/>
    <s v="the_greek_xl"/>
    <n v="1"/>
    <x v="35"/>
    <x v="6"/>
    <x v="1019"/>
    <n v="25.5"/>
    <n v="25.5"/>
    <x v="3"/>
    <x v="0"/>
    <s v="Kalamata Olives, Feta Cheese, Tomatoes, Garlic, Beef Chuck Roast, Red Onions"/>
    <x v="2"/>
  </r>
  <r>
    <n v="9459"/>
    <n v="4140"/>
    <n v="1"/>
    <s v="pepperoni_m"/>
    <n v="1"/>
    <x v="35"/>
    <x v="6"/>
    <x v="1020"/>
    <n v="12.5"/>
    <n v="12.5"/>
    <x v="0"/>
    <x v="0"/>
    <s v="Mozzarella Cheese, Pepperoni"/>
    <x v="3"/>
  </r>
  <r>
    <n v="9464"/>
    <n v="4144"/>
    <n v="0.5"/>
    <s v="big_meat_s"/>
    <n v="1"/>
    <x v="35"/>
    <x v="6"/>
    <x v="1021"/>
    <n v="12"/>
    <n v="12"/>
    <x v="1"/>
    <x v="0"/>
    <s v="Bacon, Pepperoni, Italian Sausage, Chorizo Sausage"/>
    <x v="4"/>
  </r>
  <r>
    <n v="9465"/>
    <n v="4144"/>
    <n v="0.5"/>
    <s v="the_greek_xl"/>
    <n v="1"/>
    <x v="35"/>
    <x v="6"/>
    <x v="1021"/>
    <n v="25.5"/>
    <n v="25.5"/>
    <x v="3"/>
    <x v="0"/>
    <s v="Kalamata Olives, Feta Cheese, Tomatoes, Garlic, Beef Chuck Roast, Red Onions"/>
    <x v="2"/>
  </r>
  <r>
    <n v="9466"/>
    <n v="4145"/>
    <n v="1"/>
    <s v="mexicana_l"/>
    <n v="1"/>
    <x v="35"/>
    <x v="6"/>
    <x v="1022"/>
    <n v="20.25"/>
    <n v="20.25"/>
    <x v="2"/>
    <x v="1"/>
    <s v="Tomatoes, Red Peppers, Jalapeno Peppers, Red Onions, Cilantro, Corn, Chipotle Sauce, Garlic"/>
    <x v="1"/>
  </r>
  <r>
    <n v="9470"/>
    <n v="4146"/>
    <n v="1"/>
    <s v="mexicana_s"/>
    <n v="1"/>
    <x v="35"/>
    <x v="6"/>
    <x v="1023"/>
    <n v="12"/>
    <n v="12"/>
    <x v="1"/>
    <x v="1"/>
    <s v="Tomatoes, Red Peppers, Jalapeno Peppers, Red Onions, Cilantro, Corn, Chipotle Sauce, Garlic"/>
    <x v="1"/>
  </r>
  <r>
    <n v="9477"/>
    <n v="4150"/>
    <n v="0.5"/>
    <s v="brie_carre_s"/>
    <n v="1"/>
    <x v="35"/>
    <x v="6"/>
    <x v="1024"/>
    <n v="23.65"/>
    <n v="23.65"/>
    <x v="1"/>
    <x v="2"/>
    <s v="Brie Carre Cheese, Prosciutto, Caramelized Onions, Pears, Thyme, Garlic"/>
    <x v="8"/>
  </r>
  <r>
    <n v="9479"/>
    <n v="4150"/>
    <n v="0.5"/>
    <s v="sicilian_l"/>
    <n v="1"/>
    <x v="35"/>
    <x v="6"/>
    <x v="1024"/>
    <n v="20.25"/>
    <n v="20.25"/>
    <x v="2"/>
    <x v="2"/>
    <s v="Coarse Sicilian Salami, Tomatoes, Green Olives, Luganega Sausage, Onions, Garlic"/>
    <x v="7"/>
  </r>
  <r>
    <n v="9483"/>
    <n v="4152"/>
    <n v="1"/>
    <s v="hawaiian_l"/>
    <n v="1"/>
    <x v="35"/>
    <x v="6"/>
    <x v="1025"/>
    <n v="16.5"/>
    <n v="16.5"/>
    <x v="2"/>
    <x v="0"/>
    <s v="Sliced Ham, Pineapple, Mozzarella Cheese"/>
    <x v="0"/>
  </r>
  <r>
    <n v="9489"/>
    <n v="4155"/>
    <n v="1"/>
    <s v="hawaiian_s"/>
    <n v="1"/>
    <x v="35"/>
    <x v="6"/>
    <x v="1026"/>
    <n v="10.5"/>
    <n v="10.5"/>
    <x v="1"/>
    <x v="0"/>
    <s v="Sliced Ham, Pineapple, Mozzarella Cheese"/>
    <x v="0"/>
  </r>
  <r>
    <n v="9492"/>
    <n v="4157"/>
    <n v="1"/>
    <s v="hawaiian_l"/>
    <n v="1"/>
    <x v="35"/>
    <x v="6"/>
    <x v="1027"/>
    <n v="16.5"/>
    <n v="16.5"/>
    <x v="2"/>
    <x v="0"/>
    <s v="Sliced Ham, Pineapple, Mozzarella Cheese"/>
    <x v="0"/>
  </r>
  <r>
    <n v="9493"/>
    <n v="4158"/>
    <n v="0.5"/>
    <s v="calabrese_m"/>
    <n v="1"/>
    <x v="35"/>
    <x v="6"/>
    <x v="1028"/>
    <n v="16.25"/>
    <n v="16.25"/>
    <x v="0"/>
    <x v="2"/>
    <s v="?duja Salami, Pancetta, Tomatoes, Red Onions, Friggitello Peppers, Garlic"/>
    <x v="6"/>
  </r>
  <r>
    <n v="9494"/>
    <n v="4158"/>
    <n v="0.5"/>
    <s v="mexicana_m"/>
    <n v="1"/>
    <x v="35"/>
    <x v="6"/>
    <x v="1028"/>
    <n v="16"/>
    <n v="16"/>
    <x v="0"/>
    <x v="1"/>
    <s v="Tomatoes, Red Peppers, Jalapeno Peppers, Red Onions, Cilantro, Corn, Chipotle Sauce, Garlic"/>
    <x v="1"/>
  </r>
  <r>
    <n v="9501"/>
    <n v="4162"/>
    <n v="0.5"/>
    <s v="big_meat_s"/>
    <n v="1"/>
    <x v="35"/>
    <x v="6"/>
    <x v="1029"/>
    <n v="12"/>
    <n v="12"/>
    <x v="1"/>
    <x v="0"/>
    <s v="Bacon, Pepperoni, Italian Sausage, Chorizo Sausage"/>
    <x v="4"/>
  </r>
  <r>
    <n v="9503"/>
    <n v="4162"/>
    <n v="0.5"/>
    <s v="pepperoni_s"/>
    <n v="1"/>
    <x v="35"/>
    <x v="6"/>
    <x v="1029"/>
    <n v="9.75"/>
    <n v="9.75"/>
    <x v="1"/>
    <x v="0"/>
    <s v="Mozzarella Cheese, Pepperoni"/>
    <x v="3"/>
  </r>
  <r>
    <n v="9512"/>
    <n v="4167"/>
    <n v="1"/>
    <s v="big_meat_s"/>
    <n v="1"/>
    <x v="35"/>
    <x v="6"/>
    <x v="1030"/>
    <n v="12"/>
    <n v="12"/>
    <x v="1"/>
    <x v="0"/>
    <s v="Bacon, Pepperoni, Italian Sausage, Chorizo Sausage"/>
    <x v="4"/>
  </r>
  <r>
    <n v="9517"/>
    <n v="4168"/>
    <n v="1"/>
    <s v="napolitana_s"/>
    <n v="1"/>
    <x v="35"/>
    <x v="6"/>
    <x v="1031"/>
    <n v="12"/>
    <n v="12"/>
    <x v="1"/>
    <x v="0"/>
    <s v="Tomatoes, Anchovies, Green Olives, Red Onions, Garlic"/>
    <x v="5"/>
  </r>
  <r>
    <n v="9520"/>
    <n v="4170"/>
    <n v="1"/>
    <s v="big_meat_s"/>
    <n v="1"/>
    <x v="35"/>
    <x v="6"/>
    <x v="1032"/>
    <n v="12"/>
    <n v="12"/>
    <x v="1"/>
    <x v="0"/>
    <s v="Bacon, Pepperoni, Italian Sausage, Chorizo Sausage"/>
    <x v="4"/>
  </r>
  <r>
    <n v="9529"/>
    <n v="4177"/>
    <n v="0.33333333333333331"/>
    <s v="calabrese_s"/>
    <n v="1"/>
    <x v="36"/>
    <x v="0"/>
    <x v="1033"/>
    <n v="12.25"/>
    <n v="12.25"/>
    <x v="1"/>
    <x v="2"/>
    <s v="?duja Salami, Pancetta, Tomatoes, Red Onions, Friggitello Peppers, Garlic"/>
    <x v="6"/>
  </r>
  <r>
    <n v="9530"/>
    <n v="4177"/>
    <n v="0.33333333333333331"/>
    <s v="mexicana_m"/>
    <n v="1"/>
    <x v="36"/>
    <x v="0"/>
    <x v="1033"/>
    <n v="16"/>
    <n v="16"/>
    <x v="0"/>
    <x v="1"/>
    <s v="Tomatoes, Red Peppers, Jalapeno Peppers, Red Onions, Cilantro, Corn, Chipotle Sauce, Garlic"/>
    <x v="1"/>
  </r>
  <r>
    <n v="9532"/>
    <n v="4177"/>
    <n v="0.33333333333333331"/>
    <s v="pepperoni_s"/>
    <n v="1"/>
    <x v="36"/>
    <x v="0"/>
    <x v="1033"/>
    <n v="9.75"/>
    <n v="9.75"/>
    <x v="1"/>
    <x v="0"/>
    <s v="Mozzarella Cheese, Pepperoni"/>
    <x v="3"/>
  </r>
  <r>
    <n v="9536"/>
    <n v="4180"/>
    <n v="1"/>
    <s v="hawaiian_m"/>
    <n v="1"/>
    <x v="36"/>
    <x v="0"/>
    <x v="1034"/>
    <n v="13.25"/>
    <n v="13.25"/>
    <x v="0"/>
    <x v="0"/>
    <s v="Sliced Ham, Pineapple, Mozzarella Cheese"/>
    <x v="0"/>
  </r>
  <r>
    <n v="9540"/>
    <n v="4182"/>
    <n v="1"/>
    <s v="mexicana_m"/>
    <n v="1"/>
    <x v="36"/>
    <x v="0"/>
    <x v="1035"/>
    <n v="16"/>
    <n v="16"/>
    <x v="0"/>
    <x v="1"/>
    <s v="Tomatoes, Red Peppers, Jalapeno Peppers, Red Onions, Cilantro, Corn, Chipotle Sauce, Garlic"/>
    <x v="1"/>
  </r>
  <r>
    <n v="9542"/>
    <n v="4183"/>
    <n v="1"/>
    <s v="pepperoni_m"/>
    <n v="1"/>
    <x v="36"/>
    <x v="0"/>
    <x v="1036"/>
    <n v="12.5"/>
    <n v="12.5"/>
    <x v="0"/>
    <x v="0"/>
    <s v="Mozzarella Cheese, Pepperoni"/>
    <x v="3"/>
  </r>
  <r>
    <n v="9544"/>
    <n v="4184"/>
    <n v="1"/>
    <s v="napolitana_l"/>
    <n v="1"/>
    <x v="36"/>
    <x v="0"/>
    <x v="1037"/>
    <n v="20.5"/>
    <n v="20.5"/>
    <x v="2"/>
    <x v="0"/>
    <s v="Tomatoes, Anchovies, Green Olives, Red Onions, Garlic"/>
    <x v="5"/>
  </r>
  <r>
    <n v="9548"/>
    <n v="4185"/>
    <n v="1"/>
    <s v="calabrese_l"/>
    <n v="1"/>
    <x v="36"/>
    <x v="0"/>
    <x v="1038"/>
    <n v="20.25"/>
    <n v="20.25"/>
    <x v="2"/>
    <x v="2"/>
    <s v="?duja Salami, Pancetta, Tomatoes, Red Onions, Friggitello Peppers, Garlic"/>
    <x v="6"/>
  </r>
  <r>
    <n v="9550"/>
    <n v="4186"/>
    <n v="0.5"/>
    <s v="brie_carre_s"/>
    <n v="1"/>
    <x v="36"/>
    <x v="0"/>
    <x v="1039"/>
    <n v="23.65"/>
    <n v="23.65"/>
    <x v="1"/>
    <x v="2"/>
    <s v="Brie Carre Cheese, Prosciutto, Caramelized Onions, Pears, Thyme, Garlic"/>
    <x v="8"/>
  </r>
  <r>
    <n v="9556"/>
    <n v="4186"/>
    <n v="0.5"/>
    <s v="napolitana_s"/>
    <n v="1"/>
    <x v="36"/>
    <x v="0"/>
    <x v="1039"/>
    <n v="12"/>
    <n v="12"/>
    <x v="1"/>
    <x v="0"/>
    <s v="Tomatoes, Anchovies, Green Olives, Red Onions, Garlic"/>
    <x v="5"/>
  </r>
  <r>
    <n v="9572"/>
    <n v="4193"/>
    <n v="1"/>
    <s v="sicilian_m"/>
    <n v="1"/>
    <x v="36"/>
    <x v="0"/>
    <x v="1040"/>
    <n v="16.25"/>
    <n v="16.25"/>
    <x v="0"/>
    <x v="2"/>
    <s v="Coarse Sicilian Salami, Tomatoes, Green Olives, Luganega Sausage, Onions, Garlic"/>
    <x v="7"/>
  </r>
  <r>
    <n v="9574"/>
    <n v="4194"/>
    <n v="1"/>
    <s v="napolitana_s"/>
    <n v="1"/>
    <x v="36"/>
    <x v="0"/>
    <x v="1041"/>
    <n v="12"/>
    <n v="12"/>
    <x v="1"/>
    <x v="0"/>
    <s v="Tomatoes, Anchovies, Green Olives, Red Onions, Garlic"/>
    <x v="5"/>
  </r>
  <r>
    <n v="9579"/>
    <n v="4195"/>
    <n v="1"/>
    <s v="sicilian_l"/>
    <n v="1"/>
    <x v="36"/>
    <x v="0"/>
    <x v="1042"/>
    <n v="20.25"/>
    <n v="20.25"/>
    <x v="2"/>
    <x v="2"/>
    <s v="Coarse Sicilian Salami, Tomatoes, Green Olives, Luganega Sausage, Onions, Garlic"/>
    <x v="7"/>
  </r>
  <r>
    <n v="9580"/>
    <n v="4196"/>
    <n v="1"/>
    <s v="the_greek_xl"/>
    <n v="1"/>
    <x v="36"/>
    <x v="0"/>
    <x v="1043"/>
    <n v="25.5"/>
    <n v="25.5"/>
    <x v="3"/>
    <x v="0"/>
    <s v="Kalamata Olives, Feta Cheese, Tomatoes, Garlic, Beef Chuck Roast, Red Onions"/>
    <x v="2"/>
  </r>
  <r>
    <n v="9585"/>
    <n v="4199"/>
    <n v="1"/>
    <s v="mexicana_m"/>
    <n v="1"/>
    <x v="36"/>
    <x v="0"/>
    <x v="1044"/>
    <n v="16"/>
    <n v="16"/>
    <x v="0"/>
    <x v="1"/>
    <s v="Tomatoes, Red Peppers, Jalapeno Peppers, Red Onions, Cilantro, Corn, Chipotle Sauce, Garlic"/>
    <x v="1"/>
  </r>
  <r>
    <n v="9587"/>
    <n v="4201"/>
    <n v="1"/>
    <s v="sicilian_l"/>
    <n v="1"/>
    <x v="36"/>
    <x v="0"/>
    <x v="1045"/>
    <n v="20.25"/>
    <n v="20.25"/>
    <x v="2"/>
    <x v="2"/>
    <s v="Coarse Sicilian Salami, Tomatoes, Green Olives, Luganega Sausage, Onions, Garlic"/>
    <x v="7"/>
  </r>
  <r>
    <n v="9589"/>
    <n v="4202"/>
    <n v="0.5"/>
    <s v="big_meat_s"/>
    <n v="1"/>
    <x v="36"/>
    <x v="0"/>
    <x v="1046"/>
    <n v="12"/>
    <n v="12"/>
    <x v="1"/>
    <x v="0"/>
    <s v="Bacon, Pepperoni, Italian Sausage, Chorizo Sausage"/>
    <x v="4"/>
  </r>
  <r>
    <n v="9590"/>
    <n v="4202"/>
    <n v="0.5"/>
    <s v="calabrese_m"/>
    <n v="1"/>
    <x v="36"/>
    <x v="0"/>
    <x v="1046"/>
    <n v="16.25"/>
    <n v="16.25"/>
    <x v="0"/>
    <x v="2"/>
    <s v="?duja Salami, Pancetta, Tomatoes, Red Onions, Friggitello Peppers, Garlic"/>
    <x v="6"/>
  </r>
  <r>
    <n v="9591"/>
    <n v="4203"/>
    <n v="0.33333333333333331"/>
    <s v="calabrese_m"/>
    <n v="1"/>
    <x v="36"/>
    <x v="0"/>
    <x v="1047"/>
    <n v="16.25"/>
    <n v="16.25"/>
    <x v="0"/>
    <x v="2"/>
    <s v="?duja Salami, Pancetta, Tomatoes, Red Onions, Friggitello Peppers, Garlic"/>
    <x v="6"/>
  </r>
  <r>
    <n v="9592"/>
    <n v="4203"/>
    <n v="0.33333333333333331"/>
    <s v="hawaiian_l"/>
    <n v="1"/>
    <x v="36"/>
    <x v="0"/>
    <x v="1047"/>
    <n v="16.5"/>
    <n v="16.5"/>
    <x v="2"/>
    <x v="0"/>
    <s v="Sliced Ham, Pineapple, Mozzarella Cheese"/>
    <x v="0"/>
  </r>
  <r>
    <n v="9593"/>
    <n v="4203"/>
    <n v="0.33333333333333331"/>
    <s v="hawaiian_s"/>
    <n v="1"/>
    <x v="36"/>
    <x v="0"/>
    <x v="1047"/>
    <n v="10.5"/>
    <n v="10.5"/>
    <x v="1"/>
    <x v="0"/>
    <s v="Sliced Ham, Pineapple, Mozzarella Cheese"/>
    <x v="0"/>
  </r>
  <r>
    <n v="9594"/>
    <n v="4204"/>
    <n v="1"/>
    <s v="pepperoni_m"/>
    <n v="1"/>
    <x v="36"/>
    <x v="0"/>
    <x v="1048"/>
    <n v="12.5"/>
    <n v="12.5"/>
    <x v="0"/>
    <x v="0"/>
    <s v="Mozzarella Cheese, Pepperoni"/>
    <x v="3"/>
  </r>
  <r>
    <n v="9596"/>
    <n v="4205"/>
    <n v="1"/>
    <s v="brie_carre_s"/>
    <n v="1"/>
    <x v="36"/>
    <x v="0"/>
    <x v="1049"/>
    <n v="23.65"/>
    <n v="23.65"/>
    <x v="1"/>
    <x v="2"/>
    <s v="Brie Carre Cheese, Prosciutto, Caramelized Onions, Pears, Thyme, Garlic"/>
    <x v="8"/>
  </r>
  <r>
    <n v="9598"/>
    <n v="4206"/>
    <n v="1"/>
    <s v="calabrese_m"/>
    <n v="1"/>
    <x v="36"/>
    <x v="0"/>
    <x v="1050"/>
    <n v="16.25"/>
    <n v="16.25"/>
    <x v="0"/>
    <x v="2"/>
    <s v="?duja Salami, Pancetta, Tomatoes, Red Onions, Friggitello Peppers, Garlic"/>
    <x v="6"/>
  </r>
  <r>
    <n v="9614"/>
    <n v="4211"/>
    <n v="1"/>
    <s v="brie_carre_s"/>
    <n v="1"/>
    <x v="36"/>
    <x v="0"/>
    <x v="1051"/>
    <n v="23.65"/>
    <n v="23.65"/>
    <x v="1"/>
    <x v="2"/>
    <s v="Brie Carre Cheese, Prosciutto, Caramelized Onions, Pears, Thyme, Garlic"/>
    <x v="8"/>
  </r>
  <r>
    <n v="9615"/>
    <n v="4212"/>
    <n v="1"/>
    <s v="brie_carre_s"/>
    <n v="1"/>
    <x v="36"/>
    <x v="0"/>
    <x v="1052"/>
    <n v="23.65"/>
    <n v="23.65"/>
    <x v="1"/>
    <x v="2"/>
    <s v="Brie Carre Cheese, Prosciutto, Caramelized Onions, Pears, Thyme, Garlic"/>
    <x v="8"/>
  </r>
  <r>
    <n v="9622"/>
    <n v="4216"/>
    <n v="1"/>
    <s v="big_meat_s"/>
    <n v="1"/>
    <x v="36"/>
    <x v="0"/>
    <x v="1053"/>
    <n v="12"/>
    <n v="12"/>
    <x v="1"/>
    <x v="0"/>
    <s v="Bacon, Pepperoni, Italian Sausage, Chorizo Sausage"/>
    <x v="4"/>
  </r>
  <r>
    <n v="9631"/>
    <n v="4220"/>
    <n v="1"/>
    <s v="sicilian_s"/>
    <n v="1"/>
    <x v="36"/>
    <x v="0"/>
    <x v="1054"/>
    <n v="12.25"/>
    <n v="12.25"/>
    <x v="1"/>
    <x v="2"/>
    <s v="Coarse Sicilian Salami, Tomatoes, Green Olives, Luganega Sausage, Onions, Garlic"/>
    <x v="7"/>
  </r>
  <r>
    <n v="9639"/>
    <n v="4225"/>
    <n v="0.5"/>
    <s v="napolitana_m"/>
    <n v="1"/>
    <x v="36"/>
    <x v="0"/>
    <x v="1055"/>
    <n v="16"/>
    <n v="16"/>
    <x v="0"/>
    <x v="0"/>
    <s v="Tomatoes, Anchovies, Green Olives, Red Onions, Garlic"/>
    <x v="5"/>
  </r>
  <r>
    <n v="9640"/>
    <n v="4225"/>
    <n v="0.5"/>
    <s v="napolitana_s"/>
    <n v="1"/>
    <x v="36"/>
    <x v="0"/>
    <x v="1055"/>
    <n v="12"/>
    <n v="12"/>
    <x v="1"/>
    <x v="0"/>
    <s v="Tomatoes, Anchovies, Green Olives, Red Onions, Garlic"/>
    <x v="5"/>
  </r>
  <r>
    <n v="12235"/>
    <n v="5371"/>
    <n v="1"/>
    <s v="sicilian_m"/>
    <n v="1"/>
    <x v="37"/>
    <x v="1"/>
    <x v="1056"/>
    <n v="16.25"/>
    <n v="16.25"/>
    <x v="0"/>
    <x v="2"/>
    <s v="Coarse Sicilian Salami, Tomatoes, Green Olives, Luganega Sausage, Onions, Garlic"/>
    <x v="7"/>
  </r>
  <r>
    <n v="12237"/>
    <n v="5372"/>
    <n v="0.5"/>
    <s v="pepperoni_m"/>
    <n v="1"/>
    <x v="37"/>
    <x v="1"/>
    <x v="1057"/>
    <n v="12.5"/>
    <n v="12.5"/>
    <x v="0"/>
    <x v="0"/>
    <s v="Mozzarella Cheese, Pepperoni"/>
    <x v="3"/>
  </r>
  <r>
    <n v="12238"/>
    <n v="5372"/>
    <n v="0.5"/>
    <s v="the_greek_s"/>
    <n v="1"/>
    <x v="37"/>
    <x v="1"/>
    <x v="1057"/>
    <n v="12"/>
    <n v="12"/>
    <x v="1"/>
    <x v="0"/>
    <s v="Kalamata Olives, Feta Cheese, Tomatoes, Garlic, Beef Chuck Roast, Red Onions"/>
    <x v="2"/>
  </r>
  <r>
    <n v="12240"/>
    <n v="5374"/>
    <n v="1"/>
    <s v="pepperoni_l"/>
    <n v="2"/>
    <x v="37"/>
    <x v="1"/>
    <x v="1058"/>
    <n v="15.25"/>
    <n v="30.5"/>
    <x v="2"/>
    <x v="0"/>
    <s v="Mozzarella Cheese, Pepperoni"/>
    <x v="3"/>
  </r>
  <r>
    <n v="12242"/>
    <n v="5376"/>
    <n v="1"/>
    <s v="mexicana_l"/>
    <n v="1"/>
    <x v="37"/>
    <x v="1"/>
    <x v="1059"/>
    <n v="20.25"/>
    <n v="20.25"/>
    <x v="2"/>
    <x v="1"/>
    <s v="Tomatoes, Red Peppers, Jalapeno Peppers, Red Onions, Cilantro, Corn, Chipotle Sauce, Garlic"/>
    <x v="1"/>
  </r>
  <r>
    <n v="12243"/>
    <n v="5377"/>
    <n v="1"/>
    <s v="pepperoni_l"/>
    <n v="1"/>
    <x v="37"/>
    <x v="1"/>
    <x v="1060"/>
    <n v="15.25"/>
    <n v="15.25"/>
    <x v="2"/>
    <x v="0"/>
    <s v="Mozzarella Cheese, Pepperoni"/>
    <x v="3"/>
  </r>
  <r>
    <n v="12244"/>
    <n v="5378"/>
    <n v="0.33333333333333331"/>
    <s v="calabrese_m"/>
    <n v="1"/>
    <x v="37"/>
    <x v="1"/>
    <x v="1061"/>
    <n v="16.25"/>
    <n v="16.25"/>
    <x v="0"/>
    <x v="2"/>
    <s v="?duja Salami, Pancetta, Tomatoes, Red Onions, Friggitello Peppers, Garlic"/>
    <x v="6"/>
  </r>
  <r>
    <n v="12250"/>
    <n v="5378"/>
    <n v="0.33333333333333331"/>
    <s v="sicilian_m"/>
    <n v="1"/>
    <x v="37"/>
    <x v="1"/>
    <x v="1061"/>
    <n v="16.25"/>
    <n v="16.25"/>
    <x v="0"/>
    <x v="2"/>
    <s v="Coarse Sicilian Salami, Tomatoes, Green Olives, Luganega Sausage, Onions, Garlic"/>
    <x v="7"/>
  </r>
  <r>
    <n v="12254"/>
    <n v="5378"/>
    <n v="0.33333333333333331"/>
    <s v="the_greek_xl"/>
    <n v="1"/>
    <x v="37"/>
    <x v="1"/>
    <x v="1061"/>
    <n v="25.5"/>
    <n v="25.5"/>
    <x v="3"/>
    <x v="0"/>
    <s v="Kalamata Olives, Feta Cheese, Tomatoes, Garlic, Beef Chuck Roast, Red Onions"/>
    <x v="2"/>
  </r>
  <r>
    <n v="12257"/>
    <n v="5381"/>
    <n v="1"/>
    <s v="sicilian_m"/>
    <n v="1"/>
    <x v="37"/>
    <x v="1"/>
    <x v="1062"/>
    <n v="16.25"/>
    <n v="16.25"/>
    <x v="0"/>
    <x v="2"/>
    <s v="Coarse Sicilian Salami, Tomatoes, Green Olives, Luganega Sausage, Onions, Garlic"/>
    <x v="7"/>
  </r>
  <r>
    <n v="12258"/>
    <n v="5382"/>
    <n v="1"/>
    <s v="napolitana_s"/>
    <n v="1"/>
    <x v="37"/>
    <x v="1"/>
    <x v="1063"/>
    <n v="12"/>
    <n v="12"/>
    <x v="1"/>
    <x v="0"/>
    <s v="Tomatoes, Anchovies, Green Olives, Red Onions, Garlic"/>
    <x v="5"/>
  </r>
  <r>
    <n v="12260"/>
    <n v="5384"/>
    <n v="1"/>
    <s v="big_meat_s"/>
    <n v="1"/>
    <x v="37"/>
    <x v="1"/>
    <x v="1064"/>
    <n v="12"/>
    <n v="12"/>
    <x v="1"/>
    <x v="0"/>
    <s v="Bacon, Pepperoni, Italian Sausage, Chorizo Sausage"/>
    <x v="4"/>
  </r>
  <r>
    <n v="12263"/>
    <n v="5386"/>
    <n v="0.16666666666666666"/>
    <s v="big_meat_s"/>
    <n v="1"/>
    <x v="37"/>
    <x v="1"/>
    <x v="1065"/>
    <n v="12"/>
    <n v="12"/>
    <x v="1"/>
    <x v="0"/>
    <s v="Bacon, Pepperoni, Italian Sausage, Chorizo Sausage"/>
    <x v="4"/>
  </r>
  <r>
    <n v="12264"/>
    <n v="5386"/>
    <n v="0.16666666666666666"/>
    <s v="hawaiian_l"/>
    <n v="1"/>
    <x v="37"/>
    <x v="1"/>
    <x v="1065"/>
    <n v="16.5"/>
    <n v="16.5"/>
    <x v="2"/>
    <x v="0"/>
    <s v="Sliced Ham, Pineapple, Mozzarella Cheese"/>
    <x v="0"/>
  </r>
  <r>
    <n v="12265"/>
    <n v="5386"/>
    <n v="0.16666666666666666"/>
    <s v="pepperoni_m"/>
    <n v="1"/>
    <x v="37"/>
    <x v="1"/>
    <x v="1065"/>
    <n v="12.5"/>
    <n v="12.5"/>
    <x v="0"/>
    <x v="0"/>
    <s v="Mozzarella Cheese, Pepperoni"/>
    <x v="3"/>
  </r>
  <r>
    <n v="12266"/>
    <n v="5386"/>
    <n v="0.16666666666666666"/>
    <s v="pepperoni_s"/>
    <n v="1"/>
    <x v="37"/>
    <x v="1"/>
    <x v="1065"/>
    <n v="9.75"/>
    <n v="9.75"/>
    <x v="1"/>
    <x v="0"/>
    <s v="Mozzarella Cheese, Pepperoni"/>
    <x v="3"/>
  </r>
  <r>
    <n v="12268"/>
    <n v="5386"/>
    <n v="0.16666666666666666"/>
    <s v="the_greek_m"/>
    <n v="1"/>
    <x v="37"/>
    <x v="1"/>
    <x v="1065"/>
    <n v="16"/>
    <n v="16"/>
    <x v="0"/>
    <x v="0"/>
    <s v="Kalamata Olives, Feta Cheese, Tomatoes, Garlic, Beef Chuck Roast, Red Onions"/>
    <x v="2"/>
  </r>
  <r>
    <n v="12269"/>
    <n v="5386"/>
    <n v="0.16666666666666666"/>
    <s v="the_greek_xl"/>
    <n v="1"/>
    <x v="37"/>
    <x v="1"/>
    <x v="1065"/>
    <n v="25.5"/>
    <n v="25.5"/>
    <x v="3"/>
    <x v="0"/>
    <s v="Kalamata Olives, Feta Cheese, Tomatoes, Garlic, Beef Chuck Roast, Red Onions"/>
    <x v="2"/>
  </r>
  <r>
    <n v="12278"/>
    <n v="5390"/>
    <n v="1"/>
    <s v="hawaiian_s"/>
    <n v="1"/>
    <x v="37"/>
    <x v="1"/>
    <x v="1066"/>
    <n v="10.5"/>
    <n v="10.5"/>
    <x v="1"/>
    <x v="0"/>
    <s v="Sliced Ham, Pineapple, Mozzarella Cheese"/>
    <x v="0"/>
  </r>
  <r>
    <n v="12279"/>
    <n v="5391"/>
    <n v="1"/>
    <s v="big_meat_s"/>
    <n v="1"/>
    <x v="37"/>
    <x v="1"/>
    <x v="1067"/>
    <n v="12"/>
    <n v="12"/>
    <x v="1"/>
    <x v="0"/>
    <s v="Bacon, Pepperoni, Italian Sausage, Chorizo Sausage"/>
    <x v="4"/>
  </r>
  <r>
    <n v="12289"/>
    <n v="5396"/>
    <n v="1"/>
    <s v="hawaiian_s"/>
    <n v="1"/>
    <x v="37"/>
    <x v="1"/>
    <x v="1068"/>
    <n v="10.5"/>
    <n v="10.5"/>
    <x v="1"/>
    <x v="0"/>
    <s v="Sliced Ham, Pineapple, Mozzarella Cheese"/>
    <x v="0"/>
  </r>
  <r>
    <n v="12292"/>
    <n v="5397"/>
    <n v="1"/>
    <s v="pepperoni_s"/>
    <n v="1"/>
    <x v="37"/>
    <x v="1"/>
    <x v="1069"/>
    <n v="9.75"/>
    <n v="9.75"/>
    <x v="1"/>
    <x v="0"/>
    <s v="Mozzarella Cheese, Pepperoni"/>
    <x v="3"/>
  </r>
  <r>
    <n v="12295"/>
    <n v="5398"/>
    <n v="0.5"/>
    <s v="pepperoni_l"/>
    <n v="1"/>
    <x v="37"/>
    <x v="1"/>
    <x v="1070"/>
    <n v="15.25"/>
    <n v="15.25"/>
    <x v="2"/>
    <x v="0"/>
    <s v="Mozzarella Cheese, Pepperoni"/>
    <x v="3"/>
  </r>
  <r>
    <n v="12296"/>
    <n v="5398"/>
    <n v="0.5"/>
    <s v="sicilian_l"/>
    <n v="1"/>
    <x v="37"/>
    <x v="1"/>
    <x v="1070"/>
    <n v="20.25"/>
    <n v="20.25"/>
    <x v="2"/>
    <x v="2"/>
    <s v="Coarse Sicilian Salami, Tomatoes, Green Olives, Luganega Sausage, Onions, Garlic"/>
    <x v="7"/>
  </r>
  <r>
    <n v="12298"/>
    <n v="5399"/>
    <n v="1"/>
    <s v="mexicana_l"/>
    <n v="1"/>
    <x v="37"/>
    <x v="1"/>
    <x v="1071"/>
    <n v="20.25"/>
    <n v="20.25"/>
    <x v="2"/>
    <x v="1"/>
    <s v="Tomatoes, Red Peppers, Jalapeno Peppers, Red Onions, Cilantro, Corn, Chipotle Sauce, Garlic"/>
    <x v="1"/>
  </r>
  <r>
    <n v="12307"/>
    <n v="5403"/>
    <n v="1"/>
    <s v="the_greek_m"/>
    <n v="1"/>
    <x v="37"/>
    <x v="1"/>
    <x v="1072"/>
    <n v="16"/>
    <n v="16"/>
    <x v="0"/>
    <x v="0"/>
    <s v="Kalamata Olives, Feta Cheese, Tomatoes, Garlic, Beef Chuck Roast, Red Onions"/>
    <x v="2"/>
  </r>
  <r>
    <n v="12309"/>
    <n v="5405"/>
    <n v="0.33333333333333331"/>
    <s v="calabrese_l"/>
    <n v="1"/>
    <x v="37"/>
    <x v="1"/>
    <x v="1073"/>
    <n v="20.25"/>
    <n v="20.25"/>
    <x v="2"/>
    <x v="2"/>
    <s v="?duja Salami, Pancetta, Tomatoes, Red Onions, Friggitello Peppers, Garlic"/>
    <x v="6"/>
  </r>
  <r>
    <n v="12310"/>
    <n v="5405"/>
    <n v="0.33333333333333331"/>
    <s v="napolitana_s"/>
    <n v="1"/>
    <x v="37"/>
    <x v="1"/>
    <x v="1073"/>
    <n v="12"/>
    <n v="12"/>
    <x v="1"/>
    <x v="0"/>
    <s v="Tomatoes, Anchovies, Green Olives, Red Onions, Garlic"/>
    <x v="5"/>
  </r>
  <r>
    <n v="12312"/>
    <n v="5405"/>
    <n v="0.33333333333333331"/>
    <s v="the_greek_s"/>
    <n v="1"/>
    <x v="37"/>
    <x v="1"/>
    <x v="1073"/>
    <n v="12"/>
    <n v="12"/>
    <x v="1"/>
    <x v="0"/>
    <s v="Kalamata Olives, Feta Cheese, Tomatoes, Garlic, Beef Chuck Roast, Red Onions"/>
    <x v="2"/>
  </r>
  <r>
    <n v="12313"/>
    <n v="5406"/>
    <n v="1"/>
    <s v="sicilian_m"/>
    <n v="1"/>
    <x v="37"/>
    <x v="1"/>
    <x v="1074"/>
    <n v="16.25"/>
    <n v="16.25"/>
    <x v="0"/>
    <x v="2"/>
    <s v="Coarse Sicilian Salami, Tomatoes, Green Olives, Luganega Sausage, Onions, Garlic"/>
    <x v="7"/>
  </r>
  <r>
    <n v="12317"/>
    <n v="5409"/>
    <n v="1"/>
    <s v="napolitana_s"/>
    <n v="1"/>
    <x v="37"/>
    <x v="1"/>
    <x v="1075"/>
    <n v="12"/>
    <n v="12"/>
    <x v="1"/>
    <x v="0"/>
    <s v="Tomatoes, Anchovies, Green Olives, Red Onions, Garlic"/>
    <x v="5"/>
  </r>
  <r>
    <n v="12319"/>
    <n v="5410"/>
    <n v="1"/>
    <s v="hawaiian_m"/>
    <n v="1"/>
    <x v="37"/>
    <x v="1"/>
    <x v="1076"/>
    <n v="13.25"/>
    <n v="13.25"/>
    <x v="0"/>
    <x v="0"/>
    <s v="Sliced Ham, Pineapple, Mozzarella Cheese"/>
    <x v="0"/>
  </r>
  <r>
    <n v="12322"/>
    <n v="5413"/>
    <n v="1"/>
    <s v="napolitana_s"/>
    <n v="2"/>
    <x v="37"/>
    <x v="1"/>
    <x v="1077"/>
    <n v="12"/>
    <n v="24"/>
    <x v="1"/>
    <x v="0"/>
    <s v="Tomatoes, Anchovies, Green Olives, Red Onions, Garlic"/>
    <x v="5"/>
  </r>
  <r>
    <n v="12325"/>
    <n v="5415"/>
    <n v="1"/>
    <s v="sicilian_l"/>
    <n v="1"/>
    <x v="37"/>
    <x v="1"/>
    <x v="1078"/>
    <n v="20.25"/>
    <n v="20.25"/>
    <x v="2"/>
    <x v="2"/>
    <s v="Coarse Sicilian Salami, Tomatoes, Green Olives, Luganega Sausage, Onions, Garlic"/>
    <x v="7"/>
  </r>
  <r>
    <n v="12327"/>
    <n v="5416"/>
    <n v="1"/>
    <s v="napolitana_l"/>
    <n v="1"/>
    <x v="37"/>
    <x v="1"/>
    <x v="1079"/>
    <n v="20.5"/>
    <n v="20.5"/>
    <x v="2"/>
    <x v="0"/>
    <s v="Tomatoes, Anchovies, Green Olives, Red Onions, Garlic"/>
    <x v="5"/>
  </r>
  <r>
    <n v="12333"/>
    <n v="5420"/>
    <n v="0.5"/>
    <s v="napolitana_m"/>
    <n v="1"/>
    <x v="37"/>
    <x v="1"/>
    <x v="1080"/>
    <n v="16"/>
    <n v="16"/>
    <x v="0"/>
    <x v="0"/>
    <s v="Tomatoes, Anchovies, Green Olives, Red Onions, Garlic"/>
    <x v="5"/>
  </r>
  <r>
    <n v="12334"/>
    <n v="5420"/>
    <n v="0.5"/>
    <s v="sicilian_l"/>
    <n v="1"/>
    <x v="37"/>
    <x v="1"/>
    <x v="1080"/>
    <n v="20.25"/>
    <n v="20.25"/>
    <x v="2"/>
    <x v="2"/>
    <s v="Coarse Sicilian Salami, Tomatoes, Green Olives, Luganega Sausage, Onions, Garlic"/>
    <x v="7"/>
  </r>
  <r>
    <n v="12341"/>
    <n v="5423"/>
    <n v="1"/>
    <s v="sicilian_m"/>
    <n v="1"/>
    <x v="37"/>
    <x v="1"/>
    <x v="1081"/>
    <n v="16.25"/>
    <n v="16.25"/>
    <x v="0"/>
    <x v="2"/>
    <s v="Coarse Sicilian Salami, Tomatoes, Green Olives, Luganega Sausage, Onions, Garlic"/>
    <x v="7"/>
  </r>
  <r>
    <n v="12350"/>
    <n v="5428"/>
    <n v="1"/>
    <s v="hawaiian_l"/>
    <n v="1"/>
    <x v="37"/>
    <x v="1"/>
    <x v="1082"/>
    <n v="16.5"/>
    <n v="16.5"/>
    <x v="2"/>
    <x v="0"/>
    <s v="Sliced Ham, Pineapple, Mozzarella Cheese"/>
    <x v="0"/>
  </r>
  <r>
    <n v="12355"/>
    <n v="5431"/>
    <n v="0.5"/>
    <s v="hawaiian_l"/>
    <n v="1"/>
    <x v="37"/>
    <x v="1"/>
    <x v="1083"/>
    <n v="16.5"/>
    <n v="16.5"/>
    <x v="2"/>
    <x v="0"/>
    <s v="Sliced Ham, Pineapple, Mozzarella Cheese"/>
    <x v="0"/>
  </r>
  <r>
    <n v="12357"/>
    <n v="5431"/>
    <n v="0.5"/>
    <s v="pepperoni_s"/>
    <n v="1"/>
    <x v="37"/>
    <x v="1"/>
    <x v="1083"/>
    <n v="9.75"/>
    <n v="9.75"/>
    <x v="1"/>
    <x v="0"/>
    <s v="Mozzarella Cheese, Pepperoni"/>
    <x v="3"/>
  </r>
  <r>
    <n v="12368"/>
    <n v="5438"/>
    <n v="1"/>
    <s v="hawaiian_m"/>
    <n v="1"/>
    <x v="38"/>
    <x v="2"/>
    <x v="1084"/>
    <n v="13.25"/>
    <n v="13.25"/>
    <x v="0"/>
    <x v="0"/>
    <s v="Sliced Ham, Pineapple, Mozzarella Cheese"/>
    <x v="0"/>
  </r>
  <r>
    <n v="12377"/>
    <n v="5441"/>
    <n v="0.33333333333333331"/>
    <s v="hawaiian_m"/>
    <n v="1"/>
    <x v="38"/>
    <x v="2"/>
    <x v="1085"/>
    <n v="13.25"/>
    <n v="13.25"/>
    <x v="0"/>
    <x v="0"/>
    <s v="Sliced Ham, Pineapple, Mozzarella Cheese"/>
    <x v="0"/>
  </r>
  <r>
    <n v="12378"/>
    <n v="5441"/>
    <n v="0.33333333333333331"/>
    <s v="hawaiian_s"/>
    <n v="1"/>
    <x v="38"/>
    <x v="2"/>
    <x v="1085"/>
    <n v="10.5"/>
    <n v="10.5"/>
    <x v="1"/>
    <x v="0"/>
    <s v="Sliced Ham, Pineapple, Mozzarella Cheese"/>
    <x v="0"/>
  </r>
  <r>
    <n v="12383"/>
    <n v="5441"/>
    <n v="0.33333333333333331"/>
    <s v="the_greek_xl"/>
    <n v="1"/>
    <x v="38"/>
    <x v="2"/>
    <x v="1085"/>
    <n v="25.5"/>
    <n v="25.5"/>
    <x v="3"/>
    <x v="0"/>
    <s v="Kalamata Olives, Feta Cheese, Tomatoes, Garlic, Beef Chuck Roast, Red Onions"/>
    <x v="2"/>
  </r>
  <r>
    <n v="12386"/>
    <n v="5444"/>
    <n v="1"/>
    <s v="napolitana_m"/>
    <n v="1"/>
    <x v="38"/>
    <x v="2"/>
    <x v="1086"/>
    <n v="16"/>
    <n v="16"/>
    <x v="0"/>
    <x v="0"/>
    <s v="Tomatoes, Anchovies, Green Olives, Red Onions, Garlic"/>
    <x v="5"/>
  </r>
  <r>
    <n v="12393"/>
    <n v="5448"/>
    <n v="0.5"/>
    <s v="hawaiian_l"/>
    <n v="1"/>
    <x v="38"/>
    <x v="2"/>
    <x v="1087"/>
    <n v="16.5"/>
    <n v="16.5"/>
    <x v="2"/>
    <x v="0"/>
    <s v="Sliced Ham, Pineapple, Mozzarella Cheese"/>
    <x v="0"/>
  </r>
  <r>
    <n v="12394"/>
    <n v="5448"/>
    <n v="0.5"/>
    <s v="mexicana_m"/>
    <n v="1"/>
    <x v="38"/>
    <x v="2"/>
    <x v="1087"/>
    <n v="16"/>
    <n v="16"/>
    <x v="0"/>
    <x v="1"/>
    <s v="Tomatoes, Red Peppers, Jalapeno Peppers, Red Onions, Cilantro, Corn, Chipotle Sauce, Garlic"/>
    <x v="1"/>
  </r>
  <r>
    <n v="12397"/>
    <n v="5450"/>
    <n v="1"/>
    <s v="big_meat_s"/>
    <n v="1"/>
    <x v="38"/>
    <x v="2"/>
    <x v="1088"/>
    <n v="12"/>
    <n v="12"/>
    <x v="1"/>
    <x v="0"/>
    <s v="Bacon, Pepperoni, Italian Sausage, Chorizo Sausage"/>
    <x v="4"/>
  </r>
  <r>
    <n v="12402"/>
    <n v="5451"/>
    <n v="0.5"/>
    <s v="hawaiian_s"/>
    <n v="1"/>
    <x v="38"/>
    <x v="2"/>
    <x v="1089"/>
    <n v="10.5"/>
    <n v="10.5"/>
    <x v="1"/>
    <x v="0"/>
    <s v="Sliced Ham, Pineapple, Mozzarella Cheese"/>
    <x v="0"/>
  </r>
  <r>
    <n v="12403"/>
    <n v="5451"/>
    <n v="0.5"/>
    <s v="napolitana_m"/>
    <n v="1"/>
    <x v="38"/>
    <x v="2"/>
    <x v="1089"/>
    <n v="16"/>
    <n v="16"/>
    <x v="0"/>
    <x v="0"/>
    <s v="Tomatoes, Anchovies, Green Olives, Red Onions, Garlic"/>
    <x v="5"/>
  </r>
  <r>
    <n v="12404"/>
    <n v="5452"/>
    <n v="0.2"/>
    <s v="brie_carre_s"/>
    <n v="1"/>
    <x v="38"/>
    <x v="2"/>
    <x v="487"/>
    <n v="23.65"/>
    <n v="23.65"/>
    <x v="1"/>
    <x v="2"/>
    <s v="Brie Carre Cheese, Prosciutto, Caramelized Onions, Pears, Thyme, Garlic"/>
    <x v="8"/>
  </r>
  <r>
    <n v="12405"/>
    <n v="5452"/>
    <n v="0.2"/>
    <s v="calabrese_l"/>
    <n v="1"/>
    <x v="38"/>
    <x v="2"/>
    <x v="487"/>
    <n v="20.25"/>
    <n v="20.25"/>
    <x v="2"/>
    <x v="2"/>
    <s v="?duja Salami, Pancetta, Tomatoes, Red Onions, Friggitello Peppers, Garlic"/>
    <x v="6"/>
  </r>
  <r>
    <n v="12409"/>
    <n v="5452"/>
    <n v="0.2"/>
    <s v="hawaiian_s"/>
    <n v="1"/>
    <x v="38"/>
    <x v="2"/>
    <x v="487"/>
    <n v="10.5"/>
    <n v="10.5"/>
    <x v="1"/>
    <x v="0"/>
    <s v="Sliced Ham, Pineapple, Mozzarella Cheese"/>
    <x v="0"/>
  </r>
  <r>
    <n v="12410"/>
    <n v="5452"/>
    <n v="0.2"/>
    <s v="pepperoni_l"/>
    <n v="1"/>
    <x v="38"/>
    <x v="2"/>
    <x v="487"/>
    <n v="15.25"/>
    <n v="15.25"/>
    <x v="2"/>
    <x v="0"/>
    <s v="Mozzarella Cheese, Pepperoni"/>
    <x v="3"/>
  </r>
  <r>
    <n v="12415"/>
    <n v="5452"/>
    <n v="0.2"/>
    <s v="the_greek_xl"/>
    <n v="2"/>
    <x v="38"/>
    <x v="2"/>
    <x v="487"/>
    <n v="25.5"/>
    <n v="51"/>
    <x v="3"/>
    <x v="0"/>
    <s v="Kalamata Olives, Feta Cheese, Tomatoes, Garlic, Beef Chuck Roast, Red Onions"/>
    <x v="2"/>
  </r>
  <r>
    <n v="12418"/>
    <n v="5455"/>
    <n v="1"/>
    <s v="brie_carre_s"/>
    <n v="1"/>
    <x v="38"/>
    <x v="2"/>
    <x v="1090"/>
    <n v="23.65"/>
    <n v="23.65"/>
    <x v="1"/>
    <x v="2"/>
    <s v="Brie Carre Cheese, Prosciutto, Caramelized Onions, Pears, Thyme, Garlic"/>
    <x v="8"/>
  </r>
  <r>
    <n v="12419"/>
    <n v="5456"/>
    <n v="1"/>
    <s v="hawaiian_m"/>
    <n v="1"/>
    <x v="38"/>
    <x v="2"/>
    <x v="1091"/>
    <n v="13.25"/>
    <n v="13.25"/>
    <x v="0"/>
    <x v="0"/>
    <s v="Sliced Ham, Pineapple, Mozzarella Cheese"/>
    <x v="0"/>
  </r>
  <r>
    <n v="12424"/>
    <n v="5459"/>
    <n v="1"/>
    <s v="calabrese_m"/>
    <n v="1"/>
    <x v="38"/>
    <x v="2"/>
    <x v="1092"/>
    <n v="16.25"/>
    <n v="16.25"/>
    <x v="0"/>
    <x v="2"/>
    <s v="?duja Salami, Pancetta, Tomatoes, Red Onions, Friggitello Peppers, Garlic"/>
    <x v="6"/>
  </r>
  <r>
    <n v="12433"/>
    <n v="5462"/>
    <n v="1"/>
    <s v="pepperoni_s"/>
    <n v="1"/>
    <x v="38"/>
    <x v="2"/>
    <x v="1093"/>
    <n v="9.75"/>
    <n v="9.75"/>
    <x v="1"/>
    <x v="0"/>
    <s v="Mozzarella Cheese, Pepperoni"/>
    <x v="3"/>
  </r>
  <r>
    <n v="12434"/>
    <n v="5463"/>
    <n v="0.5"/>
    <s v="mexicana_l"/>
    <n v="1"/>
    <x v="38"/>
    <x v="2"/>
    <x v="1094"/>
    <n v="20.25"/>
    <n v="20.25"/>
    <x v="2"/>
    <x v="1"/>
    <s v="Tomatoes, Red Peppers, Jalapeno Peppers, Red Onions, Cilantro, Corn, Chipotle Sauce, Garlic"/>
    <x v="1"/>
  </r>
  <r>
    <n v="12435"/>
    <n v="5463"/>
    <n v="0.5"/>
    <s v="the_greek_xl"/>
    <n v="1"/>
    <x v="38"/>
    <x v="2"/>
    <x v="1094"/>
    <n v="25.5"/>
    <n v="25.5"/>
    <x v="3"/>
    <x v="0"/>
    <s v="Kalamata Olives, Feta Cheese, Tomatoes, Garlic, Beef Chuck Roast, Red Onions"/>
    <x v="2"/>
  </r>
  <r>
    <n v="12436"/>
    <n v="5464"/>
    <n v="1"/>
    <s v="the_greek_xl"/>
    <n v="1"/>
    <x v="38"/>
    <x v="2"/>
    <x v="1095"/>
    <n v="25.5"/>
    <n v="25.5"/>
    <x v="3"/>
    <x v="0"/>
    <s v="Kalamata Olives, Feta Cheese, Tomatoes, Garlic, Beef Chuck Roast, Red Onions"/>
    <x v="2"/>
  </r>
  <r>
    <n v="12438"/>
    <n v="5465"/>
    <n v="0.5"/>
    <s v="hawaiian_l"/>
    <n v="1"/>
    <x v="38"/>
    <x v="2"/>
    <x v="1096"/>
    <n v="16.5"/>
    <n v="16.5"/>
    <x v="2"/>
    <x v="0"/>
    <s v="Sliced Ham, Pineapple, Mozzarella Cheese"/>
    <x v="0"/>
  </r>
  <r>
    <n v="12439"/>
    <n v="5465"/>
    <n v="0.5"/>
    <s v="sicilian_s"/>
    <n v="1"/>
    <x v="38"/>
    <x v="2"/>
    <x v="1096"/>
    <n v="12.25"/>
    <n v="12.25"/>
    <x v="1"/>
    <x v="2"/>
    <s v="Coarse Sicilian Salami, Tomatoes, Green Olives, Luganega Sausage, Onions, Garlic"/>
    <x v="7"/>
  </r>
  <r>
    <n v="12445"/>
    <n v="5467"/>
    <n v="1"/>
    <s v="napolitana_s"/>
    <n v="1"/>
    <x v="38"/>
    <x v="2"/>
    <x v="1097"/>
    <n v="12"/>
    <n v="12"/>
    <x v="1"/>
    <x v="0"/>
    <s v="Tomatoes, Anchovies, Green Olives, Red Onions, Garlic"/>
    <x v="5"/>
  </r>
  <r>
    <n v="12449"/>
    <n v="5469"/>
    <n v="0.5"/>
    <s v="calabrese_m"/>
    <n v="1"/>
    <x v="38"/>
    <x v="2"/>
    <x v="1022"/>
    <n v="16.25"/>
    <n v="16.25"/>
    <x v="0"/>
    <x v="2"/>
    <s v="?duja Salami, Pancetta, Tomatoes, Red Onions, Friggitello Peppers, Garlic"/>
    <x v="6"/>
  </r>
  <r>
    <n v="12451"/>
    <n v="5469"/>
    <n v="0.5"/>
    <s v="the_greek_s"/>
    <n v="1"/>
    <x v="38"/>
    <x v="2"/>
    <x v="1022"/>
    <n v="12"/>
    <n v="12"/>
    <x v="1"/>
    <x v="0"/>
    <s v="Kalamata Olives, Feta Cheese, Tomatoes, Garlic, Beef Chuck Roast, Red Onions"/>
    <x v="2"/>
  </r>
  <r>
    <n v="12452"/>
    <n v="5470"/>
    <n v="1"/>
    <s v="big_meat_s"/>
    <n v="1"/>
    <x v="38"/>
    <x v="2"/>
    <x v="1098"/>
    <n v="12"/>
    <n v="12"/>
    <x v="1"/>
    <x v="0"/>
    <s v="Bacon, Pepperoni, Italian Sausage, Chorizo Sausage"/>
    <x v="4"/>
  </r>
  <r>
    <n v="12458"/>
    <n v="5472"/>
    <n v="1"/>
    <s v="sicilian_m"/>
    <n v="1"/>
    <x v="38"/>
    <x v="2"/>
    <x v="1099"/>
    <n v="16.25"/>
    <n v="16.25"/>
    <x v="0"/>
    <x v="2"/>
    <s v="Coarse Sicilian Salami, Tomatoes, Green Olives, Luganega Sausage, Onions, Garlic"/>
    <x v="7"/>
  </r>
  <r>
    <n v="12463"/>
    <n v="5473"/>
    <n v="1"/>
    <s v="the_greek_xl"/>
    <n v="1"/>
    <x v="38"/>
    <x v="2"/>
    <x v="1100"/>
    <n v="25.5"/>
    <n v="25.5"/>
    <x v="3"/>
    <x v="0"/>
    <s v="Kalamata Olives, Feta Cheese, Tomatoes, Garlic, Beef Chuck Roast, Red Onions"/>
    <x v="2"/>
  </r>
  <r>
    <n v="12468"/>
    <n v="5477"/>
    <n v="1"/>
    <s v="hawaiian_l"/>
    <n v="1"/>
    <x v="38"/>
    <x v="2"/>
    <x v="1101"/>
    <n v="16.5"/>
    <n v="16.5"/>
    <x v="2"/>
    <x v="0"/>
    <s v="Sliced Ham, Pineapple, Mozzarella Cheese"/>
    <x v="0"/>
  </r>
  <r>
    <n v="12475"/>
    <n v="5480"/>
    <n v="1"/>
    <s v="big_meat_s"/>
    <n v="1"/>
    <x v="38"/>
    <x v="2"/>
    <x v="1102"/>
    <n v="12"/>
    <n v="12"/>
    <x v="1"/>
    <x v="0"/>
    <s v="Bacon, Pepperoni, Italian Sausage, Chorizo Sausage"/>
    <x v="4"/>
  </r>
  <r>
    <n v="12478"/>
    <n v="5481"/>
    <n v="1"/>
    <s v="napolitana_s"/>
    <n v="1"/>
    <x v="38"/>
    <x v="2"/>
    <x v="1103"/>
    <n v="12"/>
    <n v="12"/>
    <x v="1"/>
    <x v="0"/>
    <s v="Tomatoes, Anchovies, Green Olives, Red Onions, Garlic"/>
    <x v="5"/>
  </r>
  <r>
    <n v="12482"/>
    <n v="5482"/>
    <n v="1"/>
    <s v="the_greek_xl"/>
    <n v="1"/>
    <x v="38"/>
    <x v="2"/>
    <x v="1104"/>
    <n v="25.5"/>
    <n v="25.5"/>
    <x v="3"/>
    <x v="0"/>
    <s v="Kalamata Olives, Feta Cheese, Tomatoes, Garlic, Beef Chuck Roast, Red Onions"/>
    <x v="2"/>
  </r>
  <r>
    <n v="12484"/>
    <n v="5483"/>
    <n v="1"/>
    <s v="the_greek_l"/>
    <n v="1"/>
    <x v="38"/>
    <x v="2"/>
    <x v="1105"/>
    <n v="20.5"/>
    <n v="20.5"/>
    <x v="2"/>
    <x v="0"/>
    <s v="Kalamata Olives, Feta Cheese, Tomatoes, Garlic, Beef Chuck Roast, Red Onions"/>
    <x v="2"/>
  </r>
  <r>
    <n v="12489"/>
    <n v="5485"/>
    <n v="1"/>
    <s v="hawaiian_s"/>
    <n v="1"/>
    <x v="38"/>
    <x v="2"/>
    <x v="1106"/>
    <n v="10.5"/>
    <n v="10.5"/>
    <x v="1"/>
    <x v="0"/>
    <s v="Sliced Ham, Pineapple, Mozzarella Cheese"/>
    <x v="0"/>
  </r>
  <r>
    <n v="12492"/>
    <n v="5487"/>
    <n v="1"/>
    <s v="calabrese_m"/>
    <n v="1"/>
    <x v="38"/>
    <x v="2"/>
    <x v="1107"/>
    <n v="16.25"/>
    <n v="16.25"/>
    <x v="0"/>
    <x v="2"/>
    <s v="?duja Salami, Pancetta, Tomatoes, Red Onions, Friggitello Peppers, Garlic"/>
    <x v="6"/>
  </r>
  <r>
    <n v="12500"/>
    <n v="5491"/>
    <n v="1"/>
    <s v="hawaiian_l"/>
    <n v="1"/>
    <x v="38"/>
    <x v="2"/>
    <x v="1108"/>
    <n v="16.5"/>
    <n v="16.5"/>
    <x v="2"/>
    <x v="0"/>
    <s v="Sliced Ham, Pineapple, Mozzarella Cheese"/>
    <x v="0"/>
  </r>
  <r>
    <n v="12503"/>
    <n v="5493"/>
    <n v="1"/>
    <s v="pepperoni_s"/>
    <n v="1"/>
    <x v="38"/>
    <x v="2"/>
    <x v="1109"/>
    <n v="9.75"/>
    <n v="9.75"/>
    <x v="1"/>
    <x v="0"/>
    <s v="Mozzarella Cheese, Pepperoni"/>
    <x v="3"/>
  </r>
  <r>
    <n v="12505"/>
    <n v="5494"/>
    <n v="1"/>
    <s v="napolitana_l"/>
    <n v="1"/>
    <x v="38"/>
    <x v="2"/>
    <x v="1110"/>
    <n v="20.5"/>
    <n v="20.5"/>
    <x v="2"/>
    <x v="0"/>
    <s v="Tomatoes, Anchovies, Green Olives, Red Onions, Garlic"/>
    <x v="5"/>
  </r>
  <r>
    <n v="12509"/>
    <n v="5498"/>
    <n v="1"/>
    <s v="big_meat_s"/>
    <n v="1"/>
    <x v="38"/>
    <x v="2"/>
    <x v="1111"/>
    <n v="12"/>
    <n v="12"/>
    <x v="1"/>
    <x v="0"/>
    <s v="Bacon, Pepperoni, Italian Sausage, Chorizo Sausage"/>
    <x v="4"/>
  </r>
  <r>
    <n v="12512"/>
    <n v="5500"/>
    <n v="1"/>
    <s v="calabrese_m"/>
    <n v="1"/>
    <x v="39"/>
    <x v="2"/>
    <x v="1112"/>
    <n v="16.25"/>
    <n v="16.25"/>
    <x v="0"/>
    <x v="2"/>
    <s v="?duja Salami, Pancetta, Tomatoes, Red Onions, Friggitello Peppers, Garlic"/>
    <x v="6"/>
  </r>
  <r>
    <n v="12516"/>
    <n v="5501"/>
    <n v="1"/>
    <s v="hawaiian_s"/>
    <n v="1"/>
    <x v="39"/>
    <x v="2"/>
    <x v="1113"/>
    <n v="10.5"/>
    <n v="10.5"/>
    <x v="1"/>
    <x v="0"/>
    <s v="Sliced Ham, Pineapple, Mozzarella Cheese"/>
    <x v="0"/>
  </r>
  <r>
    <n v="12517"/>
    <n v="5502"/>
    <n v="1"/>
    <s v="hawaiian_m"/>
    <n v="1"/>
    <x v="39"/>
    <x v="2"/>
    <x v="1114"/>
    <n v="13.25"/>
    <n v="13.25"/>
    <x v="0"/>
    <x v="0"/>
    <s v="Sliced Ham, Pineapple, Mozzarella Cheese"/>
    <x v="0"/>
  </r>
  <r>
    <n v="12518"/>
    <n v="5503"/>
    <n v="0.5"/>
    <s v="big_meat_s"/>
    <n v="1"/>
    <x v="39"/>
    <x v="2"/>
    <x v="1115"/>
    <n v="12"/>
    <n v="12"/>
    <x v="1"/>
    <x v="0"/>
    <s v="Bacon, Pepperoni, Italian Sausage, Chorizo Sausage"/>
    <x v="4"/>
  </r>
  <r>
    <n v="12519"/>
    <n v="5503"/>
    <n v="0.5"/>
    <s v="calabrese_m"/>
    <n v="1"/>
    <x v="39"/>
    <x v="2"/>
    <x v="1115"/>
    <n v="16.25"/>
    <n v="16.25"/>
    <x v="0"/>
    <x v="2"/>
    <s v="?duja Salami, Pancetta, Tomatoes, Red Onions, Friggitello Peppers, Garlic"/>
    <x v="6"/>
  </r>
  <r>
    <n v="12522"/>
    <n v="5505"/>
    <n v="1"/>
    <s v="brie_carre_s"/>
    <n v="1"/>
    <x v="39"/>
    <x v="2"/>
    <x v="1116"/>
    <n v="23.65"/>
    <n v="23.65"/>
    <x v="1"/>
    <x v="2"/>
    <s v="Brie Carre Cheese, Prosciutto, Caramelized Onions, Pears, Thyme, Garlic"/>
    <x v="8"/>
  </r>
  <r>
    <n v="12529"/>
    <n v="5510"/>
    <n v="1"/>
    <s v="the_greek_l"/>
    <n v="1"/>
    <x v="39"/>
    <x v="2"/>
    <x v="1117"/>
    <n v="20.5"/>
    <n v="20.5"/>
    <x v="2"/>
    <x v="0"/>
    <s v="Kalamata Olives, Feta Cheese, Tomatoes, Garlic, Beef Chuck Roast, Red Onions"/>
    <x v="2"/>
  </r>
  <r>
    <n v="12531"/>
    <n v="5512"/>
    <n v="1"/>
    <s v="big_meat_s"/>
    <n v="1"/>
    <x v="39"/>
    <x v="2"/>
    <x v="1118"/>
    <n v="12"/>
    <n v="12"/>
    <x v="1"/>
    <x v="0"/>
    <s v="Bacon, Pepperoni, Italian Sausage, Chorizo Sausage"/>
    <x v="4"/>
  </r>
  <r>
    <n v="12541"/>
    <n v="5513"/>
    <n v="1"/>
    <s v="napolitana_m"/>
    <n v="1"/>
    <x v="39"/>
    <x v="2"/>
    <x v="1119"/>
    <n v="16"/>
    <n v="16"/>
    <x v="0"/>
    <x v="0"/>
    <s v="Tomatoes, Anchovies, Green Olives, Red Onions, Garlic"/>
    <x v="5"/>
  </r>
  <r>
    <n v="12552"/>
    <n v="5515"/>
    <n v="0.5"/>
    <s v="hawaiian_s"/>
    <n v="1"/>
    <x v="39"/>
    <x v="2"/>
    <x v="1120"/>
    <n v="10.5"/>
    <n v="10.5"/>
    <x v="1"/>
    <x v="0"/>
    <s v="Sliced Ham, Pineapple, Mozzarella Cheese"/>
    <x v="0"/>
  </r>
  <r>
    <n v="12553"/>
    <n v="5515"/>
    <n v="0.5"/>
    <s v="the_greek_l"/>
    <n v="1"/>
    <x v="39"/>
    <x v="2"/>
    <x v="1120"/>
    <n v="20.5"/>
    <n v="20.5"/>
    <x v="2"/>
    <x v="0"/>
    <s v="Kalamata Olives, Feta Cheese, Tomatoes, Garlic, Beef Chuck Roast, Red Onions"/>
    <x v="2"/>
  </r>
  <r>
    <n v="12555"/>
    <n v="5516"/>
    <n v="1"/>
    <s v="pepperoni_l"/>
    <n v="1"/>
    <x v="39"/>
    <x v="2"/>
    <x v="885"/>
    <n v="15.25"/>
    <n v="15.25"/>
    <x v="2"/>
    <x v="0"/>
    <s v="Mozzarella Cheese, Pepperoni"/>
    <x v="3"/>
  </r>
  <r>
    <n v="12557"/>
    <n v="5517"/>
    <n v="1"/>
    <s v="big_meat_s"/>
    <n v="1"/>
    <x v="39"/>
    <x v="2"/>
    <x v="1121"/>
    <n v="12"/>
    <n v="12"/>
    <x v="1"/>
    <x v="0"/>
    <s v="Bacon, Pepperoni, Italian Sausage, Chorizo Sausage"/>
    <x v="4"/>
  </r>
  <r>
    <n v="12558"/>
    <n v="5518"/>
    <n v="0.5"/>
    <s v="big_meat_s"/>
    <n v="1"/>
    <x v="39"/>
    <x v="2"/>
    <x v="1122"/>
    <n v="12"/>
    <n v="12"/>
    <x v="1"/>
    <x v="0"/>
    <s v="Bacon, Pepperoni, Italian Sausage, Chorizo Sausage"/>
    <x v="4"/>
  </r>
  <r>
    <n v="12559"/>
    <n v="5518"/>
    <n v="0.5"/>
    <s v="hawaiian_m"/>
    <n v="1"/>
    <x v="39"/>
    <x v="2"/>
    <x v="1122"/>
    <n v="13.25"/>
    <n v="13.25"/>
    <x v="0"/>
    <x v="0"/>
    <s v="Sliced Ham, Pineapple, Mozzarella Cheese"/>
    <x v="0"/>
  </r>
  <r>
    <n v="12560"/>
    <n v="5519"/>
    <n v="1"/>
    <s v="the_greek_xl"/>
    <n v="1"/>
    <x v="39"/>
    <x v="2"/>
    <x v="1123"/>
    <n v="25.5"/>
    <n v="25.5"/>
    <x v="3"/>
    <x v="0"/>
    <s v="Kalamata Olives, Feta Cheese, Tomatoes, Garlic, Beef Chuck Roast, Red Onions"/>
    <x v="2"/>
  </r>
  <r>
    <n v="12566"/>
    <n v="5524"/>
    <n v="0.25"/>
    <s v="big_meat_s"/>
    <n v="1"/>
    <x v="39"/>
    <x v="2"/>
    <x v="1124"/>
    <n v="12"/>
    <n v="12"/>
    <x v="1"/>
    <x v="0"/>
    <s v="Bacon, Pepperoni, Italian Sausage, Chorizo Sausage"/>
    <x v="4"/>
  </r>
  <r>
    <n v="12568"/>
    <n v="5524"/>
    <n v="0.25"/>
    <s v="hawaiian_l"/>
    <n v="1"/>
    <x v="39"/>
    <x v="2"/>
    <x v="1124"/>
    <n v="16.5"/>
    <n v="16.5"/>
    <x v="2"/>
    <x v="0"/>
    <s v="Sliced Ham, Pineapple, Mozzarella Cheese"/>
    <x v="0"/>
  </r>
  <r>
    <n v="12569"/>
    <n v="5524"/>
    <n v="0.25"/>
    <s v="hawaiian_m"/>
    <n v="1"/>
    <x v="39"/>
    <x v="2"/>
    <x v="1124"/>
    <n v="13.25"/>
    <n v="13.25"/>
    <x v="0"/>
    <x v="0"/>
    <s v="Sliced Ham, Pineapple, Mozzarella Cheese"/>
    <x v="0"/>
  </r>
  <r>
    <n v="12571"/>
    <n v="5524"/>
    <n v="0.25"/>
    <s v="sicilian_m"/>
    <n v="1"/>
    <x v="39"/>
    <x v="2"/>
    <x v="1124"/>
    <n v="16.25"/>
    <n v="16.25"/>
    <x v="0"/>
    <x v="2"/>
    <s v="Coarse Sicilian Salami, Tomatoes, Green Olives, Luganega Sausage, Onions, Garlic"/>
    <x v="7"/>
  </r>
  <r>
    <n v="12575"/>
    <n v="5525"/>
    <n v="1"/>
    <s v="brie_carre_s"/>
    <n v="1"/>
    <x v="39"/>
    <x v="2"/>
    <x v="1125"/>
    <n v="23.65"/>
    <n v="23.65"/>
    <x v="1"/>
    <x v="2"/>
    <s v="Brie Carre Cheese, Prosciutto, Caramelized Onions, Pears, Thyme, Garlic"/>
    <x v="8"/>
  </r>
  <r>
    <n v="12581"/>
    <n v="5527"/>
    <n v="1"/>
    <s v="calabrese_m"/>
    <n v="1"/>
    <x v="39"/>
    <x v="2"/>
    <x v="1126"/>
    <n v="16.25"/>
    <n v="16.25"/>
    <x v="0"/>
    <x v="2"/>
    <s v="?duja Salami, Pancetta, Tomatoes, Red Onions, Friggitello Peppers, Garlic"/>
    <x v="6"/>
  </r>
  <r>
    <n v="12587"/>
    <n v="5530"/>
    <n v="1"/>
    <s v="the_greek_s"/>
    <n v="1"/>
    <x v="39"/>
    <x v="2"/>
    <x v="1127"/>
    <n v="12"/>
    <n v="12"/>
    <x v="1"/>
    <x v="0"/>
    <s v="Kalamata Olives, Feta Cheese, Tomatoes, Garlic, Beef Chuck Roast, Red Onions"/>
    <x v="2"/>
  </r>
  <r>
    <n v="12600"/>
    <n v="5538"/>
    <n v="1"/>
    <s v="napolitana_s"/>
    <n v="1"/>
    <x v="39"/>
    <x v="2"/>
    <x v="1128"/>
    <n v="12"/>
    <n v="12"/>
    <x v="1"/>
    <x v="0"/>
    <s v="Tomatoes, Anchovies, Green Olives, Red Onions, Garlic"/>
    <x v="5"/>
  </r>
  <r>
    <n v="12612"/>
    <n v="5542"/>
    <n v="0.5"/>
    <s v="napolitana_s"/>
    <n v="1"/>
    <x v="39"/>
    <x v="2"/>
    <x v="1129"/>
    <n v="12"/>
    <n v="12"/>
    <x v="1"/>
    <x v="0"/>
    <s v="Tomatoes, Anchovies, Green Olives, Red Onions, Garlic"/>
    <x v="5"/>
  </r>
  <r>
    <n v="12613"/>
    <n v="5542"/>
    <n v="0.5"/>
    <s v="pepperoni_m"/>
    <n v="1"/>
    <x v="39"/>
    <x v="2"/>
    <x v="1129"/>
    <n v="12.5"/>
    <n v="12.5"/>
    <x v="0"/>
    <x v="0"/>
    <s v="Mozzarella Cheese, Pepperoni"/>
    <x v="3"/>
  </r>
  <r>
    <n v="12617"/>
    <n v="5543"/>
    <n v="1"/>
    <s v="sicilian_l"/>
    <n v="1"/>
    <x v="39"/>
    <x v="2"/>
    <x v="1130"/>
    <n v="20.25"/>
    <n v="20.25"/>
    <x v="2"/>
    <x v="2"/>
    <s v="Coarse Sicilian Salami, Tomatoes, Green Olives, Luganega Sausage, Onions, Garlic"/>
    <x v="7"/>
  </r>
  <r>
    <n v="12619"/>
    <n v="5544"/>
    <n v="0.5"/>
    <s v="pepperoni_s"/>
    <n v="1"/>
    <x v="39"/>
    <x v="2"/>
    <x v="1131"/>
    <n v="9.75"/>
    <n v="9.75"/>
    <x v="1"/>
    <x v="0"/>
    <s v="Mozzarella Cheese, Pepperoni"/>
    <x v="3"/>
  </r>
  <r>
    <n v="12621"/>
    <n v="5544"/>
    <n v="0.5"/>
    <s v="the_greek_xl"/>
    <n v="1"/>
    <x v="39"/>
    <x v="2"/>
    <x v="1131"/>
    <n v="25.5"/>
    <n v="25.5"/>
    <x v="3"/>
    <x v="0"/>
    <s v="Kalamata Olives, Feta Cheese, Tomatoes, Garlic, Beef Chuck Roast, Red Onions"/>
    <x v="2"/>
  </r>
  <r>
    <n v="12622"/>
    <n v="5545"/>
    <n v="1"/>
    <s v="the_greek_xl"/>
    <n v="1"/>
    <x v="39"/>
    <x v="2"/>
    <x v="1132"/>
    <n v="25.5"/>
    <n v="25.5"/>
    <x v="3"/>
    <x v="0"/>
    <s v="Kalamata Olives, Feta Cheese, Tomatoes, Garlic, Beef Chuck Roast, Red Onions"/>
    <x v="2"/>
  </r>
  <r>
    <n v="12624"/>
    <n v="5546"/>
    <n v="1"/>
    <s v="pepperoni_m"/>
    <n v="1"/>
    <x v="39"/>
    <x v="2"/>
    <x v="1133"/>
    <n v="12.5"/>
    <n v="12.5"/>
    <x v="0"/>
    <x v="0"/>
    <s v="Mozzarella Cheese, Pepperoni"/>
    <x v="3"/>
  </r>
  <r>
    <n v="12627"/>
    <n v="5547"/>
    <n v="1"/>
    <s v="calabrese_m"/>
    <n v="1"/>
    <x v="39"/>
    <x v="2"/>
    <x v="1134"/>
    <n v="16.25"/>
    <n v="16.25"/>
    <x v="0"/>
    <x v="2"/>
    <s v="?duja Salami, Pancetta, Tomatoes, Red Onions, Friggitello Peppers, Garlic"/>
    <x v="6"/>
  </r>
  <r>
    <n v="12629"/>
    <n v="5548"/>
    <n v="0.33333333333333331"/>
    <s v="hawaiian_l"/>
    <n v="1"/>
    <x v="39"/>
    <x v="2"/>
    <x v="1135"/>
    <n v="16.5"/>
    <n v="16.5"/>
    <x v="2"/>
    <x v="0"/>
    <s v="Sliced Ham, Pineapple, Mozzarella Cheese"/>
    <x v="0"/>
  </r>
  <r>
    <n v="12630"/>
    <n v="5548"/>
    <n v="0.33333333333333331"/>
    <s v="sicilian_l"/>
    <n v="1"/>
    <x v="39"/>
    <x v="2"/>
    <x v="1135"/>
    <n v="20.25"/>
    <n v="20.25"/>
    <x v="2"/>
    <x v="2"/>
    <s v="Coarse Sicilian Salami, Tomatoes, Green Olives, Luganega Sausage, Onions, Garlic"/>
    <x v="7"/>
  </r>
  <r>
    <n v="12631"/>
    <n v="5548"/>
    <n v="0.33333333333333331"/>
    <s v="sicilian_m"/>
    <n v="1"/>
    <x v="39"/>
    <x v="2"/>
    <x v="1135"/>
    <n v="16.25"/>
    <n v="16.25"/>
    <x v="0"/>
    <x v="2"/>
    <s v="Coarse Sicilian Salami, Tomatoes, Green Olives, Luganega Sausage, Onions, Garlic"/>
    <x v="7"/>
  </r>
  <r>
    <n v="12635"/>
    <n v="5551"/>
    <n v="1"/>
    <s v="sicilian_l"/>
    <n v="1"/>
    <x v="39"/>
    <x v="2"/>
    <x v="1136"/>
    <n v="20.25"/>
    <n v="20.25"/>
    <x v="2"/>
    <x v="2"/>
    <s v="Coarse Sicilian Salami, Tomatoes, Green Olives, Luganega Sausage, Onions, Garlic"/>
    <x v="7"/>
  </r>
  <r>
    <n v="12641"/>
    <n v="5554"/>
    <n v="0.5"/>
    <s v="hawaiian_l"/>
    <n v="2"/>
    <x v="39"/>
    <x v="2"/>
    <x v="1137"/>
    <n v="16.5"/>
    <n v="33"/>
    <x v="2"/>
    <x v="0"/>
    <s v="Sliced Ham, Pineapple, Mozzarella Cheese"/>
    <x v="0"/>
  </r>
  <r>
    <n v="12642"/>
    <n v="5554"/>
    <n v="0.5"/>
    <s v="hawaiian_s"/>
    <n v="1"/>
    <x v="39"/>
    <x v="2"/>
    <x v="1137"/>
    <n v="10.5"/>
    <n v="10.5"/>
    <x v="1"/>
    <x v="0"/>
    <s v="Sliced Ham, Pineapple, Mozzarella Cheese"/>
    <x v="0"/>
  </r>
  <r>
    <n v="12649"/>
    <n v="5557"/>
    <n v="1"/>
    <s v="napolitana_l"/>
    <n v="1"/>
    <x v="39"/>
    <x v="2"/>
    <x v="1138"/>
    <n v="20.5"/>
    <n v="20.5"/>
    <x v="2"/>
    <x v="0"/>
    <s v="Tomatoes, Anchovies, Green Olives, Red Onions, Garlic"/>
    <x v="5"/>
  </r>
  <r>
    <n v="12651"/>
    <n v="5558"/>
    <n v="1"/>
    <s v="hawaiian_m"/>
    <n v="1"/>
    <x v="39"/>
    <x v="2"/>
    <x v="1139"/>
    <n v="13.25"/>
    <n v="13.25"/>
    <x v="0"/>
    <x v="0"/>
    <s v="Sliced Ham, Pineapple, Mozzarella Cheese"/>
    <x v="0"/>
  </r>
  <r>
    <n v="12653"/>
    <n v="5559"/>
    <n v="1"/>
    <s v="sicilian_s"/>
    <n v="1"/>
    <x v="39"/>
    <x v="2"/>
    <x v="1140"/>
    <n v="12.25"/>
    <n v="12.25"/>
    <x v="1"/>
    <x v="2"/>
    <s v="Coarse Sicilian Salami, Tomatoes, Green Olives, Luganega Sausage, Onions, Garlic"/>
    <x v="7"/>
  </r>
  <r>
    <n v="12659"/>
    <n v="5561"/>
    <n v="1"/>
    <s v="hawaiian_m"/>
    <n v="1"/>
    <x v="39"/>
    <x v="2"/>
    <x v="1141"/>
    <n v="13.25"/>
    <n v="13.25"/>
    <x v="0"/>
    <x v="0"/>
    <s v="Sliced Ham, Pineapple, Mozzarella Cheese"/>
    <x v="0"/>
  </r>
  <r>
    <n v="12663"/>
    <n v="5562"/>
    <n v="1"/>
    <s v="pepperoni_s"/>
    <n v="1"/>
    <x v="39"/>
    <x v="2"/>
    <x v="1142"/>
    <n v="9.75"/>
    <n v="9.75"/>
    <x v="1"/>
    <x v="0"/>
    <s v="Mozzarella Cheese, Pepperoni"/>
    <x v="3"/>
  </r>
  <r>
    <n v="12665"/>
    <n v="5563"/>
    <n v="1"/>
    <s v="big_meat_s"/>
    <n v="1"/>
    <x v="39"/>
    <x v="2"/>
    <x v="1143"/>
    <n v="12"/>
    <n v="12"/>
    <x v="1"/>
    <x v="0"/>
    <s v="Bacon, Pepperoni, Italian Sausage, Chorizo Sausage"/>
    <x v="4"/>
  </r>
  <r>
    <n v="12666"/>
    <n v="5564"/>
    <n v="0.5"/>
    <s v="calabrese_m"/>
    <n v="1"/>
    <x v="40"/>
    <x v="5"/>
    <x v="1144"/>
    <n v="16.25"/>
    <n v="16.25"/>
    <x v="0"/>
    <x v="2"/>
    <s v="?duja Salami, Pancetta, Tomatoes, Red Onions, Friggitello Peppers, Garlic"/>
    <x v="6"/>
  </r>
  <r>
    <n v="12668"/>
    <n v="5564"/>
    <n v="0.5"/>
    <s v="napolitana_l"/>
    <n v="1"/>
    <x v="40"/>
    <x v="5"/>
    <x v="1144"/>
    <n v="20.5"/>
    <n v="20.5"/>
    <x v="2"/>
    <x v="0"/>
    <s v="Tomatoes, Anchovies, Green Olives, Red Onions, Garlic"/>
    <x v="5"/>
  </r>
  <r>
    <n v="12673"/>
    <n v="5566"/>
    <n v="1"/>
    <s v="the_greek_s"/>
    <n v="1"/>
    <x v="40"/>
    <x v="5"/>
    <x v="1145"/>
    <n v="12"/>
    <n v="12"/>
    <x v="1"/>
    <x v="0"/>
    <s v="Kalamata Olives, Feta Cheese, Tomatoes, Garlic, Beef Chuck Roast, Red Onions"/>
    <x v="2"/>
  </r>
  <r>
    <n v="12679"/>
    <n v="5572"/>
    <n v="0.5"/>
    <s v="napolitana_l"/>
    <n v="1"/>
    <x v="40"/>
    <x v="5"/>
    <x v="1146"/>
    <n v="20.5"/>
    <n v="20.5"/>
    <x v="2"/>
    <x v="0"/>
    <s v="Tomatoes, Anchovies, Green Olives, Red Onions, Garlic"/>
    <x v="5"/>
  </r>
  <r>
    <n v="12681"/>
    <n v="5572"/>
    <n v="0.5"/>
    <s v="the_greek_xl"/>
    <n v="1"/>
    <x v="40"/>
    <x v="5"/>
    <x v="1146"/>
    <n v="25.5"/>
    <n v="25.5"/>
    <x v="3"/>
    <x v="0"/>
    <s v="Kalamata Olives, Feta Cheese, Tomatoes, Garlic, Beef Chuck Roast, Red Onions"/>
    <x v="2"/>
  </r>
  <r>
    <n v="12684"/>
    <n v="5573"/>
    <n v="1"/>
    <s v="the_greek_s"/>
    <n v="1"/>
    <x v="40"/>
    <x v="5"/>
    <x v="1147"/>
    <n v="12"/>
    <n v="12"/>
    <x v="1"/>
    <x v="0"/>
    <s v="Kalamata Olives, Feta Cheese, Tomatoes, Garlic, Beef Chuck Roast, Red Onions"/>
    <x v="2"/>
  </r>
  <r>
    <n v="12685"/>
    <n v="5574"/>
    <n v="1"/>
    <s v="hawaiian_s"/>
    <n v="1"/>
    <x v="40"/>
    <x v="5"/>
    <x v="1148"/>
    <n v="10.5"/>
    <n v="10.5"/>
    <x v="1"/>
    <x v="0"/>
    <s v="Sliced Ham, Pineapple, Mozzarella Cheese"/>
    <x v="0"/>
  </r>
  <r>
    <n v="12692"/>
    <n v="5577"/>
    <n v="1"/>
    <s v="mexicana_l"/>
    <n v="1"/>
    <x v="40"/>
    <x v="5"/>
    <x v="1149"/>
    <n v="20.25"/>
    <n v="20.25"/>
    <x v="2"/>
    <x v="1"/>
    <s v="Tomatoes, Red Peppers, Jalapeno Peppers, Red Onions, Cilantro, Corn, Chipotle Sauce, Garlic"/>
    <x v="1"/>
  </r>
  <r>
    <n v="12700"/>
    <n v="5579"/>
    <n v="1"/>
    <s v="hawaiian_s"/>
    <n v="1"/>
    <x v="40"/>
    <x v="5"/>
    <x v="1150"/>
    <n v="10.5"/>
    <n v="10.5"/>
    <x v="1"/>
    <x v="0"/>
    <s v="Sliced Ham, Pineapple, Mozzarella Cheese"/>
    <x v="0"/>
  </r>
  <r>
    <n v="12709"/>
    <n v="5580"/>
    <n v="0.33333333333333331"/>
    <s v="big_meat_s"/>
    <n v="2"/>
    <x v="40"/>
    <x v="5"/>
    <x v="1151"/>
    <n v="12"/>
    <n v="24"/>
    <x v="1"/>
    <x v="0"/>
    <s v="Bacon, Pepperoni, Italian Sausage, Chorizo Sausage"/>
    <x v="4"/>
  </r>
  <r>
    <n v="12711"/>
    <n v="5580"/>
    <n v="0.33333333333333331"/>
    <s v="napolitana_l"/>
    <n v="1"/>
    <x v="40"/>
    <x v="5"/>
    <x v="1151"/>
    <n v="20.5"/>
    <n v="20.5"/>
    <x v="2"/>
    <x v="0"/>
    <s v="Tomatoes, Anchovies, Green Olives, Red Onions, Garlic"/>
    <x v="5"/>
  </r>
  <r>
    <n v="12713"/>
    <n v="5580"/>
    <n v="0.33333333333333331"/>
    <s v="sicilian_m"/>
    <n v="1"/>
    <x v="40"/>
    <x v="5"/>
    <x v="1151"/>
    <n v="16.25"/>
    <n v="16.25"/>
    <x v="0"/>
    <x v="2"/>
    <s v="Coarse Sicilian Salami, Tomatoes, Green Olives, Luganega Sausage, Onions, Garlic"/>
    <x v="7"/>
  </r>
  <r>
    <n v="12719"/>
    <n v="5582"/>
    <n v="1"/>
    <s v="hawaiian_s"/>
    <n v="1"/>
    <x v="40"/>
    <x v="5"/>
    <x v="1152"/>
    <n v="10.5"/>
    <n v="10.5"/>
    <x v="1"/>
    <x v="0"/>
    <s v="Sliced Ham, Pineapple, Mozzarella Cheese"/>
    <x v="0"/>
  </r>
  <r>
    <n v="12721"/>
    <n v="5584"/>
    <n v="1"/>
    <s v="the_greek_m"/>
    <n v="1"/>
    <x v="40"/>
    <x v="5"/>
    <x v="1153"/>
    <n v="16"/>
    <n v="16"/>
    <x v="0"/>
    <x v="0"/>
    <s v="Kalamata Olives, Feta Cheese, Tomatoes, Garlic, Beef Chuck Roast, Red Onions"/>
    <x v="2"/>
  </r>
  <r>
    <n v="12723"/>
    <n v="5585"/>
    <n v="1"/>
    <s v="pepperoni_m"/>
    <n v="1"/>
    <x v="40"/>
    <x v="5"/>
    <x v="1154"/>
    <n v="12.5"/>
    <n v="12.5"/>
    <x v="0"/>
    <x v="0"/>
    <s v="Mozzarella Cheese, Pepperoni"/>
    <x v="3"/>
  </r>
  <r>
    <n v="12727"/>
    <n v="5586"/>
    <n v="1"/>
    <s v="mexicana_m"/>
    <n v="1"/>
    <x v="40"/>
    <x v="5"/>
    <x v="1155"/>
    <n v="16"/>
    <n v="16"/>
    <x v="0"/>
    <x v="1"/>
    <s v="Tomatoes, Red Peppers, Jalapeno Peppers, Red Onions, Cilantro, Corn, Chipotle Sauce, Garlic"/>
    <x v="1"/>
  </r>
  <r>
    <n v="12730"/>
    <n v="5587"/>
    <n v="1"/>
    <s v="hawaiian_s"/>
    <n v="1"/>
    <x v="40"/>
    <x v="5"/>
    <x v="1156"/>
    <n v="10.5"/>
    <n v="10.5"/>
    <x v="1"/>
    <x v="0"/>
    <s v="Sliced Ham, Pineapple, Mozzarella Cheese"/>
    <x v="0"/>
  </r>
  <r>
    <n v="12732"/>
    <n v="5588"/>
    <n v="1"/>
    <s v="the_greek_l"/>
    <n v="1"/>
    <x v="40"/>
    <x v="5"/>
    <x v="1157"/>
    <n v="20.5"/>
    <n v="20.5"/>
    <x v="2"/>
    <x v="0"/>
    <s v="Kalamata Olives, Feta Cheese, Tomatoes, Garlic, Beef Chuck Roast, Red Onions"/>
    <x v="2"/>
  </r>
  <r>
    <n v="12734"/>
    <n v="5589"/>
    <n v="1"/>
    <s v="hawaiian_m"/>
    <n v="1"/>
    <x v="40"/>
    <x v="5"/>
    <x v="1158"/>
    <n v="13.25"/>
    <n v="13.25"/>
    <x v="0"/>
    <x v="0"/>
    <s v="Sliced Ham, Pineapple, Mozzarella Cheese"/>
    <x v="0"/>
  </r>
  <r>
    <n v="12737"/>
    <n v="5591"/>
    <n v="1"/>
    <s v="pepperoni_s"/>
    <n v="1"/>
    <x v="40"/>
    <x v="5"/>
    <x v="1159"/>
    <n v="9.75"/>
    <n v="9.75"/>
    <x v="1"/>
    <x v="0"/>
    <s v="Mozzarella Cheese, Pepperoni"/>
    <x v="3"/>
  </r>
  <r>
    <n v="12742"/>
    <n v="5594"/>
    <n v="1"/>
    <s v="napolitana_s"/>
    <n v="1"/>
    <x v="40"/>
    <x v="5"/>
    <x v="1160"/>
    <n v="12"/>
    <n v="12"/>
    <x v="1"/>
    <x v="0"/>
    <s v="Tomatoes, Anchovies, Green Olives, Red Onions, Garlic"/>
    <x v="5"/>
  </r>
  <r>
    <n v="12745"/>
    <n v="5596"/>
    <n v="1"/>
    <s v="big_meat_s"/>
    <n v="1"/>
    <x v="40"/>
    <x v="5"/>
    <x v="1161"/>
    <n v="12"/>
    <n v="12"/>
    <x v="1"/>
    <x v="0"/>
    <s v="Bacon, Pepperoni, Italian Sausage, Chorizo Sausage"/>
    <x v="4"/>
  </r>
  <r>
    <n v="12748"/>
    <n v="5597"/>
    <n v="0.5"/>
    <s v="pepperoni_m"/>
    <n v="1"/>
    <x v="40"/>
    <x v="5"/>
    <x v="1162"/>
    <n v="12.5"/>
    <n v="12.5"/>
    <x v="0"/>
    <x v="0"/>
    <s v="Mozzarella Cheese, Pepperoni"/>
    <x v="3"/>
  </r>
  <r>
    <n v="12749"/>
    <n v="5597"/>
    <n v="0.5"/>
    <s v="sicilian_m"/>
    <n v="1"/>
    <x v="40"/>
    <x v="5"/>
    <x v="1162"/>
    <n v="16.25"/>
    <n v="16.25"/>
    <x v="0"/>
    <x v="2"/>
    <s v="Coarse Sicilian Salami, Tomatoes, Green Olives, Luganega Sausage, Onions, Garlic"/>
    <x v="7"/>
  </r>
  <r>
    <n v="12751"/>
    <n v="5598"/>
    <n v="1"/>
    <s v="mexicana_l"/>
    <n v="1"/>
    <x v="40"/>
    <x v="5"/>
    <x v="1163"/>
    <n v="20.25"/>
    <n v="20.25"/>
    <x v="2"/>
    <x v="1"/>
    <s v="Tomatoes, Red Peppers, Jalapeno Peppers, Red Onions, Cilantro, Corn, Chipotle Sauce, Garlic"/>
    <x v="1"/>
  </r>
  <r>
    <n v="12754"/>
    <n v="5599"/>
    <n v="1"/>
    <s v="hawaiian_m"/>
    <n v="1"/>
    <x v="40"/>
    <x v="5"/>
    <x v="1164"/>
    <n v="13.25"/>
    <n v="13.25"/>
    <x v="0"/>
    <x v="0"/>
    <s v="Sliced Ham, Pineapple, Mozzarella Cheese"/>
    <x v="0"/>
  </r>
  <r>
    <n v="12765"/>
    <n v="5604"/>
    <n v="1"/>
    <s v="sicilian_l"/>
    <n v="1"/>
    <x v="40"/>
    <x v="5"/>
    <x v="1165"/>
    <n v="20.25"/>
    <n v="20.25"/>
    <x v="2"/>
    <x v="2"/>
    <s v="Coarse Sicilian Salami, Tomatoes, Green Olives, Luganega Sausage, Onions, Garlic"/>
    <x v="7"/>
  </r>
  <r>
    <n v="12769"/>
    <n v="5607"/>
    <n v="1"/>
    <s v="hawaiian_s"/>
    <n v="1"/>
    <x v="40"/>
    <x v="5"/>
    <x v="1166"/>
    <n v="10.5"/>
    <n v="10.5"/>
    <x v="1"/>
    <x v="0"/>
    <s v="Sliced Ham, Pineapple, Mozzarella Cheese"/>
    <x v="0"/>
  </r>
  <r>
    <n v="12776"/>
    <n v="5608"/>
    <n v="1"/>
    <s v="the_greek_xl"/>
    <n v="1"/>
    <x v="40"/>
    <x v="5"/>
    <x v="1167"/>
    <n v="25.5"/>
    <n v="25.5"/>
    <x v="3"/>
    <x v="0"/>
    <s v="Kalamata Olives, Feta Cheese, Tomatoes, Garlic, Beef Chuck Roast, Red Onions"/>
    <x v="2"/>
  </r>
  <r>
    <n v="12777"/>
    <n v="5609"/>
    <n v="0.5"/>
    <s v="brie_carre_s"/>
    <n v="1"/>
    <x v="40"/>
    <x v="5"/>
    <x v="1168"/>
    <n v="23.65"/>
    <n v="23.65"/>
    <x v="1"/>
    <x v="2"/>
    <s v="Brie Carre Cheese, Prosciutto, Caramelized Onions, Pears, Thyme, Garlic"/>
    <x v="8"/>
  </r>
  <r>
    <n v="12778"/>
    <n v="5609"/>
    <n v="0.5"/>
    <s v="hawaiian_l"/>
    <n v="1"/>
    <x v="40"/>
    <x v="5"/>
    <x v="1168"/>
    <n v="16.5"/>
    <n v="16.5"/>
    <x v="2"/>
    <x v="0"/>
    <s v="Sliced Ham, Pineapple, Mozzarella Cheese"/>
    <x v="0"/>
  </r>
  <r>
    <n v="12782"/>
    <n v="5611"/>
    <n v="0.5"/>
    <s v="hawaiian_l"/>
    <n v="1"/>
    <x v="40"/>
    <x v="5"/>
    <x v="1169"/>
    <n v="16.5"/>
    <n v="16.5"/>
    <x v="2"/>
    <x v="0"/>
    <s v="Sliced Ham, Pineapple, Mozzarella Cheese"/>
    <x v="0"/>
  </r>
  <r>
    <n v="12783"/>
    <n v="5611"/>
    <n v="0.5"/>
    <s v="napolitana_l"/>
    <n v="1"/>
    <x v="40"/>
    <x v="5"/>
    <x v="1169"/>
    <n v="20.5"/>
    <n v="20.5"/>
    <x v="2"/>
    <x v="0"/>
    <s v="Tomatoes, Anchovies, Green Olives, Red Onions, Garlic"/>
    <x v="5"/>
  </r>
  <r>
    <n v="12784"/>
    <n v="5612"/>
    <n v="0.5"/>
    <s v="calabrese_m"/>
    <n v="1"/>
    <x v="40"/>
    <x v="5"/>
    <x v="1170"/>
    <n v="16.25"/>
    <n v="16.25"/>
    <x v="0"/>
    <x v="2"/>
    <s v="?duja Salami, Pancetta, Tomatoes, Red Onions, Friggitello Peppers, Garlic"/>
    <x v="6"/>
  </r>
  <r>
    <n v="12785"/>
    <n v="5612"/>
    <n v="0.5"/>
    <s v="the_greek_m"/>
    <n v="1"/>
    <x v="40"/>
    <x v="5"/>
    <x v="1170"/>
    <n v="16"/>
    <n v="16"/>
    <x v="0"/>
    <x v="0"/>
    <s v="Kalamata Olives, Feta Cheese, Tomatoes, Garlic, Beef Chuck Roast, Red Onions"/>
    <x v="2"/>
  </r>
  <r>
    <n v="12787"/>
    <n v="5613"/>
    <n v="0.5"/>
    <s v="big_meat_s"/>
    <n v="1"/>
    <x v="40"/>
    <x v="5"/>
    <x v="1171"/>
    <n v="12"/>
    <n v="12"/>
    <x v="1"/>
    <x v="0"/>
    <s v="Bacon, Pepperoni, Italian Sausage, Chorizo Sausage"/>
    <x v="4"/>
  </r>
  <r>
    <n v="12788"/>
    <n v="5613"/>
    <n v="0.5"/>
    <s v="hawaiian_l"/>
    <n v="1"/>
    <x v="40"/>
    <x v="5"/>
    <x v="1171"/>
    <n v="16.5"/>
    <n v="16.5"/>
    <x v="2"/>
    <x v="0"/>
    <s v="Sliced Ham, Pineapple, Mozzarella Cheese"/>
    <x v="0"/>
  </r>
  <r>
    <n v="12792"/>
    <n v="5614"/>
    <n v="1"/>
    <s v="pepperoni_l"/>
    <n v="1"/>
    <x v="40"/>
    <x v="5"/>
    <x v="1172"/>
    <n v="15.25"/>
    <n v="15.25"/>
    <x v="2"/>
    <x v="0"/>
    <s v="Mozzarella Cheese, Pepperoni"/>
    <x v="3"/>
  </r>
  <r>
    <n v="12795"/>
    <n v="5615"/>
    <n v="1"/>
    <s v="sicilian_s"/>
    <n v="1"/>
    <x v="40"/>
    <x v="5"/>
    <x v="1173"/>
    <n v="12.25"/>
    <n v="12.25"/>
    <x v="1"/>
    <x v="2"/>
    <s v="Coarse Sicilian Salami, Tomatoes, Green Olives, Luganega Sausage, Onions, Garlic"/>
    <x v="7"/>
  </r>
  <r>
    <n v="12803"/>
    <n v="5619"/>
    <n v="1"/>
    <s v="mexicana_l"/>
    <n v="1"/>
    <x v="40"/>
    <x v="5"/>
    <x v="1174"/>
    <n v="20.25"/>
    <n v="20.25"/>
    <x v="2"/>
    <x v="1"/>
    <s v="Tomatoes, Red Peppers, Jalapeno Peppers, Red Onions, Cilantro, Corn, Chipotle Sauce, Garlic"/>
    <x v="1"/>
  </r>
  <r>
    <n v="12807"/>
    <n v="5620"/>
    <n v="1"/>
    <s v="sicilian_l"/>
    <n v="1"/>
    <x v="40"/>
    <x v="5"/>
    <x v="1175"/>
    <n v="20.25"/>
    <n v="20.25"/>
    <x v="2"/>
    <x v="2"/>
    <s v="Coarse Sicilian Salami, Tomatoes, Green Olives, Luganega Sausage, Onions, Garlic"/>
    <x v="7"/>
  </r>
  <r>
    <n v="12809"/>
    <n v="5621"/>
    <n v="1"/>
    <s v="calabrese_s"/>
    <n v="1"/>
    <x v="40"/>
    <x v="5"/>
    <x v="1176"/>
    <n v="12.25"/>
    <n v="12.25"/>
    <x v="1"/>
    <x v="2"/>
    <s v="?duja Salami, Pancetta, Tomatoes, Red Onions, Friggitello Peppers, Garlic"/>
    <x v="6"/>
  </r>
  <r>
    <n v="12812"/>
    <n v="5622"/>
    <n v="1"/>
    <s v="pepperoni_m"/>
    <n v="1"/>
    <x v="40"/>
    <x v="5"/>
    <x v="1177"/>
    <n v="12.5"/>
    <n v="12.5"/>
    <x v="0"/>
    <x v="0"/>
    <s v="Mozzarella Cheese, Pepperoni"/>
    <x v="3"/>
  </r>
  <r>
    <n v="12814"/>
    <n v="5623"/>
    <n v="1"/>
    <s v="napolitana_s"/>
    <n v="1"/>
    <x v="40"/>
    <x v="5"/>
    <x v="1178"/>
    <n v="12"/>
    <n v="12"/>
    <x v="1"/>
    <x v="0"/>
    <s v="Tomatoes, Anchovies, Green Olives, Red Onions, Garlic"/>
    <x v="5"/>
  </r>
  <r>
    <n v="12819"/>
    <n v="5626"/>
    <n v="1"/>
    <s v="pepperoni_l"/>
    <n v="1"/>
    <x v="40"/>
    <x v="5"/>
    <x v="1179"/>
    <n v="15.25"/>
    <n v="15.25"/>
    <x v="2"/>
    <x v="0"/>
    <s v="Mozzarella Cheese, Pepperoni"/>
    <x v="3"/>
  </r>
  <r>
    <n v="12821"/>
    <n v="5627"/>
    <n v="1"/>
    <s v="napolitana_m"/>
    <n v="1"/>
    <x v="40"/>
    <x v="5"/>
    <x v="1180"/>
    <n v="16"/>
    <n v="16"/>
    <x v="0"/>
    <x v="0"/>
    <s v="Tomatoes, Anchovies, Green Olives, Red Onions, Garlic"/>
    <x v="5"/>
  </r>
  <r>
    <n v="12824"/>
    <n v="5628"/>
    <n v="1"/>
    <s v="pepperoni_m"/>
    <n v="1"/>
    <x v="40"/>
    <x v="5"/>
    <x v="1181"/>
    <n v="12.5"/>
    <n v="12.5"/>
    <x v="0"/>
    <x v="0"/>
    <s v="Mozzarella Cheese, Pepperoni"/>
    <x v="3"/>
  </r>
  <r>
    <n v="12828"/>
    <n v="5630"/>
    <n v="1"/>
    <s v="sicilian_m"/>
    <n v="1"/>
    <x v="41"/>
    <x v="4"/>
    <x v="1182"/>
    <n v="16.25"/>
    <n v="16.25"/>
    <x v="0"/>
    <x v="2"/>
    <s v="Coarse Sicilian Salami, Tomatoes, Green Olives, Luganega Sausage, Onions, Garlic"/>
    <x v="7"/>
  </r>
  <r>
    <n v="12831"/>
    <n v="5632"/>
    <n v="1"/>
    <s v="calabrese_s"/>
    <n v="1"/>
    <x v="41"/>
    <x v="4"/>
    <x v="1183"/>
    <n v="12.25"/>
    <n v="12.25"/>
    <x v="1"/>
    <x v="2"/>
    <s v="?duja Salami, Pancetta, Tomatoes, Red Onions, Friggitello Peppers, Garlic"/>
    <x v="6"/>
  </r>
  <r>
    <n v="12833"/>
    <n v="5634"/>
    <n v="0.5"/>
    <s v="brie_carre_s"/>
    <n v="1"/>
    <x v="41"/>
    <x v="4"/>
    <x v="1184"/>
    <n v="23.65"/>
    <n v="23.65"/>
    <x v="1"/>
    <x v="2"/>
    <s v="Brie Carre Cheese, Prosciutto, Caramelized Onions, Pears, Thyme, Garlic"/>
    <x v="8"/>
  </r>
  <r>
    <n v="12836"/>
    <n v="5634"/>
    <n v="0.5"/>
    <s v="pepperoni_l"/>
    <n v="1"/>
    <x v="41"/>
    <x v="4"/>
    <x v="1184"/>
    <n v="15.25"/>
    <n v="15.25"/>
    <x v="2"/>
    <x v="0"/>
    <s v="Mozzarella Cheese, Pepperoni"/>
    <x v="3"/>
  </r>
  <r>
    <n v="12840"/>
    <n v="5636"/>
    <n v="1"/>
    <s v="napolitana_s"/>
    <n v="1"/>
    <x v="41"/>
    <x v="4"/>
    <x v="1185"/>
    <n v="12"/>
    <n v="12"/>
    <x v="1"/>
    <x v="0"/>
    <s v="Tomatoes, Anchovies, Green Olives, Red Onions, Garlic"/>
    <x v="5"/>
  </r>
  <r>
    <n v="12841"/>
    <n v="5637"/>
    <n v="0.5"/>
    <s v="brie_carre_s"/>
    <n v="1"/>
    <x v="41"/>
    <x v="4"/>
    <x v="1186"/>
    <n v="23.65"/>
    <n v="23.65"/>
    <x v="1"/>
    <x v="2"/>
    <s v="Brie Carre Cheese, Prosciutto, Caramelized Onions, Pears, Thyme, Garlic"/>
    <x v="8"/>
  </r>
  <r>
    <n v="12843"/>
    <n v="5637"/>
    <n v="0.5"/>
    <s v="hawaiian_m"/>
    <n v="1"/>
    <x v="41"/>
    <x v="4"/>
    <x v="1186"/>
    <n v="13.25"/>
    <n v="13.25"/>
    <x v="0"/>
    <x v="0"/>
    <s v="Sliced Ham, Pineapple, Mozzarella Cheese"/>
    <x v="0"/>
  </r>
  <r>
    <n v="12849"/>
    <n v="5639"/>
    <n v="0.5"/>
    <s v="big_meat_s"/>
    <n v="1"/>
    <x v="41"/>
    <x v="4"/>
    <x v="1187"/>
    <n v="12"/>
    <n v="12"/>
    <x v="1"/>
    <x v="0"/>
    <s v="Bacon, Pepperoni, Italian Sausage, Chorizo Sausage"/>
    <x v="4"/>
  </r>
  <r>
    <n v="12853"/>
    <n v="5639"/>
    <n v="0.5"/>
    <s v="sicilian_s"/>
    <n v="2"/>
    <x v="41"/>
    <x v="4"/>
    <x v="1187"/>
    <n v="12.25"/>
    <n v="24.5"/>
    <x v="1"/>
    <x v="2"/>
    <s v="Coarse Sicilian Salami, Tomatoes, Green Olives, Luganega Sausage, Onions, Garlic"/>
    <x v="7"/>
  </r>
  <r>
    <n v="12858"/>
    <n v="5642"/>
    <n v="1"/>
    <s v="pepperoni_s"/>
    <n v="1"/>
    <x v="41"/>
    <x v="4"/>
    <x v="427"/>
    <n v="9.75"/>
    <n v="9.75"/>
    <x v="1"/>
    <x v="0"/>
    <s v="Mozzarella Cheese, Pepperoni"/>
    <x v="3"/>
  </r>
  <r>
    <n v="12870"/>
    <n v="5646"/>
    <n v="0.5"/>
    <s v="napolitana_m"/>
    <n v="1"/>
    <x v="41"/>
    <x v="4"/>
    <x v="1188"/>
    <n v="16"/>
    <n v="16"/>
    <x v="0"/>
    <x v="0"/>
    <s v="Tomatoes, Anchovies, Green Olives, Red Onions, Garlic"/>
    <x v="5"/>
  </r>
  <r>
    <n v="12871"/>
    <n v="5646"/>
    <n v="0.5"/>
    <s v="pepperoni_m"/>
    <n v="1"/>
    <x v="41"/>
    <x v="4"/>
    <x v="1188"/>
    <n v="12.5"/>
    <n v="12.5"/>
    <x v="0"/>
    <x v="0"/>
    <s v="Mozzarella Cheese, Pepperoni"/>
    <x v="3"/>
  </r>
  <r>
    <n v="12873"/>
    <n v="5647"/>
    <n v="1"/>
    <s v="big_meat_s"/>
    <n v="1"/>
    <x v="41"/>
    <x v="4"/>
    <x v="1189"/>
    <n v="12"/>
    <n v="12"/>
    <x v="1"/>
    <x v="0"/>
    <s v="Bacon, Pepperoni, Italian Sausage, Chorizo Sausage"/>
    <x v="4"/>
  </r>
  <r>
    <n v="12877"/>
    <n v="5648"/>
    <n v="1"/>
    <s v="calabrese_m"/>
    <n v="1"/>
    <x v="41"/>
    <x v="4"/>
    <x v="1190"/>
    <n v="16.25"/>
    <n v="16.25"/>
    <x v="0"/>
    <x v="2"/>
    <s v="?duja Salami, Pancetta, Tomatoes, Red Onions, Friggitello Peppers, Garlic"/>
    <x v="6"/>
  </r>
  <r>
    <n v="12880"/>
    <n v="5649"/>
    <n v="1"/>
    <s v="big_meat_s"/>
    <n v="1"/>
    <x v="41"/>
    <x v="4"/>
    <x v="1191"/>
    <n v="12"/>
    <n v="12"/>
    <x v="1"/>
    <x v="0"/>
    <s v="Bacon, Pepperoni, Italian Sausage, Chorizo Sausage"/>
    <x v="4"/>
  </r>
  <r>
    <n v="12886"/>
    <n v="5651"/>
    <n v="0.5"/>
    <s v="mexicana_l"/>
    <n v="1"/>
    <x v="41"/>
    <x v="4"/>
    <x v="1192"/>
    <n v="20.25"/>
    <n v="20.25"/>
    <x v="2"/>
    <x v="1"/>
    <s v="Tomatoes, Red Peppers, Jalapeno Peppers, Red Onions, Cilantro, Corn, Chipotle Sauce, Garlic"/>
    <x v="1"/>
  </r>
  <r>
    <n v="12887"/>
    <n v="5651"/>
    <n v="0.5"/>
    <s v="pepperoni_m"/>
    <n v="1"/>
    <x v="41"/>
    <x v="4"/>
    <x v="1192"/>
    <n v="12.5"/>
    <n v="12.5"/>
    <x v="0"/>
    <x v="0"/>
    <s v="Mozzarella Cheese, Pepperoni"/>
    <x v="3"/>
  </r>
  <r>
    <n v="12891"/>
    <n v="5654"/>
    <n v="1"/>
    <s v="napolitana_s"/>
    <n v="1"/>
    <x v="41"/>
    <x v="4"/>
    <x v="1193"/>
    <n v="12"/>
    <n v="12"/>
    <x v="1"/>
    <x v="0"/>
    <s v="Tomatoes, Anchovies, Green Olives, Red Onions, Garlic"/>
    <x v="5"/>
  </r>
  <r>
    <n v="12893"/>
    <n v="5656"/>
    <n v="0.5"/>
    <s v="napolitana_s"/>
    <n v="1"/>
    <x v="41"/>
    <x v="4"/>
    <x v="1194"/>
    <n v="12"/>
    <n v="12"/>
    <x v="1"/>
    <x v="0"/>
    <s v="Tomatoes, Anchovies, Green Olives, Red Onions, Garlic"/>
    <x v="5"/>
  </r>
  <r>
    <n v="12894"/>
    <n v="5656"/>
    <n v="0.5"/>
    <s v="pepperoni_s"/>
    <n v="1"/>
    <x v="41"/>
    <x v="4"/>
    <x v="1194"/>
    <n v="9.75"/>
    <n v="9.75"/>
    <x v="1"/>
    <x v="0"/>
    <s v="Mozzarella Cheese, Pepperoni"/>
    <x v="3"/>
  </r>
  <r>
    <n v="12897"/>
    <n v="5657"/>
    <n v="1"/>
    <s v="hawaiian_l"/>
    <n v="1"/>
    <x v="41"/>
    <x v="4"/>
    <x v="1195"/>
    <n v="16.5"/>
    <n v="16.5"/>
    <x v="2"/>
    <x v="0"/>
    <s v="Sliced Ham, Pineapple, Mozzarella Cheese"/>
    <x v="0"/>
  </r>
  <r>
    <n v="12903"/>
    <n v="5661"/>
    <n v="1"/>
    <s v="napolitana_s"/>
    <n v="1"/>
    <x v="41"/>
    <x v="4"/>
    <x v="1196"/>
    <n v="12"/>
    <n v="12"/>
    <x v="1"/>
    <x v="0"/>
    <s v="Tomatoes, Anchovies, Green Olives, Red Onions, Garlic"/>
    <x v="5"/>
  </r>
  <r>
    <n v="12904"/>
    <n v="5662"/>
    <n v="1"/>
    <s v="the_greek_m"/>
    <n v="1"/>
    <x v="41"/>
    <x v="4"/>
    <x v="1197"/>
    <n v="16"/>
    <n v="16"/>
    <x v="0"/>
    <x v="0"/>
    <s v="Kalamata Olives, Feta Cheese, Tomatoes, Garlic, Beef Chuck Roast, Red Onions"/>
    <x v="2"/>
  </r>
  <r>
    <n v="12909"/>
    <n v="5665"/>
    <n v="1"/>
    <s v="hawaiian_s"/>
    <n v="1"/>
    <x v="41"/>
    <x v="4"/>
    <x v="1198"/>
    <n v="10.5"/>
    <n v="10.5"/>
    <x v="1"/>
    <x v="0"/>
    <s v="Sliced Ham, Pineapple, Mozzarella Cheese"/>
    <x v="0"/>
  </r>
  <r>
    <n v="12916"/>
    <n v="5667"/>
    <n v="1"/>
    <s v="big_meat_s"/>
    <n v="1"/>
    <x v="41"/>
    <x v="4"/>
    <x v="1199"/>
    <n v="12"/>
    <n v="12"/>
    <x v="1"/>
    <x v="0"/>
    <s v="Bacon, Pepperoni, Italian Sausage, Chorizo Sausage"/>
    <x v="4"/>
  </r>
  <r>
    <n v="12922"/>
    <n v="5669"/>
    <n v="1"/>
    <s v="mexicana_m"/>
    <n v="1"/>
    <x v="41"/>
    <x v="4"/>
    <x v="1200"/>
    <n v="16"/>
    <n v="16"/>
    <x v="0"/>
    <x v="1"/>
    <s v="Tomatoes, Red Peppers, Jalapeno Peppers, Red Onions, Cilantro, Corn, Chipotle Sauce, Garlic"/>
    <x v="1"/>
  </r>
  <r>
    <n v="12925"/>
    <n v="5670"/>
    <n v="0.5"/>
    <s v="calabrese_l"/>
    <n v="1"/>
    <x v="41"/>
    <x v="4"/>
    <x v="1201"/>
    <n v="20.25"/>
    <n v="20.25"/>
    <x v="2"/>
    <x v="2"/>
    <s v="?duja Salami, Pancetta, Tomatoes, Red Onions, Friggitello Peppers, Garlic"/>
    <x v="6"/>
  </r>
  <r>
    <n v="12926"/>
    <n v="5670"/>
    <n v="0.5"/>
    <s v="hawaiian_s"/>
    <n v="1"/>
    <x v="41"/>
    <x v="4"/>
    <x v="1201"/>
    <n v="10.5"/>
    <n v="10.5"/>
    <x v="1"/>
    <x v="0"/>
    <s v="Sliced Ham, Pineapple, Mozzarella Cheese"/>
    <x v="0"/>
  </r>
  <r>
    <n v="12935"/>
    <n v="5674"/>
    <n v="0.5"/>
    <s v="mexicana_m"/>
    <n v="1"/>
    <x v="41"/>
    <x v="4"/>
    <x v="1202"/>
    <n v="16"/>
    <n v="16"/>
    <x v="0"/>
    <x v="1"/>
    <s v="Tomatoes, Red Peppers, Jalapeno Peppers, Red Onions, Cilantro, Corn, Chipotle Sauce, Garlic"/>
    <x v="1"/>
  </r>
  <r>
    <n v="12936"/>
    <n v="5674"/>
    <n v="0.5"/>
    <s v="sicilian_s"/>
    <n v="1"/>
    <x v="41"/>
    <x v="4"/>
    <x v="1202"/>
    <n v="12.25"/>
    <n v="12.25"/>
    <x v="1"/>
    <x v="2"/>
    <s v="Coarse Sicilian Salami, Tomatoes, Green Olives, Luganega Sausage, Onions, Garlic"/>
    <x v="7"/>
  </r>
  <r>
    <n v="12953"/>
    <n v="5687"/>
    <n v="1"/>
    <s v="sicilian_l"/>
    <n v="1"/>
    <x v="42"/>
    <x v="0"/>
    <x v="1203"/>
    <n v="20.25"/>
    <n v="20.25"/>
    <x v="2"/>
    <x v="2"/>
    <s v="Coarse Sicilian Salami, Tomatoes, Green Olives, Luganega Sausage, Onions, Garlic"/>
    <x v="7"/>
  </r>
  <r>
    <n v="12960"/>
    <n v="5689"/>
    <n v="0.33333333333333331"/>
    <s v="mexicana_l"/>
    <n v="2"/>
    <x v="42"/>
    <x v="0"/>
    <x v="1204"/>
    <n v="20.25"/>
    <n v="40.5"/>
    <x v="2"/>
    <x v="1"/>
    <s v="Tomatoes, Red Peppers, Jalapeno Peppers, Red Onions, Cilantro, Corn, Chipotle Sauce, Garlic"/>
    <x v="1"/>
  </r>
  <r>
    <n v="12962"/>
    <n v="5689"/>
    <n v="0.33333333333333331"/>
    <s v="pepperoni_m"/>
    <n v="1"/>
    <x v="42"/>
    <x v="0"/>
    <x v="1204"/>
    <n v="12.5"/>
    <n v="12.5"/>
    <x v="0"/>
    <x v="0"/>
    <s v="Mozzarella Cheese, Pepperoni"/>
    <x v="3"/>
  </r>
  <r>
    <n v="12965"/>
    <n v="5689"/>
    <n v="0.33333333333333331"/>
    <s v="sicilian_l"/>
    <n v="1"/>
    <x v="42"/>
    <x v="0"/>
    <x v="1204"/>
    <n v="20.25"/>
    <n v="20.25"/>
    <x v="2"/>
    <x v="2"/>
    <s v="Coarse Sicilian Salami, Tomatoes, Green Olives, Luganega Sausage, Onions, Garlic"/>
    <x v="7"/>
  </r>
  <r>
    <n v="12966"/>
    <n v="5690"/>
    <n v="1"/>
    <s v="sicilian_m"/>
    <n v="1"/>
    <x v="42"/>
    <x v="0"/>
    <x v="1205"/>
    <n v="16.25"/>
    <n v="16.25"/>
    <x v="0"/>
    <x v="2"/>
    <s v="Coarse Sicilian Salami, Tomatoes, Green Olives, Luganega Sausage, Onions, Garlic"/>
    <x v="7"/>
  </r>
  <r>
    <n v="12969"/>
    <n v="5692"/>
    <n v="1"/>
    <s v="hawaiian_m"/>
    <n v="1"/>
    <x v="42"/>
    <x v="0"/>
    <x v="1206"/>
    <n v="13.25"/>
    <n v="13.25"/>
    <x v="0"/>
    <x v="0"/>
    <s v="Sliced Ham, Pineapple, Mozzarella Cheese"/>
    <x v="0"/>
  </r>
  <r>
    <n v="12970"/>
    <n v="5693"/>
    <n v="0.5"/>
    <s v="pepperoni_m"/>
    <n v="1"/>
    <x v="42"/>
    <x v="0"/>
    <x v="1207"/>
    <n v="12.5"/>
    <n v="12.5"/>
    <x v="0"/>
    <x v="0"/>
    <s v="Mozzarella Cheese, Pepperoni"/>
    <x v="3"/>
  </r>
  <r>
    <n v="12971"/>
    <n v="5693"/>
    <n v="0.5"/>
    <s v="pepperoni_s"/>
    <n v="1"/>
    <x v="42"/>
    <x v="0"/>
    <x v="1207"/>
    <n v="9.75"/>
    <n v="9.75"/>
    <x v="1"/>
    <x v="0"/>
    <s v="Mozzarella Cheese, Pepperoni"/>
    <x v="3"/>
  </r>
  <r>
    <n v="12976"/>
    <n v="5696"/>
    <n v="1"/>
    <s v="big_meat_s"/>
    <n v="1"/>
    <x v="42"/>
    <x v="0"/>
    <x v="1208"/>
    <n v="12"/>
    <n v="12"/>
    <x v="1"/>
    <x v="0"/>
    <s v="Bacon, Pepperoni, Italian Sausage, Chorizo Sausage"/>
    <x v="4"/>
  </r>
  <r>
    <n v="12980"/>
    <n v="5697"/>
    <n v="1"/>
    <s v="napolitana_m"/>
    <n v="1"/>
    <x v="42"/>
    <x v="0"/>
    <x v="1209"/>
    <n v="16"/>
    <n v="16"/>
    <x v="0"/>
    <x v="0"/>
    <s v="Tomatoes, Anchovies, Green Olives, Red Onions, Garlic"/>
    <x v="5"/>
  </r>
  <r>
    <n v="12982"/>
    <n v="5698"/>
    <n v="1"/>
    <s v="hawaiian_s"/>
    <n v="1"/>
    <x v="42"/>
    <x v="0"/>
    <x v="1210"/>
    <n v="10.5"/>
    <n v="10.5"/>
    <x v="1"/>
    <x v="0"/>
    <s v="Sliced Ham, Pineapple, Mozzarella Cheese"/>
    <x v="0"/>
  </r>
  <r>
    <n v="12988"/>
    <n v="5700"/>
    <n v="0.25"/>
    <s v="hawaiian_l"/>
    <n v="1"/>
    <x v="42"/>
    <x v="0"/>
    <x v="1211"/>
    <n v="16.5"/>
    <n v="16.5"/>
    <x v="2"/>
    <x v="0"/>
    <s v="Sliced Ham, Pineapple, Mozzarella Cheese"/>
    <x v="0"/>
  </r>
  <r>
    <n v="12990"/>
    <n v="5700"/>
    <n v="0.25"/>
    <s v="sicilian_s"/>
    <n v="1"/>
    <x v="42"/>
    <x v="0"/>
    <x v="1211"/>
    <n v="12.25"/>
    <n v="12.25"/>
    <x v="1"/>
    <x v="2"/>
    <s v="Coarse Sicilian Salami, Tomatoes, Green Olives, Luganega Sausage, Onions, Garlic"/>
    <x v="7"/>
  </r>
  <r>
    <n v="12991"/>
    <n v="5700"/>
    <n v="0.25"/>
    <s v="the_greek_s"/>
    <n v="1"/>
    <x v="42"/>
    <x v="0"/>
    <x v="1211"/>
    <n v="12"/>
    <n v="12"/>
    <x v="1"/>
    <x v="0"/>
    <s v="Kalamata Olives, Feta Cheese, Tomatoes, Garlic, Beef Chuck Roast, Red Onions"/>
    <x v="2"/>
  </r>
  <r>
    <n v="12992"/>
    <n v="5700"/>
    <n v="0.25"/>
    <s v="the_greek_xl"/>
    <n v="1"/>
    <x v="42"/>
    <x v="0"/>
    <x v="1211"/>
    <n v="25.5"/>
    <n v="25.5"/>
    <x v="3"/>
    <x v="0"/>
    <s v="Kalamata Olives, Feta Cheese, Tomatoes, Garlic, Beef Chuck Roast, Red Onions"/>
    <x v="2"/>
  </r>
  <r>
    <n v="13000"/>
    <n v="5703"/>
    <n v="1"/>
    <s v="sicilian_m"/>
    <n v="1"/>
    <x v="42"/>
    <x v="0"/>
    <x v="1212"/>
    <n v="16.25"/>
    <n v="16.25"/>
    <x v="0"/>
    <x v="2"/>
    <s v="Coarse Sicilian Salami, Tomatoes, Green Olives, Luganega Sausage, Onions, Garlic"/>
    <x v="7"/>
  </r>
  <r>
    <n v="13001"/>
    <n v="5704"/>
    <n v="1"/>
    <s v="calabrese_m"/>
    <n v="1"/>
    <x v="42"/>
    <x v="0"/>
    <x v="1213"/>
    <n v="16.25"/>
    <n v="16.25"/>
    <x v="0"/>
    <x v="2"/>
    <s v="?duja Salami, Pancetta, Tomatoes, Red Onions, Friggitello Peppers, Garlic"/>
    <x v="6"/>
  </r>
  <r>
    <n v="13003"/>
    <n v="5706"/>
    <n v="1"/>
    <s v="calabrese_l"/>
    <n v="1"/>
    <x v="42"/>
    <x v="0"/>
    <x v="1214"/>
    <n v="20.25"/>
    <n v="20.25"/>
    <x v="2"/>
    <x v="2"/>
    <s v="?duja Salami, Pancetta, Tomatoes, Red Onions, Friggitello Peppers, Garlic"/>
    <x v="6"/>
  </r>
  <r>
    <n v="13008"/>
    <n v="5707"/>
    <n v="1"/>
    <s v="the_greek_xl"/>
    <n v="1"/>
    <x v="42"/>
    <x v="0"/>
    <x v="1215"/>
    <n v="25.5"/>
    <n v="25.5"/>
    <x v="3"/>
    <x v="0"/>
    <s v="Kalamata Olives, Feta Cheese, Tomatoes, Garlic, Beef Chuck Roast, Red Onions"/>
    <x v="2"/>
  </r>
  <r>
    <n v="13009"/>
    <n v="5708"/>
    <n v="1"/>
    <s v="pepperoni_m"/>
    <n v="1"/>
    <x v="42"/>
    <x v="0"/>
    <x v="1216"/>
    <n v="12.5"/>
    <n v="12.5"/>
    <x v="0"/>
    <x v="0"/>
    <s v="Mozzarella Cheese, Pepperoni"/>
    <x v="3"/>
  </r>
  <r>
    <n v="13010"/>
    <n v="5709"/>
    <n v="0.5"/>
    <s v="hawaiian_m"/>
    <n v="1"/>
    <x v="42"/>
    <x v="0"/>
    <x v="1217"/>
    <n v="13.25"/>
    <n v="13.25"/>
    <x v="0"/>
    <x v="0"/>
    <s v="Sliced Ham, Pineapple, Mozzarella Cheese"/>
    <x v="0"/>
  </r>
  <r>
    <n v="13013"/>
    <n v="5709"/>
    <n v="0.5"/>
    <s v="napolitana_s"/>
    <n v="1"/>
    <x v="42"/>
    <x v="0"/>
    <x v="1217"/>
    <n v="12"/>
    <n v="12"/>
    <x v="1"/>
    <x v="0"/>
    <s v="Tomatoes, Anchovies, Green Olives, Red Onions, Garlic"/>
    <x v="5"/>
  </r>
  <r>
    <n v="13015"/>
    <n v="5710"/>
    <n v="0.5"/>
    <s v="pepperoni_s"/>
    <n v="1"/>
    <x v="42"/>
    <x v="0"/>
    <x v="1218"/>
    <n v="9.75"/>
    <n v="9.75"/>
    <x v="1"/>
    <x v="0"/>
    <s v="Mozzarella Cheese, Pepperoni"/>
    <x v="3"/>
  </r>
  <r>
    <n v="13016"/>
    <n v="5710"/>
    <n v="0.5"/>
    <s v="sicilian_m"/>
    <n v="1"/>
    <x v="42"/>
    <x v="0"/>
    <x v="1218"/>
    <n v="16.25"/>
    <n v="16.25"/>
    <x v="0"/>
    <x v="2"/>
    <s v="Coarse Sicilian Salami, Tomatoes, Green Olives, Luganega Sausage, Onions, Garlic"/>
    <x v="7"/>
  </r>
  <r>
    <n v="13021"/>
    <n v="5711"/>
    <n v="1"/>
    <s v="the_greek_xl"/>
    <n v="1"/>
    <x v="42"/>
    <x v="0"/>
    <x v="1219"/>
    <n v="25.5"/>
    <n v="25.5"/>
    <x v="3"/>
    <x v="0"/>
    <s v="Kalamata Olives, Feta Cheese, Tomatoes, Garlic, Beef Chuck Roast, Red Onions"/>
    <x v="2"/>
  </r>
  <r>
    <n v="13024"/>
    <n v="5713"/>
    <n v="1"/>
    <s v="hawaiian_s"/>
    <n v="1"/>
    <x v="42"/>
    <x v="0"/>
    <x v="1220"/>
    <n v="10.5"/>
    <n v="10.5"/>
    <x v="1"/>
    <x v="0"/>
    <s v="Sliced Ham, Pineapple, Mozzarella Cheese"/>
    <x v="0"/>
  </r>
  <r>
    <n v="13027"/>
    <n v="5714"/>
    <n v="1"/>
    <s v="the_greek_xl"/>
    <n v="1"/>
    <x v="42"/>
    <x v="0"/>
    <x v="1221"/>
    <n v="25.5"/>
    <n v="25.5"/>
    <x v="3"/>
    <x v="0"/>
    <s v="Kalamata Olives, Feta Cheese, Tomatoes, Garlic, Beef Chuck Roast, Red Onions"/>
    <x v="2"/>
  </r>
  <r>
    <n v="13030"/>
    <n v="5715"/>
    <n v="1"/>
    <s v="mexicana_m"/>
    <n v="1"/>
    <x v="42"/>
    <x v="0"/>
    <x v="1222"/>
    <n v="16"/>
    <n v="16"/>
    <x v="0"/>
    <x v="1"/>
    <s v="Tomatoes, Red Peppers, Jalapeno Peppers, Red Onions, Cilantro, Corn, Chipotle Sauce, Garlic"/>
    <x v="1"/>
  </r>
  <r>
    <n v="13034"/>
    <n v="5716"/>
    <n v="1"/>
    <s v="the_greek_l"/>
    <n v="1"/>
    <x v="42"/>
    <x v="0"/>
    <x v="1223"/>
    <n v="20.5"/>
    <n v="20.5"/>
    <x v="2"/>
    <x v="0"/>
    <s v="Kalamata Olives, Feta Cheese, Tomatoes, Garlic, Beef Chuck Roast, Red Onions"/>
    <x v="2"/>
  </r>
  <r>
    <n v="13035"/>
    <n v="5717"/>
    <n v="1"/>
    <s v="calabrese_l"/>
    <n v="1"/>
    <x v="42"/>
    <x v="0"/>
    <x v="1224"/>
    <n v="20.25"/>
    <n v="20.25"/>
    <x v="2"/>
    <x v="2"/>
    <s v="?duja Salami, Pancetta, Tomatoes, Red Onions, Friggitello Peppers, Garlic"/>
    <x v="6"/>
  </r>
  <r>
    <n v="13047"/>
    <n v="5721"/>
    <n v="1"/>
    <s v="hawaiian_l"/>
    <n v="1"/>
    <x v="42"/>
    <x v="0"/>
    <x v="1225"/>
    <n v="16.5"/>
    <n v="16.5"/>
    <x v="2"/>
    <x v="0"/>
    <s v="Sliced Ham, Pineapple, Mozzarella Cheese"/>
    <x v="0"/>
  </r>
  <r>
    <n v="13048"/>
    <n v="5722"/>
    <n v="0.33333333333333331"/>
    <s v="pepperoni_m"/>
    <n v="1"/>
    <x v="42"/>
    <x v="0"/>
    <x v="1226"/>
    <n v="12.5"/>
    <n v="12.5"/>
    <x v="0"/>
    <x v="0"/>
    <s v="Mozzarella Cheese, Pepperoni"/>
    <x v="3"/>
  </r>
  <r>
    <n v="13049"/>
    <n v="5722"/>
    <n v="0.33333333333333331"/>
    <s v="sicilian_s"/>
    <n v="1"/>
    <x v="42"/>
    <x v="0"/>
    <x v="1226"/>
    <n v="12.25"/>
    <n v="12.25"/>
    <x v="1"/>
    <x v="2"/>
    <s v="Coarse Sicilian Salami, Tomatoes, Green Olives, Luganega Sausage, Onions, Garlic"/>
    <x v="7"/>
  </r>
  <r>
    <n v="13051"/>
    <n v="5722"/>
    <n v="0.33333333333333331"/>
    <s v="the_greek_m"/>
    <n v="1"/>
    <x v="42"/>
    <x v="0"/>
    <x v="1226"/>
    <n v="16"/>
    <n v="16"/>
    <x v="0"/>
    <x v="0"/>
    <s v="Kalamata Olives, Feta Cheese, Tomatoes, Garlic, Beef Chuck Roast, Red Onions"/>
    <x v="2"/>
  </r>
  <r>
    <n v="13052"/>
    <n v="5723"/>
    <n v="1"/>
    <s v="the_greek_xl"/>
    <n v="1"/>
    <x v="42"/>
    <x v="0"/>
    <x v="1227"/>
    <n v="25.5"/>
    <n v="25.5"/>
    <x v="3"/>
    <x v="0"/>
    <s v="Kalamata Olives, Feta Cheese, Tomatoes, Garlic, Beef Chuck Roast, Red Onions"/>
    <x v="2"/>
  </r>
  <r>
    <n v="13058"/>
    <n v="5725"/>
    <n v="1"/>
    <s v="hawaiian_s"/>
    <n v="1"/>
    <x v="42"/>
    <x v="0"/>
    <x v="1228"/>
    <n v="10.5"/>
    <n v="10.5"/>
    <x v="1"/>
    <x v="0"/>
    <s v="Sliced Ham, Pineapple, Mozzarella Cheese"/>
    <x v="0"/>
  </r>
  <r>
    <n v="13061"/>
    <n v="5727"/>
    <n v="0.5"/>
    <s v="hawaiian_l"/>
    <n v="1"/>
    <x v="42"/>
    <x v="0"/>
    <x v="1229"/>
    <n v="16.5"/>
    <n v="16.5"/>
    <x v="2"/>
    <x v="0"/>
    <s v="Sliced Ham, Pineapple, Mozzarella Cheese"/>
    <x v="0"/>
  </r>
  <r>
    <n v="13062"/>
    <n v="5727"/>
    <n v="0.5"/>
    <s v="mexicana_l"/>
    <n v="1"/>
    <x v="42"/>
    <x v="0"/>
    <x v="1229"/>
    <n v="20.25"/>
    <n v="20.25"/>
    <x v="2"/>
    <x v="1"/>
    <s v="Tomatoes, Red Peppers, Jalapeno Peppers, Red Onions, Cilantro, Corn, Chipotle Sauce, Garlic"/>
    <x v="1"/>
  </r>
  <r>
    <n v="13063"/>
    <n v="5728"/>
    <n v="0.5"/>
    <s v="big_meat_s"/>
    <n v="1"/>
    <x v="42"/>
    <x v="0"/>
    <x v="1230"/>
    <n v="12"/>
    <n v="12"/>
    <x v="1"/>
    <x v="0"/>
    <s v="Bacon, Pepperoni, Italian Sausage, Chorizo Sausage"/>
    <x v="4"/>
  </r>
  <r>
    <n v="13065"/>
    <n v="5728"/>
    <n v="0.5"/>
    <s v="mexicana_s"/>
    <n v="1"/>
    <x v="42"/>
    <x v="0"/>
    <x v="1230"/>
    <n v="12"/>
    <n v="12"/>
    <x v="1"/>
    <x v="1"/>
    <s v="Tomatoes, Red Peppers, Jalapeno Peppers, Red Onions, Cilantro, Corn, Chipotle Sauce, Garlic"/>
    <x v="1"/>
  </r>
  <r>
    <n v="13067"/>
    <n v="5729"/>
    <n v="1"/>
    <s v="big_meat_s"/>
    <n v="1"/>
    <x v="42"/>
    <x v="0"/>
    <x v="1231"/>
    <n v="12"/>
    <n v="12"/>
    <x v="1"/>
    <x v="0"/>
    <s v="Bacon, Pepperoni, Italian Sausage, Chorizo Sausage"/>
    <x v="4"/>
  </r>
  <r>
    <n v="13069"/>
    <n v="5730"/>
    <n v="1"/>
    <s v="calabrese_m"/>
    <n v="1"/>
    <x v="42"/>
    <x v="0"/>
    <x v="1232"/>
    <n v="16.25"/>
    <n v="16.25"/>
    <x v="0"/>
    <x v="2"/>
    <s v="?duja Salami, Pancetta, Tomatoes, Red Onions, Friggitello Peppers, Garlic"/>
    <x v="6"/>
  </r>
  <r>
    <n v="13075"/>
    <n v="5732"/>
    <n v="1"/>
    <s v="mexicana_l"/>
    <n v="1"/>
    <x v="42"/>
    <x v="0"/>
    <x v="1233"/>
    <n v="20.25"/>
    <n v="20.25"/>
    <x v="2"/>
    <x v="1"/>
    <s v="Tomatoes, Red Peppers, Jalapeno Peppers, Red Onions, Cilantro, Corn, Chipotle Sauce, Garlic"/>
    <x v="1"/>
  </r>
  <r>
    <n v="13084"/>
    <n v="5735"/>
    <n v="1"/>
    <s v="pepperoni_m"/>
    <n v="1"/>
    <x v="42"/>
    <x v="0"/>
    <x v="1234"/>
    <n v="12.5"/>
    <n v="12.5"/>
    <x v="0"/>
    <x v="0"/>
    <s v="Mozzarella Cheese, Pepperoni"/>
    <x v="3"/>
  </r>
  <r>
    <n v="13089"/>
    <n v="5737"/>
    <n v="0.5"/>
    <s v="brie_carre_s"/>
    <n v="1"/>
    <x v="42"/>
    <x v="0"/>
    <x v="1235"/>
    <n v="23.65"/>
    <n v="23.65"/>
    <x v="1"/>
    <x v="2"/>
    <s v="Brie Carre Cheese, Prosciutto, Caramelized Onions, Pears, Thyme, Garlic"/>
    <x v="8"/>
  </r>
  <r>
    <n v="13090"/>
    <n v="5737"/>
    <n v="0.5"/>
    <s v="napolitana_l"/>
    <n v="1"/>
    <x v="42"/>
    <x v="0"/>
    <x v="1235"/>
    <n v="20.5"/>
    <n v="20.5"/>
    <x v="2"/>
    <x v="0"/>
    <s v="Tomatoes, Anchovies, Green Olives, Red Onions, Garlic"/>
    <x v="5"/>
  </r>
  <r>
    <n v="13092"/>
    <n v="5738"/>
    <n v="0.5"/>
    <s v="big_meat_s"/>
    <n v="1"/>
    <x v="42"/>
    <x v="0"/>
    <x v="1236"/>
    <n v="12"/>
    <n v="12"/>
    <x v="1"/>
    <x v="0"/>
    <s v="Bacon, Pepperoni, Italian Sausage, Chorizo Sausage"/>
    <x v="4"/>
  </r>
  <r>
    <n v="13095"/>
    <n v="5738"/>
    <n v="0.5"/>
    <s v="mexicana_m"/>
    <n v="1"/>
    <x v="42"/>
    <x v="0"/>
    <x v="1236"/>
    <n v="16"/>
    <n v="16"/>
    <x v="0"/>
    <x v="1"/>
    <s v="Tomatoes, Red Peppers, Jalapeno Peppers, Red Onions, Cilantro, Corn, Chipotle Sauce, Garlic"/>
    <x v="1"/>
  </r>
  <r>
    <n v="13102"/>
    <n v="5745"/>
    <n v="0.16666666666666666"/>
    <s v="big_meat_s"/>
    <n v="1"/>
    <x v="43"/>
    <x v="5"/>
    <x v="1237"/>
    <n v="12"/>
    <n v="12"/>
    <x v="1"/>
    <x v="0"/>
    <s v="Bacon, Pepperoni, Italian Sausage, Chorizo Sausage"/>
    <x v="4"/>
  </r>
  <r>
    <n v="13104"/>
    <n v="5745"/>
    <n v="0.16666666666666666"/>
    <s v="hawaiian_m"/>
    <n v="1"/>
    <x v="43"/>
    <x v="5"/>
    <x v="1237"/>
    <n v="13.25"/>
    <n v="13.25"/>
    <x v="0"/>
    <x v="0"/>
    <s v="Sliced Ham, Pineapple, Mozzarella Cheese"/>
    <x v="0"/>
  </r>
  <r>
    <n v="13106"/>
    <n v="5745"/>
    <n v="0.16666666666666666"/>
    <s v="napolitana_s"/>
    <n v="1"/>
    <x v="43"/>
    <x v="5"/>
    <x v="1237"/>
    <n v="12"/>
    <n v="12"/>
    <x v="1"/>
    <x v="0"/>
    <s v="Tomatoes, Anchovies, Green Olives, Red Onions, Garlic"/>
    <x v="5"/>
  </r>
  <r>
    <n v="13107"/>
    <n v="5745"/>
    <n v="0.16666666666666666"/>
    <s v="pepperoni_m"/>
    <n v="1"/>
    <x v="43"/>
    <x v="5"/>
    <x v="1237"/>
    <n v="12.5"/>
    <n v="12.5"/>
    <x v="0"/>
    <x v="0"/>
    <s v="Mozzarella Cheese, Pepperoni"/>
    <x v="3"/>
  </r>
  <r>
    <n v="13108"/>
    <n v="5745"/>
    <n v="0.16666666666666666"/>
    <s v="sicilian_l"/>
    <n v="1"/>
    <x v="43"/>
    <x v="5"/>
    <x v="1237"/>
    <n v="20.25"/>
    <n v="20.25"/>
    <x v="2"/>
    <x v="2"/>
    <s v="Coarse Sicilian Salami, Tomatoes, Green Olives, Luganega Sausage, Onions, Garlic"/>
    <x v="7"/>
  </r>
  <r>
    <n v="13112"/>
    <n v="5745"/>
    <n v="0.16666666666666666"/>
    <s v="the_greek_m"/>
    <n v="1"/>
    <x v="43"/>
    <x v="5"/>
    <x v="1237"/>
    <n v="16"/>
    <n v="16"/>
    <x v="0"/>
    <x v="0"/>
    <s v="Kalamata Olives, Feta Cheese, Tomatoes, Garlic, Beef Chuck Roast, Red Onions"/>
    <x v="2"/>
  </r>
  <r>
    <n v="13114"/>
    <n v="5746"/>
    <n v="0.5"/>
    <s v="hawaiian_m"/>
    <n v="1"/>
    <x v="43"/>
    <x v="5"/>
    <x v="1238"/>
    <n v="13.25"/>
    <n v="13.25"/>
    <x v="0"/>
    <x v="0"/>
    <s v="Sliced Ham, Pineapple, Mozzarella Cheese"/>
    <x v="0"/>
  </r>
  <r>
    <n v="13115"/>
    <n v="5746"/>
    <n v="0.5"/>
    <s v="mexicana_l"/>
    <n v="1"/>
    <x v="43"/>
    <x v="5"/>
    <x v="1238"/>
    <n v="20.25"/>
    <n v="20.25"/>
    <x v="2"/>
    <x v="1"/>
    <s v="Tomatoes, Red Peppers, Jalapeno Peppers, Red Onions, Cilantro, Corn, Chipotle Sauce, Garlic"/>
    <x v="1"/>
  </r>
  <r>
    <n v="13116"/>
    <n v="5747"/>
    <n v="1"/>
    <s v="sicilian_s"/>
    <n v="1"/>
    <x v="43"/>
    <x v="5"/>
    <x v="1239"/>
    <n v="12.25"/>
    <n v="12.25"/>
    <x v="1"/>
    <x v="2"/>
    <s v="Coarse Sicilian Salami, Tomatoes, Green Olives, Luganega Sausage, Onions, Garlic"/>
    <x v="7"/>
  </r>
  <r>
    <n v="13118"/>
    <n v="5748"/>
    <n v="1"/>
    <s v="calabrese_m"/>
    <n v="1"/>
    <x v="43"/>
    <x v="5"/>
    <x v="1240"/>
    <n v="16.25"/>
    <n v="16.25"/>
    <x v="0"/>
    <x v="2"/>
    <s v="?duja Salami, Pancetta, Tomatoes, Red Onions, Friggitello Peppers, Garlic"/>
    <x v="6"/>
  </r>
  <r>
    <n v="13121"/>
    <n v="5749"/>
    <n v="1"/>
    <s v="mexicana_m"/>
    <n v="1"/>
    <x v="43"/>
    <x v="5"/>
    <x v="1241"/>
    <n v="16"/>
    <n v="16"/>
    <x v="0"/>
    <x v="1"/>
    <s v="Tomatoes, Red Peppers, Jalapeno Peppers, Red Onions, Cilantro, Corn, Chipotle Sauce, Garlic"/>
    <x v="1"/>
  </r>
  <r>
    <n v="13126"/>
    <n v="5751"/>
    <n v="0.5"/>
    <s v="big_meat_s"/>
    <n v="1"/>
    <x v="43"/>
    <x v="5"/>
    <x v="1242"/>
    <n v="12"/>
    <n v="12"/>
    <x v="1"/>
    <x v="0"/>
    <s v="Bacon, Pepperoni, Italian Sausage, Chorizo Sausage"/>
    <x v="4"/>
  </r>
  <r>
    <n v="13127"/>
    <n v="5751"/>
    <n v="0.5"/>
    <s v="mexicana_m"/>
    <n v="1"/>
    <x v="43"/>
    <x v="5"/>
    <x v="1242"/>
    <n v="16"/>
    <n v="16"/>
    <x v="0"/>
    <x v="1"/>
    <s v="Tomatoes, Red Peppers, Jalapeno Peppers, Red Onions, Cilantro, Corn, Chipotle Sauce, Garlic"/>
    <x v="1"/>
  </r>
  <r>
    <n v="13130"/>
    <n v="5752"/>
    <n v="1"/>
    <s v="sicilian_m"/>
    <n v="1"/>
    <x v="43"/>
    <x v="5"/>
    <x v="1243"/>
    <n v="16.25"/>
    <n v="16.25"/>
    <x v="0"/>
    <x v="2"/>
    <s v="Coarse Sicilian Salami, Tomatoes, Green Olives, Luganega Sausage, Onions, Garlic"/>
    <x v="7"/>
  </r>
  <r>
    <n v="13133"/>
    <n v="5753"/>
    <n v="1"/>
    <s v="big_meat_s"/>
    <n v="1"/>
    <x v="43"/>
    <x v="5"/>
    <x v="1244"/>
    <n v="12"/>
    <n v="12"/>
    <x v="1"/>
    <x v="0"/>
    <s v="Bacon, Pepperoni, Italian Sausage, Chorizo Sausage"/>
    <x v="4"/>
  </r>
  <r>
    <n v="13137"/>
    <n v="5754"/>
    <n v="0.5"/>
    <s v="calabrese_m"/>
    <n v="1"/>
    <x v="43"/>
    <x v="5"/>
    <x v="1245"/>
    <n v="16.25"/>
    <n v="16.25"/>
    <x v="0"/>
    <x v="2"/>
    <s v="?duja Salami, Pancetta, Tomatoes, Red Onions, Friggitello Peppers, Garlic"/>
    <x v="6"/>
  </r>
  <r>
    <n v="13139"/>
    <n v="5754"/>
    <n v="0.5"/>
    <s v="pepperoni_m"/>
    <n v="1"/>
    <x v="43"/>
    <x v="5"/>
    <x v="1245"/>
    <n v="12.5"/>
    <n v="12.5"/>
    <x v="0"/>
    <x v="0"/>
    <s v="Mozzarella Cheese, Pepperoni"/>
    <x v="3"/>
  </r>
  <r>
    <n v="13140"/>
    <n v="5755"/>
    <n v="1"/>
    <s v="big_meat_s"/>
    <n v="1"/>
    <x v="43"/>
    <x v="5"/>
    <x v="1246"/>
    <n v="12"/>
    <n v="12"/>
    <x v="1"/>
    <x v="0"/>
    <s v="Bacon, Pepperoni, Italian Sausage, Chorizo Sausage"/>
    <x v="4"/>
  </r>
  <r>
    <n v="13143"/>
    <n v="5757"/>
    <n v="0.5"/>
    <s v="hawaiian_l"/>
    <n v="1"/>
    <x v="43"/>
    <x v="5"/>
    <x v="1247"/>
    <n v="16.5"/>
    <n v="16.5"/>
    <x v="2"/>
    <x v="0"/>
    <s v="Sliced Ham, Pineapple, Mozzarella Cheese"/>
    <x v="0"/>
  </r>
  <r>
    <n v="13144"/>
    <n v="5757"/>
    <n v="0.5"/>
    <s v="pepperoni_m"/>
    <n v="1"/>
    <x v="43"/>
    <x v="5"/>
    <x v="1247"/>
    <n v="12.5"/>
    <n v="12.5"/>
    <x v="0"/>
    <x v="0"/>
    <s v="Mozzarella Cheese, Pepperoni"/>
    <x v="3"/>
  </r>
  <r>
    <n v="13146"/>
    <n v="5758"/>
    <n v="0.5"/>
    <s v="hawaiian_s"/>
    <n v="1"/>
    <x v="43"/>
    <x v="5"/>
    <x v="1248"/>
    <n v="10.5"/>
    <n v="10.5"/>
    <x v="1"/>
    <x v="0"/>
    <s v="Sliced Ham, Pineapple, Mozzarella Cheese"/>
    <x v="0"/>
  </r>
  <r>
    <n v="13147"/>
    <n v="5758"/>
    <n v="0.5"/>
    <s v="pepperoni_m"/>
    <n v="1"/>
    <x v="43"/>
    <x v="5"/>
    <x v="1248"/>
    <n v="12.5"/>
    <n v="12.5"/>
    <x v="0"/>
    <x v="0"/>
    <s v="Mozzarella Cheese, Pepperoni"/>
    <x v="3"/>
  </r>
  <r>
    <n v="13152"/>
    <n v="5760"/>
    <n v="1"/>
    <s v="pepperoni_m"/>
    <n v="1"/>
    <x v="43"/>
    <x v="5"/>
    <x v="1249"/>
    <n v="12.5"/>
    <n v="12.5"/>
    <x v="0"/>
    <x v="0"/>
    <s v="Mozzarella Cheese, Pepperoni"/>
    <x v="3"/>
  </r>
  <r>
    <n v="13155"/>
    <n v="5761"/>
    <n v="1"/>
    <s v="the_greek_s"/>
    <n v="1"/>
    <x v="43"/>
    <x v="5"/>
    <x v="1250"/>
    <n v="12"/>
    <n v="12"/>
    <x v="1"/>
    <x v="0"/>
    <s v="Kalamata Olives, Feta Cheese, Tomatoes, Garlic, Beef Chuck Roast, Red Onions"/>
    <x v="2"/>
  </r>
  <r>
    <n v="13158"/>
    <n v="5763"/>
    <n v="1"/>
    <s v="big_meat_s"/>
    <n v="1"/>
    <x v="43"/>
    <x v="5"/>
    <x v="1251"/>
    <n v="12"/>
    <n v="12"/>
    <x v="1"/>
    <x v="0"/>
    <s v="Bacon, Pepperoni, Italian Sausage, Chorizo Sausage"/>
    <x v="4"/>
  </r>
  <r>
    <n v="13172"/>
    <n v="5771"/>
    <n v="1"/>
    <s v="pepperoni_s"/>
    <n v="1"/>
    <x v="43"/>
    <x v="5"/>
    <x v="1252"/>
    <n v="9.75"/>
    <n v="9.75"/>
    <x v="1"/>
    <x v="0"/>
    <s v="Mozzarella Cheese, Pepperoni"/>
    <x v="3"/>
  </r>
  <r>
    <n v="13174"/>
    <n v="5772"/>
    <n v="1"/>
    <s v="the_greek_s"/>
    <n v="1"/>
    <x v="43"/>
    <x v="5"/>
    <x v="1253"/>
    <n v="12"/>
    <n v="12"/>
    <x v="1"/>
    <x v="0"/>
    <s v="Kalamata Olives, Feta Cheese, Tomatoes, Garlic, Beef Chuck Roast, Red Onions"/>
    <x v="2"/>
  </r>
  <r>
    <n v="13193"/>
    <n v="5780"/>
    <n v="1"/>
    <s v="sicilian_s"/>
    <n v="1"/>
    <x v="43"/>
    <x v="5"/>
    <x v="1254"/>
    <n v="12.25"/>
    <n v="12.25"/>
    <x v="1"/>
    <x v="2"/>
    <s v="Coarse Sicilian Salami, Tomatoes, Green Olives, Luganega Sausage, Onions, Garlic"/>
    <x v="7"/>
  </r>
  <r>
    <n v="13195"/>
    <n v="5781"/>
    <n v="1"/>
    <s v="mexicana_l"/>
    <n v="1"/>
    <x v="43"/>
    <x v="5"/>
    <x v="1255"/>
    <n v="20.25"/>
    <n v="20.25"/>
    <x v="2"/>
    <x v="1"/>
    <s v="Tomatoes, Red Peppers, Jalapeno Peppers, Red Onions, Cilantro, Corn, Chipotle Sauce, Garlic"/>
    <x v="1"/>
  </r>
  <r>
    <n v="13199"/>
    <n v="5783"/>
    <n v="1"/>
    <s v="pepperoni_s"/>
    <n v="1"/>
    <x v="43"/>
    <x v="5"/>
    <x v="1256"/>
    <n v="9.75"/>
    <n v="9.75"/>
    <x v="1"/>
    <x v="0"/>
    <s v="Mozzarella Cheese, Pepperoni"/>
    <x v="3"/>
  </r>
  <r>
    <n v="13201"/>
    <n v="5784"/>
    <n v="1"/>
    <s v="big_meat_s"/>
    <n v="1"/>
    <x v="43"/>
    <x v="5"/>
    <x v="1257"/>
    <n v="12"/>
    <n v="12"/>
    <x v="1"/>
    <x v="0"/>
    <s v="Bacon, Pepperoni, Italian Sausage, Chorizo Sausage"/>
    <x v="4"/>
  </r>
  <r>
    <n v="13205"/>
    <n v="5786"/>
    <n v="1"/>
    <s v="mexicana_l"/>
    <n v="1"/>
    <x v="43"/>
    <x v="5"/>
    <x v="1258"/>
    <n v="20.25"/>
    <n v="20.25"/>
    <x v="2"/>
    <x v="1"/>
    <s v="Tomatoes, Red Peppers, Jalapeno Peppers, Red Onions, Cilantro, Corn, Chipotle Sauce, Garlic"/>
    <x v="1"/>
  </r>
  <r>
    <n v="13219"/>
    <n v="5794"/>
    <n v="0.5"/>
    <s v="calabrese_m"/>
    <n v="1"/>
    <x v="43"/>
    <x v="5"/>
    <x v="1259"/>
    <n v="16.25"/>
    <n v="16.25"/>
    <x v="0"/>
    <x v="2"/>
    <s v="?duja Salami, Pancetta, Tomatoes, Red Onions, Friggitello Peppers, Garlic"/>
    <x v="6"/>
  </r>
  <r>
    <n v="13220"/>
    <n v="5794"/>
    <n v="0.5"/>
    <s v="hawaiian_s"/>
    <n v="1"/>
    <x v="43"/>
    <x v="5"/>
    <x v="1259"/>
    <n v="10.5"/>
    <n v="10.5"/>
    <x v="1"/>
    <x v="0"/>
    <s v="Sliced Ham, Pineapple, Mozzarella Cheese"/>
    <x v="0"/>
  </r>
  <r>
    <n v="13224"/>
    <n v="5797"/>
    <n v="1"/>
    <s v="big_meat_s"/>
    <n v="1"/>
    <x v="43"/>
    <x v="5"/>
    <x v="1260"/>
    <n v="12"/>
    <n v="12"/>
    <x v="1"/>
    <x v="0"/>
    <s v="Bacon, Pepperoni, Italian Sausage, Chorizo Sausage"/>
    <x v="4"/>
  </r>
  <r>
    <n v="13228"/>
    <n v="5798"/>
    <n v="1"/>
    <s v="pepperoni_s"/>
    <n v="1"/>
    <x v="43"/>
    <x v="5"/>
    <x v="1261"/>
    <n v="9.75"/>
    <n v="9.75"/>
    <x v="1"/>
    <x v="0"/>
    <s v="Mozzarella Cheese, Pepperoni"/>
    <x v="3"/>
  </r>
  <r>
    <n v="13232"/>
    <n v="5800"/>
    <n v="1"/>
    <s v="mexicana_l"/>
    <n v="1"/>
    <x v="43"/>
    <x v="5"/>
    <x v="1262"/>
    <n v="20.25"/>
    <n v="20.25"/>
    <x v="2"/>
    <x v="1"/>
    <s v="Tomatoes, Red Peppers, Jalapeno Peppers, Red Onions, Cilantro, Corn, Chipotle Sauce, Garlic"/>
    <x v="1"/>
  </r>
  <r>
    <n v="13234"/>
    <n v="5802"/>
    <n v="0.5"/>
    <s v="mexicana_l"/>
    <n v="1"/>
    <x v="44"/>
    <x v="6"/>
    <x v="1263"/>
    <n v="20.25"/>
    <n v="20.25"/>
    <x v="2"/>
    <x v="1"/>
    <s v="Tomatoes, Red Peppers, Jalapeno Peppers, Red Onions, Cilantro, Corn, Chipotle Sauce, Garlic"/>
    <x v="1"/>
  </r>
  <r>
    <n v="13235"/>
    <n v="5802"/>
    <n v="0.5"/>
    <s v="napolitana_s"/>
    <n v="1"/>
    <x v="44"/>
    <x v="6"/>
    <x v="1263"/>
    <n v="12"/>
    <n v="12"/>
    <x v="1"/>
    <x v="0"/>
    <s v="Tomatoes, Anchovies, Green Olives, Red Onions, Garlic"/>
    <x v="5"/>
  </r>
  <r>
    <n v="13236"/>
    <n v="5803"/>
    <n v="1"/>
    <s v="hawaiian_s"/>
    <n v="1"/>
    <x v="44"/>
    <x v="6"/>
    <x v="1264"/>
    <n v="10.5"/>
    <n v="10.5"/>
    <x v="1"/>
    <x v="0"/>
    <s v="Sliced Ham, Pineapple, Mozzarella Cheese"/>
    <x v="0"/>
  </r>
  <r>
    <n v="13244"/>
    <n v="5806"/>
    <n v="1"/>
    <s v="brie_carre_s"/>
    <n v="2"/>
    <x v="44"/>
    <x v="6"/>
    <x v="1265"/>
    <n v="23.65"/>
    <n v="47.3"/>
    <x v="1"/>
    <x v="2"/>
    <s v="Brie Carre Cheese, Prosciutto, Caramelized Onions, Pears, Thyme, Garlic"/>
    <x v="8"/>
  </r>
  <r>
    <n v="13265"/>
    <n v="5813"/>
    <n v="1"/>
    <s v="napolitana_m"/>
    <n v="1"/>
    <x v="44"/>
    <x v="6"/>
    <x v="1266"/>
    <n v="16"/>
    <n v="16"/>
    <x v="0"/>
    <x v="0"/>
    <s v="Tomatoes, Anchovies, Green Olives, Red Onions, Garlic"/>
    <x v="5"/>
  </r>
  <r>
    <n v="13266"/>
    <n v="5814"/>
    <n v="1"/>
    <s v="sicilian_l"/>
    <n v="1"/>
    <x v="44"/>
    <x v="6"/>
    <x v="1267"/>
    <n v="20.25"/>
    <n v="20.25"/>
    <x v="2"/>
    <x v="2"/>
    <s v="Coarse Sicilian Salami, Tomatoes, Green Olives, Luganega Sausage, Onions, Garlic"/>
    <x v="7"/>
  </r>
  <r>
    <n v="13267"/>
    <n v="5815"/>
    <n v="1"/>
    <s v="napolitana_l"/>
    <n v="1"/>
    <x v="44"/>
    <x v="6"/>
    <x v="1268"/>
    <n v="20.5"/>
    <n v="20.5"/>
    <x v="2"/>
    <x v="0"/>
    <s v="Tomatoes, Anchovies, Green Olives, Red Onions, Garlic"/>
    <x v="5"/>
  </r>
  <r>
    <n v="13268"/>
    <n v="5816"/>
    <n v="1"/>
    <s v="calabrese_m"/>
    <n v="1"/>
    <x v="44"/>
    <x v="6"/>
    <x v="1269"/>
    <n v="16.25"/>
    <n v="16.25"/>
    <x v="0"/>
    <x v="2"/>
    <s v="?duja Salami, Pancetta, Tomatoes, Red Onions, Friggitello Peppers, Garlic"/>
    <x v="6"/>
  </r>
  <r>
    <n v="13276"/>
    <n v="5820"/>
    <n v="0.33333333333333331"/>
    <s v="hawaiian_s"/>
    <n v="2"/>
    <x v="44"/>
    <x v="6"/>
    <x v="1270"/>
    <n v="10.5"/>
    <n v="21"/>
    <x v="1"/>
    <x v="0"/>
    <s v="Sliced Ham, Pineapple, Mozzarella Cheese"/>
    <x v="0"/>
  </r>
  <r>
    <n v="13280"/>
    <n v="5820"/>
    <n v="0.33333333333333331"/>
    <s v="mexicana_m"/>
    <n v="1"/>
    <x v="44"/>
    <x v="6"/>
    <x v="1270"/>
    <n v="16"/>
    <n v="16"/>
    <x v="0"/>
    <x v="1"/>
    <s v="Tomatoes, Red Peppers, Jalapeno Peppers, Red Onions, Cilantro, Corn, Chipotle Sauce, Garlic"/>
    <x v="1"/>
  </r>
  <r>
    <n v="13281"/>
    <n v="5820"/>
    <n v="0.33333333333333331"/>
    <s v="pepperoni_m"/>
    <n v="1"/>
    <x v="44"/>
    <x v="6"/>
    <x v="1270"/>
    <n v="12.5"/>
    <n v="12.5"/>
    <x v="0"/>
    <x v="0"/>
    <s v="Mozzarella Cheese, Pepperoni"/>
    <x v="3"/>
  </r>
  <r>
    <n v="13288"/>
    <n v="5823"/>
    <n v="1"/>
    <s v="hawaiian_s"/>
    <n v="1"/>
    <x v="44"/>
    <x v="6"/>
    <x v="1271"/>
    <n v="10.5"/>
    <n v="10.5"/>
    <x v="1"/>
    <x v="0"/>
    <s v="Sliced Ham, Pineapple, Mozzarella Cheese"/>
    <x v="0"/>
  </r>
  <r>
    <n v="13289"/>
    <n v="5824"/>
    <n v="0.5"/>
    <s v="calabrese_s"/>
    <n v="1"/>
    <x v="44"/>
    <x v="6"/>
    <x v="1272"/>
    <n v="12.25"/>
    <n v="12.25"/>
    <x v="1"/>
    <x v="2"/>
    <s v="?duja Salami, Pancetta, Tomatoes, Red Onions, Friggitello Peppers, Garlic"/>
    <x v="6"/>
  </r>
  <r>
    <n v="13291"/>
    <n v="5824"/>
    <n v="0.5"/>
    <s v="napolitana_l"/>
    <n v="1"/>
    <x v="44"/>
    <x v="6"/>
    <x v="1272"/>
    <n v="20.5"/>
    <n v="20.5"/>
    <x v="2"/>
    <x v="0"/>
    <s v="Tomatoes, Anchovies, Green Olives, Red Onions, Garlic"/>
    <x v="5"/>
  </r>
  <r>
    <n v="13299"/>
    <n v="5828"/>
    <n v="1"/>
    <s v="sicilian_m"/>
    <n v="1"/>
    <x v="44"/>
    <x v="6"/>
    <x v="1273"/>
    <n v="16.25"/>
    <n v="16.25"/>
    <x v="0"/>
    <x v="2"/>
    <s v="Coarse Sicilian Salami, Tomatoes, Green Olives, Luganega Sausage, Onions, Garlic"/>
    <x v="7"/>
  </r>
  <r>
    <n v="13305"/>
    <n v="5831"/>
    <n v="1"/>
    <s v="mexicana_l"/>
    <n v="1"/>
    <x v="44"/>
    <x v="6"/>
    <x v="1274"/>
    <n v="20.25"/>
    <n v="20.25"/>
    <x v="2"/>
    <x v="1"/>
    <s v="Tomatoes, Red Peppers, Jalapeno Peppers, Red Onions, Cilantro, Corn, Chipotle Sauce, Garlic"/>
    <x v="1"/>
  </r>
  <r>
    <n v="13310"/>
    <n v="5834"/>
    <n v="1"/>
    <s v="hawaiian_l"/>
    <n v="1"/>
    <x v="44"/>
    <x v="6"/>
    <x v="1275"/>
    <n v="16.5"/>
    <n v="16.5"/>
    <x v="2"/>
    <x v="0"/>
    <s v="Sliced Ham, Pineapple, Mozzarella Cheese"/>
    <x v="0"/>
  </r>
  <r>
    <n v="13314"/>
    <n v="5835"/>
    <n v="1"/>
    <s v="pepperoni_m"/>
    <n v="1"/>
    <x v="44"/>
    <x v="6"/>
    <x v="1276"/>
    <n v="12.5"/>
    <n v="12.5"/>
    <x v="0"/>
    <x v="0"/>
    <s v="Mozzarella Cheese, Pepperoni"/>
    <x v="3"/>
  </r>
  <r>
    <n v="13318"/>
    <n v="5837"/>
    <n v="0.5"/>
    <s v="big_meat_s"/>
    <n v="1"/>
    <x v="44"/>
    <x v="6"/>
    <x v="1277"/>
    <n v="12"/>
    <n v="12"/>
    <x v="1"/>
    <x v="0"/>
    <s v="Bacon, Pepperoni, Italian Sausage, Chorizo Sausage"/>
    <x v="4"/>
  </r>
  <r>
    <n v="13320"/>
    <n v="5837"/>
    <n v="0.5"/>
    <s v="mexicana_l"/>
    <n v="1"/>
    <x v="44"/>
    <x v="6"/>
    <x v="1277"/>
    <n v="20.25"/>
    <n v="20.25"/>
    <x v="2"/>
    <x v="1"/>
    <s v="Tomatoes, Red Peppers, Jalapeno Peppers, Red Onions, Cilantro, Corn, Chipotle Sauce, Garlic"/>
    <x v="1"/>
  </r>
  <r>
    <n v="13322"/>
    <n v="5838"/>
    <n v="1"/>
    <s v="pepperoni_s"/>
    <n v="1"/>
    <x v="44"/>
    <x v="6"/>
    <x v="1278"/>
    <n v="9.75"/>
    <n v="9.75"/>
    <x v="1"/>
    <x v="0"/>
    <s v="Mozzarella Cheese, Pepperoni"/>
    <x v="3"/>
  </r>
  <r>
    <n v="13324"/>
    <n v="5839"/>
    <n v="1"/>
    <s v="big_meat_s"/>
    <n v="1"/>
    <x v="44"/>
    <x v="6"/>
    <x v="1279"/>
    <n v="12"/>
    <n v="12"/>
    <x v="1"/>
    <x v="0"/>
    <s v="Bacon, Pepperoni, Italian Sausage, Chorizo Sausage"/>
    <x v="4"/>
  </r>
  <r>
    <n v="13326"/>
    <n v="5840"/>
    <n v="1"/>
    <s v="mexicana_l"/>
    <n v="1"/>
    <x v="44"/>
    <x v="6"/>
    <x v="1280"/>
    <n v="20.25"/>
    <n v="20.25"/>
    <x v="2"/>
    <x v="1"/>
    <s v="Tomatoes, Red Peppers, Jalapeno Peppers, Red Onions, Cilantro, Corn, Chipotle Sauce, Garlic"/>
    <x v="1"/>
  </r>
  <r>
    <n v="13330"/>
    <n v="5842"/>
    <n v="1"/>
    <s v="napolitana_l"/>
    <n v="1"/>
    <x v="44"/>
    <x v="6"/>
    <x v="1281"/>
    <n v="20.5"/>
    <n v="20.5"/>
    <x v="2"/>
    <x v="0"/>
    <s v="Tomatoes, Anchovies, Green Olives, Red Onions, Garlic"/>
    <x v="5"/>
  </r>
  <r>
    <n v="13333"/>
    <n v="5844"/>
    <n v="1"/>
    <s v="napolitana_m"/>
    <n v="1"/>
    <x v="44"/>
    <x v="6"/>
    <x v="1282"/>
    <n v="16"/>
    <n v="16"/>
    <x v="0"/>
    <x v="0"/>
    <s v="Tomatoes, Anchovies, Green Olives, Red Onions, Garlic"/>
    <x v="5"/>
  </r>
  <r>
    <n v="13334"/>
    <n v="5845"/>
    <n v="1"/>
    <s v="hawaiian_l"/>
    <n v="1"/>
    <x v="44"/>
    <x v="6"/>
    <x v="1283"/>
    <n v="16.5"/>
    <n v="16.5"/>
    <x v="2"/>
    <x v="0"/>
    <s v="Sliced Ham, Pineapple, Mozzarella Cheese"/>
    <x v="0"/>
  </r>
  <r>
    <n v="13336"/>
    <n v="5846"/>
    <n v="1"/>
    <s v="calabrese_m"/>
    <n v="1"/>
    <x v="44"/>
    <x v="6"/>
    <x v="1284"/>
    <n v="16.25"/>
    <n v="16.25"/>
    <x v="0"/>
    <x v="2"/>
    <s v="?duja Salami, Pancetta, Tomatoes, Red Onions, Friggitello Peppers, Garlic"/>
    <x v="6"/>
  </r>
  <r>
    <n v="13339"/>
    <n v="5847"/>
    <n v="1"/>
    <s v="big_meat_s"/>
    <n v="1"/>
    <x v="44"/>
    <x v="6"/>
    <x v="1285"/>
    <n v="12"/>
    <n v="12"/>
    <x v="1"/>
    <x v="0"/>
    <s v="Bacon, Pepperoni, Italian Sausage, Chorizo Sausage"/>
    <x v="4"/>
  </r>
  <r>
    <n v="13340"/>
    <n v="5848"/>
    <n v="1"/>
    <s v="mexicana_m"/>
    <n v="1"/>
    <x v="44"/>
    <x v="6"/>
    <x v="1286"/>
    <n v="16"/>
    <n v="16"/>
    <x v="0"/>
    <x v="1"/>
    <s v="Tomatoes, Red Peppers, Jalapeno Peppers, Red Onions, Cilantro, Corn, Chipotle Sauce, Garlic"/>
    <x v="1"/>
  </r>
  <r>
    <n v="13343"/>
    <n v="5850"/>
    <n v="0.5"/>
    <s v="hawaiian_s"/>
    <n v="1"/>
    <x v="44"/>
    <x v="6"/>
    <x v="1287"/>
    <n v="10.5"/>
    <n v="10.5"/>
    <x v="1"/>
    <x v="0"/>
    <s v="Sliced Ham, Pineapple, Mozzarella Cheese"/>
    <x v="0"/>
  </r>
  <r>
    <n v="13344"/>
    <n v="5850"/>
    <n v="0.5"/>
    <s v="the_greek_xl"/>
    <n v="1"/>
    <x v="44"/>
    <x v="6"/>
    <x v="1287"/>
    <n v="25.5"/>
    <n v="25.5"/>
    <x v="3"/>
    <x v="0"/>
    <s v="Kalamata Olives, Feta Cheese, Tomatoes, Garlic, Beef Chuck Roast, Red Onions"/>
    <x v="2"/>
  </r>
  <r>
    <n v="13346"/>
    <n v="5851"/>
    <n v="0.5"/>
    <s v="pepperoni_m"/>
    <n v="1"/>
    <x v="44"/>
    <x v="6"/>
    <x v="1288"/>
    <n v="12.5"/>
    <n v="12.5"/>
    <x v="0"/>
    <x v="0"/>
    <s v="Mozzarella Cheese, Pepperoni"/>
    <x v="3"/>
  </r>
  <r>
    <n v="13347"/>
    <n v="5851"/>
    <n v="0.5"/>
    <s v="pepperoni_s"/>
    <n v="1"/>
    <x v="44"/>
    <x v="6"/>
    <x v="1288"/>
    <n v="9.75"/>
    <n v="9.75"/>
    <x v="1"/>
    <x v="0"/>
    <s v="Mozzarella Cheese, Pepperoni"/>
    <x v="3"/>
  </r>
  <r>
    <n v="13350"/>
    <n v="5852"/>
    <n v="1"/>
    <s v="calabrese_l"/>
    <n v="1"/>
    <x v="44"/>
    <x v="6"/>
    <x v="1289"/>
    <n v="20.25"/>
    <n v="20.25"/>
    <x v="2"/>
    <x v="2"/>
    <s v="?duja Salami, Pancetta, Tomatoes, Red Onions, Friggitello Peppers, Garlic"/>
    <x v="6"/>
  </r>
  <r>
    <n v="13351"/>
    <n v="5853"/>
    <n v="1"/>
    <s v="calabrese_m"/>
    <n v="1"/>
    <x v="44"/>
    <x v="6"/>
    <x v="1290"/>
    <n v="16.25"/>
    <n v="16.25"/>
    <x v="0"/>
    <x v="2"/>
    <s v="?duja Salami, Pancetta, Tomatoes, Red Onions, Friggitello Peppers, Garlic"/>
    <x v="6"/>
  </r>
  <r>
    <n v="13355"/>
    <n v="5855"/>
    <n v="1"/>
    <s v="hawaiian_l"/>
    <n v="1"/>
    <x v="44"/>
    <x v="6"/>
    <x v="1291"/>
    <n v="16.5"/>
    <n v="16.5"/>
    <x v="2"/>
    <x v="0"/>
    <s v="Sliced Ham, Pineapple, Mozzarella Cheese"/>
    <x v="0"/>
  </r>
  <r>
    <n v="13356"/>
    <n v="5856"/>
    <n v="1"/>
    <s v="the_greek_l"/>
    <n v="1"/>
    <x v="44"/>
    <x v="6"/>
    <x v="1292"/>
    <n v="20.5"/>
    <n v="20.5"/>
    <x v="2"/>
    <x v="0"/>
    <s v="Kalamata Olives, Feta Cheese, Tomatoes, Garlic, Beef Chuck Roast, Red Onions"/>
    <x v="2"/>
  </r>
  <r>
    <n v="13362"/>
    <n v="5860"/>
    <n v="1"/>
    <s v="napolitana_m"/>
    <n v="1"/>
    <x v="44"/>
    <x v="6"/>
    <x v="1293"/>
    <n v="16"/>
    <n v="16"/>
    <x v="0"/>
    <x v="0"/>
    <s v="Tomatoes, Anchovies, Green Olives, Red Onions, Garlic"/>
    <x v="5"/>
  </r>
  <r>
    <n v="13368"/>
    <n v="5863"/>
    <n v="1"/>
    <s v="mexicana_l"/>
    <n v="1"/>
    <x v="45"/>
    <x v="3"/>
    <x v="1294"/>
    <n v="20.25"/>
    <n v="20.25"/>
    <x v="2"/>
    <x v="1"/>
    <s v="Tomatoes, Red Peppers, Jalapeno Peppers, Red Onions, Cilantro, Corn, Chipotle Sauce, Garlic"/>
    <x v="1"/>
  </r>
  <r>
    <n v="13371"/>
    <n v="5864"/>
    <n v="0.33333333333333331"/>
    <s v="mexicana_l"/>
    <n v="1"/>
    <x v="45"/>
    <x v="3"/>
    <x v="1295"/>
    <n v="20.25"/>
    <n v="20.25"/>
    <x v="2"/>
    <x v="1"/>
    <s v="Tomatoes, Red Peppers, Jalapeno Peppers, Red Onions, Cilantro, Corn, Chipotle Sauce, Garlic"/>
    <x v="1"/>
  </r>
  <r>
    <n v="13372"/>
    <n v="5864"/>
    <n v="0.33333333333333331"/>
    <s v="pepperoni_m"/>
    <n v="1"/>
    <x v="45"/>
    <x v="3"/>
    <x v="1295"/>
    <n v="12.5"/>
    <n v="12.5"/>
    <x v="0"/>
    <x v="0"/>
    <s v="Mozzarella Cheese, Pepperoni"/>
    <x v="3"/>
  </r>
  <r>
    <n v="13373"/>
    <n v="5864"/>
    <n v="0.33333333333333331"/>
    <s v="sicilian_m"/>
    <n v="1"/>
    <x v="45"/>
    <x v="3"/>
    <x v="1295"/>
    <n v="16.25"/>
    <n v="16.25"/>
    <x v="0"/>
    <x v="2"/>
    <s v="Coarse Sicilian Salami, Tomatoes, Green Olives, Luganega Sausage, Onions, Garlic"/>
    <x v="7"/>
  </r>
  <r>
    <n v="13386"/>
    <n v="5869"/>
    <n v="0.5"/>
    <s v="napolitana_m"/>
    <n v="1"/>
    <x v="45"/>
    <x v="3"/>
    <x v="1296"/>
    <n v="16"/>
    <n v="16"/>
    <x v="0"/>
    <x v="0"/>
    <s v="Tomatoes, Anchovies, Green Olives, Red Onions, Garlic"/>
    <x v="5"/>
  </r>
  <r>
    <n v="13387"/>
    <n v="5869"/>
    <n v="0.5"/>
    <s v="pepperoni_l"/>
    <n v="1"/>
    <x v="45"/>
    <x v="3"/>
    <x v="1296"/>
    <n v="15.25"/>
    <n v="15.25"/>
    <x v="2"/>
    <x v="0"/>
    <s v="Mozzarella Cheese, Pepperoni"/>
    <x v="3"/>
  </r>
  <r>
    <n v="13389"/>
    <n v="5870"/>
    <n v="1"/>
    <s v="napolitana_l"/>
    <n v="1"/>
    <x v="45"/>
    <x v="3"/>
    <x v="1297"/>
    <n v="20.5"/>
    <n v="20.5"/>
    <x v="2"/>
    <x v="0"/>
    <s v="Tomatoes, Anchovies, Green Olives, Red Onions, Garlic"/>
    <x v="5"/>
  </r>
  <r>
    <n v="13394"/>
    <n v="5875"/>
    <n v="1"/>
    <s v="hawaiian_s"/>
    <n v="1"/>
    <x v="45"/>
    <x v="3"/>
    <x v="1298"/>
    <n v="10.5"/>
    <n v="10.5"/>
    <x v="1"/>
    <x v="0"/>
    <s v="Sliced Ham, Pineapple, Mozzarella Cheese"/>
    <x v="0"/>
  </r>
  <r>
    <n v="13398"/>
    <n v="5878"/>
    <n v="0.5"/>
    <s v="mexicana_l"/>
    <n v="1"/>
    <x v="45"/>
    <x v="3"/>
    <x v="1299"/>
    <n v="20.25"/>
    <n v="20.25"/>
    <x v="2"/>
    <x v="1"/>
    <s v="Tomatoes, Red Peppers, Jalapeno Peppers, Red Onions, Cilantro, Corn, Chipotle Sauce, Garlic"/>
    <x v="1"/>
  </r>
  <r>
    <n v="13399"/>
    <n v="5878"/>
    <n v="0.5"/>
    <s v="napolitana_l"/>
    <n v="1"/>
    <x v="45"/>
    <x v="3"/>
    <x v="1299"/>
    <n v="20.5"/>
    <n v="20.5"/>
    <x v="2"/>
    <x v="0"/>
    <s v="Tomatoes, Anchovies, Green Olives, Red Onions, Garlic"/>
    <x v="5"/>
  </r>
  <r>
    <n v="13401"/>
    <n v="5880"/>
    <n v="0.25"/>
    <s v="calabrese_l"/>
    <n v="1"/>
    <x v="45"/>
    <x v="3"/>
    <x v="1300"/>
    <n v="20.25"/>
    <n v="20.25"/>
    <x v="2"/>
    <x v="2"/>
    <s v="?duja Salami, Pancetta, Tomatoes, Red Onions, Friggitello Peppers, Garlic"/>
    <x v="6"/>
  </r>
  <r>
    <n v="13402"/>
    <n v="5880"/>
    <n v="0.25"/>
    <s v="calabrese_m"/>
    <n v="1"/>
    <x v="45"/>
    <x v="3"/>
    <x v="1300"/>
    <n v="16.25"/>
    <n v="16.25"/>
    <x v="0"/>
    <x v="2"/>
    <s v="?duja Salami, Pancetta, Tomatoes, Red Onions, Friggitello Peppers, Garlic"/>
    <x v="6"/>
  </r>
  <r>
    <n v="13403"/>
    <n v="5880"/>
    <n v="0.25"/>
    <s v="sicilian_s"/>
    <n v="1"/>
    <x v="45"/>
    <x v="3"/>
    <x v="1300"/>
    <n v="12.25"/>
    <n v="12.25"/>
    <x v="1"/>
    <x v="2"/>
    <s v="Coarse Sicilian Salami, Tomatoes, Green Olives, Luganega Sausage, Onions, Garlic"/>
    <x v="7"/>
  </r>
  <r>
    <n v="13405"/>
    <n v="5880"/>
    <n v="0.25"/>
    <s v="the_greek_xl"/>
    <n v="1"/>
    <x v="45"/>
    <x v="3"/>
    <x v="1300"/>
    <n v="25.5"/>
    <n v="25.5"/>
    <x v="3"/>
    <x v="0"/>
    <s v="Kalamata Olives, Feta Cheese, Tomatoes, Garlic, Beef Chuck Roast, Red Onions"/>
    <x v="2"/>
  </r>
  <r>
    <n v="13406"/>
    <n v="5881"/>
    <n v="1"/>
    <s v="mexicana_l"/>
    <n v="2"/>
    <x v="45"/>
    <x v="3"/>
    <x v="1301"/>
    <n v="20.25"/>
    <n v="40.5"/>
    <x v="2"/>
    <x v="1"/>
    <s v="Tomatoes, Red Peppers, Jalapeno Peppers, Red Onions, Cilantro, Corn, Chipotle Sauce, Garlic"/>
    <x v="1"/>
  </r>
  <r>
    <n v="13412"/>
    <n v="5884"/>
    <n v="0.5"/>
    <s v="mexicana_l"/>
    <n v="1"/>
    <x v="45"/>
    <x v="3"/>
    <x v="1302"/>
    <n v="20.25"/>
    <n v="20.25"/>
    <x v="2"/>
    <x v="1"/>
    <s v="Tomatoes, Red Peppers, Jalapeno Peppers, Red Onions, Cilantro, Corn, Chipotle Sauce, Garlic"/>
    <x v="1"/>
  </r>
  <r>
    <n v="13413"/>
    <n v="5884"/>
    <n v="0.5"/>
    <s v="pepperoni_s"/>
    <n v="1"/>
    <x v="45"/>
    <x v="3"/>
    <x v="1302"/>
    <n v="9.75"/>
    <n v="9.75"/>
    <x v="1"/>
    <x v="0"/>
    <s v="Mozzarella Cheese, Pepperoni"/>
    <x v="3"/>
  </r>
  <r>
    <n v="13420"/>
    <n v="5886"/>
    <n v="1"/>
    <s v="napolitana_m"/>
    <n v="1"/>
    <x v="45"/>
    <x v="3"/>
    <x v="1303"/>
    <n v="16"/>
    <n v="16"/>
    <x v="0"/>
    <x v="0"/>
    <s v="Tomatoes, Anchovies, Green Olives, Red Onions, Garlic"/>
    <x v="5"/>
  </r>
  <r>
    <n v="13423"/>
    <n v="5887"/>
    <n v="1"/>
    <s v="the_greek_xl"/>
    <n v="1"/>
    <x v="45"/>
    <x v="3"/>
    <x v="1304"/>
    <n v="25.5"/>
    <n v="25.5"/>
    <x v="3"/>
    <x v="0"/>
    <s v="Kalamata Olives, Feta Cheese, Tomatoes, Garlic, Beef Chuck Roast, Red Onions"/>
    <x v="2"/>
  </r>
  <r>
    <n v="13425"/>
    <n v="5888"/>
    <n v="1"/>
    <s v="the_greek_m"/>
    <n v="1"/>
    <x v="45"/>
    <x v="3"/>
    <x v="1305"/>
    <n v="16"/>
    <n v="16"/>
    <x v="0"/>
    <x v="0"/>
    <s v="Kalamata Olives, Feta Cheese, Tomatoes, Garlic, Beef Chuck Roast, Red Onions"/>
    <x v="2"/>
  </r>
  <r>
    <n v="13426"/>
    <n v="5889"/>
    <n v="1"/>
    <s v="pepperoni_m"/>
    <n v="1"/>
    <x v="45"/>
    <x v="3"/>
    <x v="1306"/>
    <n v="12.5"/>
    <n v="12.5"/>
    <x v="0"/>
    <x v="0"/>
    <s v="Mozzarella Cheese, Pepperoni"/>
    <x v="3"/>
  </r>
  <r>
    <n v="13428"/>
    <n v="5890"/>
    <n v="1"/>
    <s v="napolitana_l"/>
    <n v="1"/>
    <x v="45"/>
    <x v="3"/>
    <x v="1307"/>
    <n v="20.5"/>
    <n v="20.5"/>
    <x v="2"/>
    <x v="0"/>
    <s v="Tomatoes, Anchovies, Green Olives, Red Onions, Garlic"/>
    <x v="5"/>
  </r>
  <r>
    <n v="13432"/>
    <n v="5892"/>
    <n v="1"/>
    <s v="big_meat_s"/>
    <n v="1"/>
    <x v="45"/>
    <x v="3"/>
    <x v="1308"/>
    <n v="12"/>
    <n v="12"/>
    <x v="1"/>
    <x v="0"/>
    <s v="Bacon, Pepperoni, Italian Sausage, Chorizo Sausage"/>
    <x v="4"/>
  </r>
  <r>
    <n v="13438"/>
    <n v="5894"/>
    <n v="1"/>
    <s v="mexicana_l"/>
    <n v="1"/>
    <x v="45"/>
    <x v="3"/>
    <x v="1309"/>
    <n v="20.25"/>
    <n v="20.25"/>
    <x v="2"/>
    <x v="1"/>
    <s v="Tomatoes, Red Peppers, Jalapeno Peppers, Red Onions, Cilantro, Corn, Chipotle Sauce, Garlic"/>
    <x v="1"/>
  </r>
  <r>
    <n v="13439"/>
    <n v="5895"/>
    <n v="0.5"/>
    <s v="sicilian_l"/>
    <n v="1"/>
    <x v="45"/>
    <x v="3"/>
    <x v="1310"/>
    <n v="20.25"/>
    <n v="20.25"/>
    <x v="2"/>
    <x v="2"/>
    <s v="Coarse Sicilian Salami, Tomatoes, Green Olives, Luganega Sausage, Onions, Garlic"/>
    <x v="7"/>
  </r>
  <r>
    <n v="13440"/>
    <n v="5895"/>
    <n v="0.5"/>
    <s v="the_greek_s"/>
    <n v="1"/>
    <x v="45"/>
    <x v="3"/>
    <x v="1310"/>
    <n v="12"/>
    <n v="12"/>
    <x v="1"/>
    <x v="0"/>
    <s v="Kalamata Olives, Feta Cheese, Tomatoes, Garlic, Beef Chuck Roast, Red Onions"/>
    <x v="2"/>
  </r>
  <r>
    <n v="13446"/>
    <n v="5897"/>
    <n v="1"/>
    <s v="the_greek_m"/>
    <n v="1"/>
    <x v="45"/>
    <x v="3"/>
    <x v="1311"/>
    <n v="16"/>
    <n v="16"/>
    <x v="0"/>
    <x v="0"/>
    <s v="Kalamata Olives, Feta Cheese, Tomatoes, Garlic, Beef Chuck Roast, Red Onions"/>
    <x v="2"/>
  </r>
  <r>
    <n v="13447"/>
    <n v="5898"/>
    <n v="1"/>
    <s v="big_meat_s"/>
    <n v="1"/>
    <x v="45"/>
    <x v="3"/>
    <x v="1312"/>
    <n v="12"/>
    <n v="12"/>
    <x v="1"/>
    <x v="0"/>
    <s v="Bacon, Pepperoni, Italian Sausage, Chorizo Sausage"/>
    <x v="4"/>
  </r>
  <r>
    <n v="13451"/>
    <n v="5900"/>
    <n v="0.5"/>
    <s v="brie_carre_s"/>
    <n v="1"/>
    <x v="45"/>
    <x v="3"/>
    <x v="1313"/>
    <n v="23.65"/>
    <n v="23.65"/>
    <x v="1"/>
    <x v="2"/>
    <s v="Brie Carre Cheese, Prosciutto, Caramelized Onions, Pears, Thyme, Garlic"/>
    <x v="8"/>
  </r>
  <r>
    <n v="13453"/>
    <n v="5900"/>
    <n v="0.5"/>
    <s v="pepperoni_l"/>
    <n v="1"/>
    <x v="45"/>
    <x v="3"/>
    <x v="1313"/>
    <n v="15.25"/>
    <n v="15.25"/>
    <x v="2"/>
    <x v="0"/>
    <s v="Mozzarella Cheese, Pepperoni"/>
    <x v="3"/>
  </r>
  <r>
    <n v="13458"/>
    <n v="5903"/>
    <n v="0.5"/>
    <s v="big_meat_s"/>
    <n v="1"/>
    <x v="45"/>
    <x v="3"/>
    <x v="1314"/>
    <n v="12"/>
    <n v="12"/>
    <x v="1"/>
    <x v="0"/>
    <s v="Bacon, Pepperoni, Italian Sausage, Chorizo Sausage"/>
    <x v="4"/>
  </r>
  <r>
    <n v="13459"/>
    <n v="5903"/>
    <n v="0.5"/>
    <s v="napolitana_l"/>
    <n v="1"/>
    <x v="45"/>
    <x v="3"/>
    <x v="1314"/>
    <n v="20.5"/>
    <n v="20.5"/>
    <x v="2"/>
    <x v="0"/>
    <s v="Tomatoes, Anchovies, Green Olives, Red Onions, Garlic"/>
    <x v="5"/>
  </r>
  <r>
    <n v="13463"/>
    <n v="5904"/>
    <n v="1"/>
    <s v="pepperoni_m"/>
    <n v="1"/>
    <x v="45"/>
    <x v="3"/>
    <x v="1315"/>
    <n v="12.5"/>
    <n v="12.5"/>
    <x v="0"/>
    <x v="0"/>
    <s v="Mozzarella Cheese, Pepperoni"/>
    <x v="3"/>
  </r>
  <r>
    <n v="13468"/>
    <n v="5906"/>
    <n v="1"/>
    <s v="napolitana_m"/>
    <n v="1"/>
    <x v="45"/>
    <x v="3"/>
    <x v="1316"/>
    <n v="16"/>
    <n v="16"/>
    <x v="0"/>
    <x v="0"/>
    <s v="Tomatoes, Anchovies, Green Olives, Red Onions, Garlic"/>
    <x v="5"/>
  </r>
  <r>
    <n v="13473"/>
    <n v="5907"/>
    <n v="1"/>
    <s v="pepperoni_s"/>
    <n v="1"/>
    <x v="45"/>
    <x v="3"/>
    <x v="1317"/>
    <n v="9.75"/>
    <n v="9.75"/>
    <x v="1"/>
    <x v="0"/>
    <s v="Mozzarella Cheese, Pepperoni"/>
    <x v="3"/>
  </r>
  <r>
    <n v="13477"/>
    <n v="5909"/>
    <n v="0.33333333333333331"/>
    <s v="big_meat_s"/>
    <n v="1"/>
    <x v="45"/>
    <x v="3"/>
    <x v="1318"/>
    <n v="12"/>
    <n v="12"/>
    <x v="1"/>
    <x v="0"/>
    <s v="Bacon, Pepperoni, Italian Sausage, Chorizo Sausage"/>
    <x v="4"/>
  </r>
  <r>
    <n v="13478"/>
    <n v="5909"/>
    <n v="0.33333333333333331"/>
    <s v="hawaiian_s"/>
    <n v="1"/>
    <x v="45"/>
    <x v="3"/>
    <x v="1318"/>
    <n v="10.5"/>
    <n v="10.5"/>
    <x v="1"/>
    <x v="0"/>
    <s v="Sliced Ham, Pineapple, Mozzarella Cheese"/>
    <x v="0"/>
  </r>
  <r>
    <n v="13479"/>
    <n v="5909"/>
    <n v="0.33333333333333331"/>
    <s v="sicilian_s"/>
    <n v="1"/>
    <x v="45"/>
    <x v="3"/>
    <x v="1318"/>
    <n v="12.25"/>
    <n v="12.25"/>
    <x v="1"/>
    <x v="2"/>
    <s v="Coarse Sicilian Salami, Tomatoes, Green Olives, Luganega Sausage, Onions, Garlic"/>
    <x v="7"/>
  </r>
  <r>
    <n v="13483"/>
    <n v="5912"/>
    <n v="0.5"/>
    <s v="hawaiian_l"/>
    <n v="1"/>
    <x v="45"/>
    <x v="3"/>
    <x v="1319"/>
    <n v="16.5"/>
    <n v="16.5"/>
    <x v="2"/>
    <x v="0"/>
    <s v="Sliced Ham, Pineapple, Mozzarella Cheese"/>
    <x v="0"/>
  </r>
  <r>
    <n v="13484"/>
    <n v="5912"/>
    <n v="0.5"/>
    <s v="the_greek_s"/>
    <n v="1"/>
    <x v="45"/>
    <x v="3"/>
    <x v="1319"/>
    <n v="12"/>
    <n v="12"/>
    <x v="1"/>
    <x v="0"/>
    <s v="Kalamata Olives, Feta Cheese, Tomatoes, Garlic, Beef Chuck Roast, Red Onions"/>
    <x v="2"/>
  </r>
  <r>
    <n v="13485"/>
    <n v="5913"/>
    <n v="1"/>
    <s v="the_greek_xl"/>
    <n v="1"/>
    <x v="46"/>
    <x v="1"/>
    <x v="1320"/>
    <n v="25.5"/>
    <n v="25.5"/>
    <x v="3"/>
    <x v="0"/>
    <s v="Kalamata Olives, Feta Cheese, Tomatoes, Garlic, Beef Chuck Roast, Red Onions"/>
    <x v="2"/>
  </r>
  <r>
    <n v="13489"/>
    <n v="5916"/>
    <n v="1"/>
    <s v="big_meat_s"/>
    <n v="1"/>
    <x v="46"/>
    <x v="1"/>
    <x v="1321"/>
    <n v="12"/>
    <n v="12"/>
    <x v="1"/>
    <x v="0"/>
    <s v="Bacon, Pepperoni, Italian Sausage, Chorizo Sausage"/>
    <x v="4"/>
  </r>
  <r>
    <n v="13495"/>
    <n v="5921"/>
    <n v="1"/>
    <s v="pepperoni_s"/>
    <n v="1"/>
    <x v="46"/>
    <x v="1"/>
    <x v="1322"/>
    <n v="9.75"/>
    <n v="9.75"/>
    <x v="1"/>
    <x v="0"/>
    <s v="Mozzarella Cheese, Pepperoni"/>
    <x v="3"/>
  </r>
  <r>
    <n v="13504"/>
    <n v="5926"/>
    <n v="0.33333333333333331"/>
    <s v="hawaiian_l"/>
    <n v="1"/>
    <x v="46"/>
    <x v="1"/>
    <x v="1323"/>
    <n v="16.5"/>
    <n v="16.5"/>
    <x v="2"/>
    <x v="0"/>
    <s v="Sliced Ham, Pineapple, Mozzarella Cheese"/>
    <x v="0"/>
  </r>
  <r>
    <n v="13509"/>
    <n v="5926"/>
    <n v="0.33333333333333331"/>
    <s v="the_greek_m"/>
    <n v="1"/>
    <x v="46"/>
    <x v="1"/>
    <x v="1323"/>
    <n v="16"/>
    <n v="16"/>
    <x v="0"/>
    <x v="0"/>
    <s v="Kalamata Olives, Feta Cheese, Tomatoes, Garlic, Beef Chuck Roast, Red Onions"/>
    <x v="2"/>
  </r>
  <r>
    <n v="13510"/>
    <n v="5926"/>
    <n v="0.33333333333333331"/>
    <s v="the_greek_xl"/>
    <n v="1"/>
    <x v="46"/>
    <x v="1"/>
    <x v="1323"/>
    <n v="25.5"/>
    <n v="25.5"/>
    <x v="3"/>
    <x v="0"/>
    <s v="Kalamata Olives, Feta Cheese, Tomatoes, Garlic, Beef Chuck Roast, Red Onions"/>
    <x v="2"/>
  </r>
  <r>
    <n v="13511"/>
    <n v="5927"/>
    <n v="0.5"/>
    <s v="mexicana_l"/>
    <n v="1"/>
    <x v="46"/>
    <x v="1"/>
    <x v="1324"/>
    <n v="20.25"/>
    <n v="20.25"/>
    <x v="2"/>
    <x v="1"/>
    <s v="Tomatoes, Red Peppers, Jalapeno Peppers, Red Onions, Cilantro, Corn, Chipotle Sauce, Garlic"/>
    <x v="1"/>
  </r>
  <r>
    <n v="13512"/>
    <n v="5927"/>
    <n v="0.5"/>
    <s v="the_greek_xxl"/>
    <n v="1"/>
    <x v="46"/>
    <x v="1"/>
    <x v="1324"/>
    <n v="35.950000000000003"/>
    <n v="35.950000000000003"/>
    <x v="4"/>
    <x v="0"/>
    <s v="Kalamata Olives, Feta Cheese, Tomatoes, Garlic, Beef Chuck Roast, Red Onions"/>
    <x v="2"/>
  </r>
  <r>
    <n v="13513"/>
    <n v="5928"/>
    <n v="1"/>
    <s v="the_greek_xl"/>
    <n v="1"/>
    <x v="46"/>
    <x v="1"/>
    <x v="1325"/>
    <n v="25.5"/>
    <n v="25.5"/>
    <x v="3"/>
    <x v="0"/>
    <s v="Kalamata Olives, Feta Cheese, Tomatoes, Garlic, Beef Chuck Roast, Red Onions"/>
    <x v="2"/>
  </r>
  <r>
    <n v="13518"/>
    <n v="5930"/>
    <n v="0.5"/>
    <s v="pepperoni_m"/>
    <n v="1"/>
    <x v="46"/>
    <x v="1"/>
    <x v="15"/>
    <n v="12.5"/>
    <n v="12.5"/>
    <x v="0"/>
    <x v="0"/>
    <s v="Mozzarella Cheese, Pepperoni"/>
    <x v="3"/>
  </r>
  <r>
    <n v="13520"/>
    <n v="5930"/>
    <n v="0.5"/>
    <s v="the_greek_l"/>
    <n v="1"/>
    <x v="46"/>
    <x v="1"/>
    <x v="15"/>
    <n v="20.5"/>
    <n v="20.5"/>
    <x v="2"/>
    <x v="0"/>
    <s v="Kalamata Olives, Feta Cheese, Tomatoes, Garlic, Beef Chuck Roast, Red Onions"/>
    <x v="2"/>
  </r>
  <r>
    <n v="13526"/>
    <n v="5934"/>
    <n v="0.5"/>
    <s v="sicilian_s"/>
    <n v="1"/>
    <x v="46"/>
    <x v="1"/>
    <x v="1326"/>
    <n v="12.25"/>
    <n v="12.25"/>
    <x v="1"/>
    <x v="2"/>
    <s v="Coarse Sicilian Salami, Tomatoes, Green Olives, Luganega Sausage, Onions, Garlic"/>
    <x v="7"/>
  </r>
  <r>
    <n v="13528"/>
    <n v="5934"/>
    <n v="0.5"/>
    <s v="the_greek_xl"/>
    <n v="1"/>
    <x v="46"/>
    <x v="1"/>
    <x v="1326"/>
    <n v="25.5"/>
    <n v="25.5"/>
    <x v="3"/>
    <x v="0"/>
    <s v="Kalamata Olives, Feta Cheese, Tomatoes, Garlic, Beef Chuck Roast, Red Onions"/>
    <x v="2"/>
  </r>
  <r>
    <n v="13530"/>
    <n v="5935"/>
    <n v="1"/>
    <s v="hawaiian_l"/>
    <n v="1"/>
    <x v="46"/>
    <x v="1"/>
    <x v="1327"/>
    <n v="16.5"/>
    <n v="16.5"/>
    <x v="2"/>
    <x v="0"/>
    <s v="Sliced Ham, Pineapple, Mozzarella Cheese"/>
    <x v="0"/>
  </r>
  <r>
    <n v="13548"/>
    <n v="5944"/>
    <n v="1"/>
    <s v="hawaiian_s"/>
    <n v="1"/>
    <x v="46"/>
    <x v="1"/>
    <x v="1328"/>
    <n v="10.5"/>
    <n v="10.5"/>
    <x v="1"/>
    <x v="0"/>
    <s v="Sliced Ham, Pineapple, Mozzarella Cheese"/>
    <x v="0"/>
  </r>
  <r>
    <n v="13551"/>
    <n v="5945"/>
    <n v="1"/>
    <s v="hawaiian_m"/>
    <n v="1"/>
    <x v="46"/>
    <x v="1"/>
    <x v="1329"/>
    <n v="13.25"/>
    <n v="13.25"/>
    <x v="0"/>
    <x v="0"/>
    <s v="Sliced Ham, Pineapple, Mozzarella Cheese"/>
    <x v="0"/>
  </r>
  <r>
    <n v="13554"/>
    <n v="5946"/>
    <n v="0.5"/>
    <s v="hawaiian_s"/>
    <n v="1"/>
    <x v="46"/>
    <x v="1"/>
    <x v="1330"/>
    <n v="10.5"/>
    <n v="10.5"/>
    <x v="1"/>
    <x v="0"/>
    <s v="Sliced Ham, Pineapple, Mozzarella Cheese"/>
    <x v="0"/>
  </r>
  <r>
    <n v="13555"/>
    <n v="5946"/>
    <n v="0.5"/>
    <s v="sicilian_l"/>
    <n v="1"/>
    <x v="46"/>
    <x v="1"/>
    <x v="1330"/>
    <n v="20.25"/>
    <n v="20.25"/>
    <x v="2"/>
    <x v="2"/>
    <s v="Coarse Sicilian Salami, Tomatoes, Green Olives, Luganega Sausage, Onions, Garlic"/>
    <x v="7"/>
  </r>
  <r>
    <n v="13559"/>
    <n v="5948"/>
    <n v="1"/>
    <s v="mexicana_l"/>
    <n v="1"/>
    <x v="46"/>
    <x v="1"/>
    <x v="1331"/>
    <n v="20.25"/>
    <n v="20.25"/>
    <x v="2"/>
    <x v="1"/>
    <s v="Tomatoes, Red Peppers, Jalapeno Peppers, Red Onions, Cilantro, Corn, Chipotle Sauce, Garlic"/>
    <x v="1"/>
  </r>
  <r>
    <n v="13561"/>
    <n v="5949"/>
    <n v="1"/>
    <s v="hawaiian_s"/>
    <n v="1"/>
    <x v="46"/>
    <x v="1"/>
    <x v="1332"/>
    <n v="10.5"/>
    <n v="10.5"/>
    <x v="1"/>
    <x v="0"/>
    <s v="Sliced Ham, Pineapple, Mozzarella Cheese"/>
    <x v="0"/>
  </r>
  <r>
    <n v="13565"/>
    <n v="5950"/>
    <n v="0.5"/>
    <s v="mexicana_m"/>
    <n v="1"/>
    <x v="46"/>
    <x v="1"/>
    <x v="1333"/>
    <n v="16"/>
    <n v="16"/>
    <x v="0"/>
    <x v="1"/>
    <s v="Tomatoes, Red Peppers, Jalapeno Peppers, Red Onions, Cilantro, Corn, Chipotle Sauce, Garlic"/>
    <x v="1"/>
  </r>
  <r>
    <n v="13566"/>
    <n v="5950"/>
    <n v="0.5"/>
    <s v="sicilian_m"/>
    <n v="1"/>
    <x v="46"/>
    <x v="1"/>
    <x v="1333"/>
    <n v="16.25"/>
    <n v="16.25"/>
    <x v="0"/>
    <x v="2"/>
    <s v="Coarse Sicilian Salami, Tomatoes, Green Olives, Luganega Sausage, Onions, Garlic"/>
    <x v="7"/>
  </r>
  <r>
    <n v="13584"/>
    <n v="5956"/>
    <n v="1"/>
    <s v="mexicana_l"/>
    <n v="1"/>
    <x v="46"/>
    <x v="1"/>
    <x v="1334"/>
    <n v="20.25"/>
    <n v="20.25"/>
    <x v="2"/>
    <x v="1"/>
    <s v="Tomatoes, Red Peppers, Jalapeno Peppers, Red Onions, Cilantro, Corn, Chipotle Sauce, Garlic"/>
    <x v="1"/>
  </r>
  <r>
    <n v="13593"/>
    <n v="5960"/>
    <n v="0.5"/>
    <s v="hawaiian_s"/>
    <n v="1"/>
    <x v="46"/>
    <x v="1"/>
    <x v="1335"/>
    <n v="10.5"/>
    <n v="10.5"/>
    <x v="1"/>
    <x v="0"/>
    <s v="Sliced Ham, Pineapple, Mozzarella Cheese"/>
    <x v="0"/>
  </r>
  <r>
    <n v="13595"/>
    <n v="5960"/>
    <n v="0.5"/>
    <s v="the_greek_xl"/>
    <n v="1"/>
    <x v="46"/>
    <x v="1"/>
    <x v="1335"/>
    <n v="25.5"/>
    <n v="25.5"/>
    <x v="3"/>
    <x v="0"/>
    <s v="Kalamata Olives, Feta Cheese, Tomatoes, Garlic, Beef Chuck Roast, Red Onions"/>
    <x v="2"/>
  </r>
  <r>
    <n v="13597"/>
    <n v="5961"/>
    <n v="1"/>
    <s v="the_greek_l"/>
    <n v="1"/>
    <x v="46"/>
    <x v="1"/>
    <x v="1336"/>
    <n v="20.5"/>
    <n v="20.5"/>
    <x v="2"/>
    <x v="0"/>
    <s v="Kalamata Olives, Feta Cheese, Tomatoes, Garlic, Beef Chuck Roast, Red Onions"/>
    <x v="2"/>
  </r>
  <r>
    <n v="13598"/>
    <n v="5962"/>
    <n v="1"/>
    <s v="pepperoni_m"/>
    <n v="1"/>
    <x v="46"/>
    <x v="1"/>
    <x v="1337"/>
    <n v="12.5"/>
    <n v="12.5"/>
    <x v="0"/>
    <x v="0"/>
    <s v="Mozzarella Cheese, Pepperoni"/>
    <x v="3"/>
  </r>
  <r>
    <n v="13599"/>
    <n v="5963"/>
    <n v="0.5"/>
    <s v="hawaiian_l"/>
    <n v="1"/>
    <x v="46"/>
    <x v="1"/>
    <x v="1338"/>
    <n v="16.5"/>
    <n v="16.5"/>
    <x v="2"/>
    <x v="0"/>
    <s v="Sliced Ham, Pineapple, Mozzarella Cheese"/>
    <x v="0"/>
  </r>
  <r>
    <n v="13601"/>
    <n v="5963"/>
    <n v="0.5"/>
    <s v="napolitana_s"/>
    <n v="1"/>
    <x v="46"/>
    <x v="1"/>
    <x v="1338"/>
    <n v="12"/>
    <n v="12"/>
    <x v="1"/>
    <x v="0"/>
    <s v="Tomatoes, Anchovies, Green Olives, Red Onions, Garlic"/>
    <x v="5"/>
  </r>
  <r>
    <n v="13604"/>
    <n v="5964"/>
    <n v="1"/>
    <s v="mexicana_m"/>
    <n v="1"/>
    <x v="46"/>
    <x v="1"/>
    <x v="1339"/>
    <n v="16"/>
    <n v="16"/>
    <x v="0"/>
    <x v="1"/>
    <s v="Tomatoes, Red Peppers, Jalapeno Peppers, Red Onions, Cilantro, Corn, Chipotle Sauce, Garlic"/>
    <x v="1"/>
  </r>
  <r>
    <n v="13609"/>
    <n v="5966"/>
    <n v="1"/>
    <s v="pepperoni_m"/>
    <n v="1"/>
    <x v="46"/>
    <x v="1"/>
    <x v="1340"/>
    <n v="12.5"/>
    <n v="12.5"/>
    <x v="0"/>
    <x v="0"/>
    <s v="Mozzarella Cheese, Pepperoni"/>
    <x v="3"/>
  </r>
  <r>
    <n v="13617"/>
    <n v="5968"/>
    <n v="1"/>
    <s v="sicilian_s"/>
    <n v="1"/>
    <x v="46"/>
    <x v="1"/>
    <x v="1341"/>
    <n v="12.25"/>
    <n v="12.25"/>
    <x v="1"/>
    <x v="2"/>
    <s v="Coarse Sicilian Salami, Tomatoes, Green Olives, Luganega Sausage, Onions, Garlic"/>
    <x v="7"/>
  </r>
  <r>
    <n v="13627"/>
    <n v="5972"/>
    <n v="1"/>
    <s v="sicilian_m"/>
    <n v="1"/>
    <x v="47"/>
    <x v="2"/>
    <x v="1342"/>
    <n v="16.25"/>
    <n v="16.25"/>
    <x v="0"/>
    <x v="2"/>
    <s v="Coarse Sicilian Salami, Tomatoes, Green Olives, Luganega Sausage, Onions, Garlic"/>
    <x v="7"/>
  </r>
  <r>
    <n v="13628"/>
    <n v="5973"/>
    <n v="1"/>
    <s v="mexicana_l"/>
    <n v="1"/>
    <x v="47"/>
    <x v="2"/>
    <x v="1343"/>
    <n v="20.25"/>
    <n v="20.25"/>
    <x v="2"/>
    <x v="1"/>
    <s v="Tomatoes, Red Peppers, Jalapeno Peppers, Red Onions, Cilantro, Corn, Chipotle Sauce, Garlic"/>
    <x v="1"/>
  </r>
  <r>
    <n v="13630"/>
    <n v="5974"/>
    <n v="0.5"/>
    <s v="big_meat_s"/>
    <n v="1"/>
    <x v="47"/>
    <x v="2"/>
    <x v="1344"/>
    <n v="12"/>
    <n v="12"/>
    <x v="1"/>
    <x v="0"/>
    <s v="Bacon, Pepperoni, Italian Sausage, Chorizo Sausage"/>
    <x v="4"/>
  </r>
  <r>
    <n v="13637"/>
    <n v="5974"/>
    <n v="0.5"/>
    <s v="sicilian_s"/>
    <n v="1"/>
    <x v="47"/>
    <x v="2"/>
    <x v="1344"/>
    <n v="12.25"/>
    <n v="12.25"/>
    <x v="1"/>
    <x v="2"/>
    <s v="Coarse Sicilian Salami, Tomatoes, Green Olives, Luganega Sausage, Onions, Garlic"/>
    <x v="7"/>
  </r>
  <r>
    <n v="13641"/>
    <n v="5975"/>
    <n v="0.33333333333333331"/>
    <s v="calabrese_m"/>
    <n v="1"/>
    <x v="47"/>
    <x v="2"/>
    <x v="1345"/>
    <n v="16.25"/>
    <n v="16.25"/>
    <x v="0"/>
    <x v="2"/>
    <s v="?duja Salami, Pancetta, Tomatoes, Red Onions, Friggitello Peppers, Garlic"/>
    <x v="6"/>
  </r>
  <r>
    <n v="13642"/>
    <n v="5975"/>
    <n v="0.33333333333333331"/>
    <s v="hawaiian_m"/>
    <n v="1"/>
    <x v="47"/>
    <x v="2"/>
    <x v="1345"/>
    <n v="13.25"/>
    <n v="13.25"/>
    <x v="0"/>
    <x v="0"/>
    <s v="Sliced Ham, Pineapple, Mozzarella Cheese"/>
    <x v="0"/>
  </r>
  <r>
    <n v="13643"/>
    <n v="5975"/>
    <n v="0.33333333333333331"/>
    <s v="sicilian_m"/>
    <n v="1"/>
    <x v="47"/>
    <x v="2"/>
    <x v="1345"/>
    <n v="16.25"/>
    <n v="16.25"/>
    <x v="0"/>
    <x v="2"/>
    <s v="Coarse Sicilian Salami, Tomatoes, Green Olives, Luganega Sausage, Onions, Garlic"/>
    <x v="7"/>
  </r>
  <r>
    <n v="13645"/>
    <n v="5976"/>
    <n v="1"/>
    <s v="brie_carre_s"/>
    <n v="1"/>
    <x v="47"/>
    <x v="2"/>
    <x v="1346"/>
    <n v="23.65"/>
    <n v="23.65"/>
    <x v="1"/>
    <x v="2"/>
    <s v="Brie Carre Cheese, Prosciutto, Caramelized Onions, Pears, Thyme, Garlic"/>
    <x v="8"/>
  </r>
  <r>
    <n v="13647"/>
    <n v="5978"/>
    <n v="1"/>
    <s v="calabrese_m"/>
    <n v="1"/>
    <x v="47"/>
    <x v="2"/>
    <x v="1347"/>
    <n v="16.25"/>
    <n v="16.25"/>
    <x v="0"/>
    <x v="2"/>
    <s v="?duja Salami, Pancetta, Tomatoes, Red Onions, Friggitello Peppers, Garlic"/>
    <x v="6"/>
  </r>
  <r>
    <n v="13651"/>
    <n v="5981"/>
    <n v="1"/>
    <s v="sicilian_m"/>
    <n v="1"/>
    <x v="47"/>
    <x v="2"/>
    <x v="1348"/>
    <n v="16.25"/>
    <n v="16.25"/>
    <x v="0"/>
    <x v="2"/>
    <s v="Coarse Sicilian Salami, Tomatoes, Green Olives, Luganega Sausage, Onions, Garlic"/>
    <x v="7"/>
  </r>
  <r>
    <n v="13652"/>
    <n v="5982"/>
    <n v="1"/>
    <s v="calabrese_l"/>
    <n v="1"/>
    <x v="47"/>
    <x v="2"/>
    <x v="1349"/>
    <n v="20.25"/>
    <n v="20.25"/>
    <x v="2"/>
    <x v="2"/>
    <s v="?duja Salami, Pancetta, Tomatoes, Red Onions, Friggitello Peppers, Garlic"/>
    <x v="6"/>
  </r>
  <r>
    <n v="13654"/>
    <n v="5983"/>
    <n v="1"/>
    <s v="hawaiian_m"/>
    <n v="1"/>
    <x v="47"/>
    <x v="2"/>
    <x v="1350"/>
    <n v="13.25"/>
    <n v="13.25"/>
    <x v="0"/>
    <x v="0"/>
    <s v="Sliced Ham, Pineapple, Mozzarella Cheese"/>
    <x v="0"/>
  </r>
  <r>
    <n v="13657"/>
    <n v="5985"/>
    <n v="1"/>
    <s v="the_greek_xl"/>
    <n v="1"/>
    <x v="47"/>
    <x v="2"/>
    <x v="1020"/>
    <n v="25.5"/>
    <n v="25.5"/>
    <x v="3"/>
    <x v="0"/>
    <s v="Kalamata Olives, Feta Cheese, Tomatoes, Garlic, Beef Chuck Roast, Red Onions"/>
    <x v="2"/>
  </r>
  <r>
    <n v="13663"/>
    <n v="5988"/>
    <n v="1"/>
    <s v="hawaiian_m"/>
    <n v="1"/>
    <x v="47"/>
    <x v="2"/>
    <x v="1351"/>
    <n v="13.25"/>
    <n v="13.25"/>
    <x v="0"/>
    <x v="0"/>
    <s v="Sliced Ham, Pineapple, Mozzarella Cheese"/>
    <x v="0"/>
  </r>
  <r>
    <n v="13664"/>
    <n v="5989"/>
    <n v="1"/>
    <s v="mexicana_m"/>
    <n v="1"/>
    <x v="47"/>
    <x v="2"/>
    <x v="1352"/>
    <n v="16"/>
    <n v="16"/>
    <x v="0"/>
    <x v="1"/>
    <s v="Tomatoes, Red Peppers, Jalapeno Peppers, Red Onions, Cilantro, Corn, Chipotle Sauce, Garlic"/>
    <x v="1"/>
  </r>
  <r>
    <n v="13667"/>
    <n v="5991"/>
    <n v="1"/>
    <s v="the_greek_s"/>
    <n v="1"/>
    <x v="47"/>
    <x v="2"/>
    <x v="1353"/>
    <n v="12"/>
    <n v="12"/>
    <x v="1"/>
    <x v="0"/>
    <s v="Kalamata Olives, Feta Cheese, Tomatoes, Garlic, Beef Chuck Roast, Red Onions"/>
    <x v="2"/>
  </r>
  <r>
    <n v="13670"/>
    <n v="5992"/>
    <n v="1"/>
    <s v="mexicana_l"/>
    <n v="1"/>
    <x v="47"/>
    <x v="2"/>
    <x v="1354"/>
    <n v="20.25"/>
    <n v="20.25"/>
    <x v="2"/>
    <x v="1"/>
    <s v="Tomatoes, Red Peppers, Jalapeno Peppers, Red Onions, Cilantro, Corn, Chipotle Sauce, Garlic"/>
    <x v="1"/>
  </r>
  <r>
    <n v="13672"/>
    <n v="5993"/>
    <n v="1"/>
    <s v="hawaiian_s"/>
    <n v="1"/>
    <x v="47"/>
    <x v="2"/>
    <x v="1355"/>
    <n v="10.5"/>
    <n v="10.5"/>
    <x v="1"/>
    <x v="0"/>
    <s v="Sliced Ham, Pineapple, Mozzarella Cheese"/>
    <x v="0"/>
  </r>
  <r>
    <n v="13674"/>
    <n v="5994"/>
    <n v="0.5"/>
    <s v="mexicana_l"/>
    <n v="1"/>
    <x v="47"/>
    <x v="2"/>
    <x v="1356"/>
    <n v="20.25"/>
    <n v="20.25"/>
    <x v="2"/>
    <x v="1"/>
    <s v="Tomatoes, Red Peppers, Jalapeno Peppers, Red Onions, Cilantro, Corn, Chipotle Sauce, Garlic"/>
    <x v="1"/>
  </r>
  <r>
    <n v="13675"/>
    <n v="5994"/>
    <n v="0.5"/>
    <s v="pepperoni_m"/>
    <n v="1"/>
    <x v="47"/>
    <x v="2"/>
    <x v="1356"/>
    <n v="12.5"/>
    <n v="12.5"/>
    <x v="0"/>
    <x v="0"/>
    <s v="Mozzarella Cheese, Pepperoni"/>
    <x v="3"/>
  </r>
  <r>
    <n v="13679"/>
    <n v="5995"/>
    <n v="1"/>
    <s v="the_greek_xl"/>
    <n v="1"/>
    <x v="47"/>
    <x v="2"/>
    <x v="1357"/>
    <n v="25.5"/>
    <n v="25.5"/>
    <x v="3"/>
    <x v="0"/>
    <s v="Kalamata Olives, Feta Cheese, Tomatoes, Garlic, Beef Chuck Roast, Red Onions"/>
    <x v="2"/>
  </r>
  <r>
    <n v="13680"/>
    <n v="5996"/>
    <n v="0.5"/>
    <s v="mexicana_l"/>
    <n v="1"/>
    <x v="47"/>
    <x v="2"/>
    <x v="1358"/>
    <n v="20.25"/>
    <n v="20.25"/>
    <x v="2"/>
    <x v="1"/>
    <s v="Tomatoes, Red Peppers, Jalapeno Peppers, Red Onions, Cilantro, Corn, Chipotle Sauce, Garlic"/>
    <x v="1"/>
  </r>
  <r>
    <n v="13683"/>
    <n v="5996"/>
    <n v="0.5"/>
    <s v="the_greek_xl"/>
    <n v="1"/>
    <x v="47"/>
    <x v="2"/>
    <x v="1358"/>
    <n v="25.5"/>
    <n v="25.5"/>
    <x v="3"/>
    <x v="0"/>
    <s v="Kalamata Olives, Feta Cheese, Tomatoes, Garlic, Beef Chuck Roast, Red Onions"/>
    <x v="2"/>
  </r>
  <r>
    <n v="13684"/>
    <n v="5997"/>
    <n v="1"/>
    <s v="pepperoni_m"/>
    <n v="1"/>
    <x v="47"/>
    <x v="2"/>
    <x v="1359"/>
    <n v="12.5"/>
    <n v="12.5"/>
    <x v="0"/>
    <x v="0"/>
    <s v="Mozzarella Cheese, Pepperoni"/>
    <x v="3"/>
  </r>
  <r>
    <n v="13689"/>
    <n v="5998"/>
    <n v="0.5"/>
    <s v="mexicana_l"/>
    <n v="1"/>
    <x v="47"/>
    <x v="2"/>
    <x v="1360"/>
    <n v="20.25"/>
    <n v="20.25"/>
    <x v="2"/>
    <x v="1"/>
    <s v="Tomatoes, Red Peppers, Jalapeno Peppers, Red Onions, Cilantro, Corn, Chipotle Sauce, Garlic"/>
    <x v="1"/>
  </r>
  <r>
    <n v="13690"/>
    <n v="5998"/>
    <n v="0.5"/>
    <s v="the_greek_s"/>
    <n v="1"/>
    <x v="47"/>
    <x v="2"/>
    <x v="1360"/>
    <n v="12"/>
    <n v="12"/>
    <x v="1"/>
    <x v="0"/>
    <s v="Kalamata Olives, Feta Cheese, Tomatoes, Garlic, Beef Chuck Roast, Red Onions"/>
    <x v="2"/>
  </r>
  <r>
    <n v="13696"/>
    <n v="6000"/>
    <n v="0.5"/>
    <s v="hawaiian_l"/>
    <n v="1"/>
    <x v="47"/>
    <x v="2"/>
    <x v="1361"/>
    <n v="16.5"/>
    <n v="16.5"/>
    <x v="2"/>
    <x v="0"/>
    <s v="Sliced Ham, Pineapple, Mozzarella Cheese"/>
    <x v="0"/>
  </r>
  <r>
    <n v="13697"/>
    <n v="6000"/>
    <n v="0.5"/>
    <s v="mexicana_l"/>
    <n v="1"/>
    <x v="47"/>
    <x v="2"/>
    <x v="1361"/>
    <n v="20.25"/>
    <n v="20.25"/>
    <x v="2"/>
    <x v="1"/>
    <s v="Tomatoes, Red Peppers, Jalapeno Peppers, Red Onions, Cilantro, Corn, Chipotle Sauce, Garlic"/>
    <x v="1"/>
  </r>
  <r>
    <n v="13703"/>
    <n v="6003"/>
    <n v="1"/>
    <s v="big_meat_s"/>
    <n v="1"/>
    <x v="47"/>
    <x v="2"/>
    <x v="1362"/>
    <n v="12"/>
    <n v="12"/>
    <x v="1"/>
    <x v="0"/>
    <s v="Bacon, Pepperoni, Italian Sausage, Chorizo Sausage"/>
    <x v="4"/>
  </r>
  <r>
    <n v="13705"/>
    <n v="6004"/>
    <n v="1"/>
    <s v="big_meat_s"/>
    <n v="1"/>
    <x v="47"/>
    <x v="2"/>
    <x v="1363"/>
    <n v="12"/>
    <n v="12"/>
    <x v="1"/>
    <x v="0"/>
    <s v="Bacon, Pepperoni, Italian Sausage, Chorizo Sausage"/>
    <x v="4"/>
  </r>
  <r>
    <n v="13717"/>
    <n v="6013"/>
    <n v="1"/>
    <s v="hawaiian_s"/>
    <n v="1"/>
    <x v="47"/>
    <x v="2"/>
    <x v="1364"/>
    <n v="10.5"/>
    <n v="10.5"/>
    <x v="1"/>
    <x v="0"/>
    <s v="Sliced Ham, Pineapple, Mozzarella Cheese"/>
    <x v="0"/>
  </r>
  <r>
    <n v="13722"/>
    <n v="6014"/>
    <n v="1"/>
    <s v="pepperoni_m"/>
    <n v="1"/>
    <x v="47"/>
    <x v="2"/>
    <x v="1365"/>
    <n v="12.5"/>
    <n v="12.5"/>
    <x v="0"/>
    <x v="0"/>
    <s v="Mozzarella Cheese, Pepperoni"/>
    <x v="3"/>
  </r>
  <r>
    <n v="13729"/>
    <n v="6017"/>
    <n v="0.5"/>
    <s v="hawaiian_l"/>
    <n v="1"/>
    <x v="47"/>
    <x v="2"/>
    <x v="1366"/>
    <n v="16.5"/>
    <n v="16.5"/>
    <x v="2"/>
    <x v="0"/>
    <s v="Sliced Ham, Pineapple, Mozzarella Cheese"/>
    <x v="0"/>
  </r>
  <r>
    <n v="13731"/>
    <n v="6017"/>
    <n v="0.5"/>
    <s v="the_greek_m"/>
    <n v="1"/>
    <x v="47"/>
    <x v="2"/>
    <x v="1366"/>
    <n v="16"/>
    <n v="16"/>
    <x v="0"/>
    <x v="0"/>
    <s v="Kalamata Olives, Feta Cheese, Tomatoes, Garlic, Beef Chuck Roast, Red Onions"/>
    <x v="2"/>
  </r>
  <r>
    <n v="13734"/>
    <n v="6018"/>
    <n v="1"/>
    <s v="pepperoni_l"/>
    <n v="1"/>
    <x v="47"/>
    <x v="2"/>
    <x v="1367"/>
    <n v="15.25"/>
    <n v="15.25"/>
    <x v="2"/>
    <x v="0"/>
    <s v="Mozzarella Cheese, Pepperoni"/>
    <x v="3"/>
  </r>
  <r>
    <n v="13736"/>
    <n v="6019"/>
    <n v="1"/>
    <s v="mexicana_l"/>
    <n v="1"/>
    <x v="47"/>
    <x v="2"/>
    <x v="1368"/>
    <n v="20.25"/>
    <n v="20.25"/>
    <x v="2"/>
    <x v="1"/>
    <s v="Tomatoes, Red Peppers, Jalapeno Peppers, Red Onions, Cilantro, Corn, Chipotle Sauce, Garlic"/>
    <x v="1"/>
  </r>
  <r>
    <n v="13737"/>
    <n v="6020"/>
    <n v="0.5"/>
    <s v="hawaiian_s"/>
    <n v="1"/>
    <x v="47"/>
    <x v="2"/>
    <x v="1369"/>
    <n v="10.5"/>
    <n v="10.5"/>
    <x v="1"/>
    <x v="0"/>
    <s v="Sliced Ham, Pineapple, Mozzarella Cheese"/>
    <x v="0"/>
  </r>
  <r>
    <n v="13738"/>
    <n v="6020"/>
    <n v="0.5"/>
    <s v="sicilian_m"/>
    <n v="1"/>
    <x v="47"/>
    <x v="2"/>
    <x v="1369"/>
    <n v="16.25"/>
    <n v="16.25"/>
    <x v="0"/>
    <x v="2"/>
    <s v="Coarse Sicilian Salami, Tomatoes, Green Olives, Luganega Sausage, Onions, Garlic"/>
    <x v="7"/>
  </r>
  <r>
    <n v="13741"/>
    <n v="6021"/>
    <n v="1"/>
    <s v="the_greek_m"/>
    <n v="1"/>
    <x v="47"/>
    <x v="2"/>
    <x v="1370"/>
    <n v="16"/>
    <n v="16"/>
    <x v="0"/>
    <x v="0"/>
    <s v="Kalamata Olives, Feta Cheese, Tomatoes, Garlic, Beef Chuck Roast, Red Onions"/>
    <x v="2"/>
  </r>
  <r>
    <n v="13743"/>
    <n v="6023"/>
    <n v="0.5"/>
    <s v="hawaiian_s"/>
    <n v="1"/>
    <x v="47"/>
    <x v="2"/>
    <x v="1371"/>
    <n v="10.5"/>
    <n v="10.5"/>
    <x v="1"/>
    <x v="0"/>
    <s v="Sliced Ham, Pineapple, Mozzarella Cheese"/>
    <x v="0"/>
  </r>
  <r>
    <n v="13745"/>
    <n v="6023"/>
    <n v="0.5"/>
    <s v="mexicana_m"/>
    <n v="1"/>
    <x v="47"/>
    <x v="2"/>
    <x v="1371"/>
    <n v="16"/>
    <n v="16"/>
    <x v="0"/>
    <x v="1"/>
    <s v="Tomatoes, Red Peppers, Jalapeno Peppers, Red Onions, Cilantro, Corn, Chipotle Sauce, Garlic"/>
    <x v="1"/>
  </r>
  <r>
    <n v="13749"/>
    <n v="6024"/>
    <n v="1"/>
    <s v="pepperoni_s"/>
    <n v="1"/>
    <x v="47"/>
    <x v="2"/>
    <x v="1372"/>
    <n v="9.75"/>
    <n v="9.75"/>
    <x v="1"/>
    <x v="0"/>
    <s v="Mozzarella Cheese, Pepperoni"/>
    <x v="3"/>
  </r>
  <r>
    <n v="13758"/>
    <n v="6028"/>
    <n v="1"/>
    <s v="hawaiian_s"/>
    <n v="1"/>
    <x v="47"/>
    <x v="2"/>
    <x v="1373"/>
    <n v="10.5"/>
    <n v="10.5"/>
    <x v="1"/>
    <x v="0"/>
    <s v="Sliced Ham, Pineapple, Mozzarella Cheese"/>
    <x v="0"/>
  </r>
  <r>
    <n v="13762"/>
    <n v="6030"/>
    <n v="0.5"/>
    <s v="the_greek_m"/>
    <n v="1"/>
    <x v="47"/>
    <x v="2"/>
    <x v="1374"/>
    <n v="16"/>
    <n v="16"/>
    <x v="0"/>
    <x v="0"/>
    <s v="Kalamata Olives, Feta Cheese, Tomatoes, Garlic, Beef Chuck Roast, Red Onions"/>
    <x v="2"/>
  </r>
  <r>
    <n v="13763"/>
    <n v="6030"/>
    <n v="0.5"/>
    <s v="the_greek_xl"/>
    <n v="1"/>
    <x v="47"/>
    <x v="2"/>
    <x v="1374"/>
    <n v="25.5"/>
    <n v="25.5"/>
    <x v="3"/>
    <x v="0"/>
    <s v="Kalamata Olives, Feta Cheese, Tomatoes, Garlic, Beef Chuck Roast, Red Onions"/>
    <x v="2"/>
  </r>
  <r>
    <n v="13764"/>
    <n v="6031"/>
    <n v="1"/>
    <s v="pepperoni_l"/>
    <n v="1"/>
    <x v="47"/>
    <x v="2"/>
    <x v="1375"/>
    <n v="15.25"/>
    <n v="15.25"/>
    <x v="2"/>
    <x v="0"/>
    <s v="Mozzarella Cheese, Pepperoni"/>
    <x v="3"/>
  </r>
  <r>
    <n v="13766"/>
    <n v="6032"/>
    <n v="1"/>
    <s v="napolitana_m"/>
    <n v="1"/>
    <x v="47"/>
    <x v="2"/>
    <x v="1376"/>
    <n v="16"/>
    <n v="16"/>
    <x v="0"/>
    <x v="0"/>
    <s v="Tomatoes, Anchovies, Green Olives, Red Onions, Garlic"/>
    <x v="5"/>
  </r>
  <r>
    <n v="13769"/>
    <n v="6033"/>
    <n v="0.33333333333333331"/>
    <s v="calabrese_m"/>
    <n v="1"/>
    <x v="47"/>
    <x v="2"/>
    <x v="1377"/>
    <n v="16.25"/>
    <n v="16.25"/>
    <x v="0"/>
    <x v="2"/>
    <s v="?duja Salami, Pancetta, Tomatoes, Red Onions, Friggitello Peppers, Garlic"/>
    <x v="6"/>
  </r>
  <r>
    <n v="13771"/>
    <n v="6033"/>
    <n v="0.33333333333333331"/>
    <s v="pepperoni_l"/>
    <n v="1"/>
    <x v="47"/>
    <x v="2"/>
    <x v="1377"/>
    <n v="15.25"/>
    <n v="15.25"/>
    <x v="2"/>
    <x v="0"/>
    <s v="Mozzarella Cheese, Pepperoni"/>
    <x v="3"/>
  </r>
  <r>
    <n v="13772"/>
    <n v="6033"/>
    <n v="0.33333333333333331"/>
    <s v="sicilian_s"/>
    <n v="1"/>
    <x v="47"/>
    <x v="2"/>
    <x v="1377"/>
    <n v="12.25"/>
    <n v="12.25"/>
    <x v="1"/>
    <x v="2"/>
    <s v="Coarse Sicilian Salami, Tomatoes, Green Olives, Luganega Sausage, Onions, Garlic"/>
    <x v="7"/>
  </r>
  <r>
    <n v="13777"/>
    <n v="6035"/>
    <n v="1"/>
    <s v="sicilian_s"/>
    <n v="1"/>
    <x v="48"/>
    <x v="3"/>
    <x v="1378"/>
    <n v="12.25"/>
    <n v="12.25"/>
    <x v="1"/>
    <x v="2"/>
    <s v="Coarse Sicilian Salami, Tomatoes, Green Olives, Luganega Sausage, Onions, Garlic"/>
    <x v="7"/>
  </r>
  <r>
    <n v="13780"/>
    <n v="6038"/>
    <n v="1"/>
    <s v="the_greek_xxl"/>
    <n v="1"/>
    <x v="48"/>
    <x v="3"/>
    <x v="1379"/>
    <n v="35.950000000000003"/>
    <n v="35.950000000000003"/>
    <x v="4"/>
    <x v="0"/>
    <s v="Kalamata Olives, Feta Cheese, Tomatoes, Garlic, Beef Chuck Roast, Red Onions"/>
    <x v="2"/>
  </r>
  <r>
    <n v="13781"/>
    <n v="6039"/>
    <n v="1"/>
    <s v="the_greek_xl"/>
    <n v="1"/>
    <x v="48"/>
    <x v="3"/>
    <x v="1380"/>
    <n v="25.5"/>
    <n v="25.5"/>
    <x v="3"/>
    <x v="0"/>
    <s v="Kalamata Olives, Feta Cheese, Tomatoes, Garlic, Beef Chuck Roast, Red Onions"/>
    <x v="2"/>
  </r>
  <r>
    <n v="13783"/>
    <n v="6040"/>
    <n v="1"/>
    <s v="hawaiian_s"/>
    <n v="1"/>
    <x v="48"/>
    <x v="3"/>
    <x v="1381"/>
    <n v="10.5"/>
    <n v="10.5"/>
    <x v="1"/>
    <x v="0"/>
    <s v="Sliced Ham, Pineapple, Mozzarella Cheese"/>
    <x v="0"/>
  </r>
  <r>
    <n v="13790"/>
    <n v="6042"/>
    <n v="0.5"/>
    <s v="big_meat_s"/>
    <n v="1"/>
    <x v="48"/>
    <x v="3"/>
    <x v="1382"/>
    <n v="12"/>
    <n v="12"/>
    <x v="1"/>
    <x v="0"/>
    <s v="Bacon, Pepperoni, Italian Sausage, Chorizo Sausage"/>
    <x v="4"/>
  </r>
  <r>
    <n v="13793"/>
    <n v="6042"/>
    <n v="0.5"/>
    <s v="mexicana_m"/>
    <n v="1"/>
    <x v="48"/>
    <x v="3"/>
    <x v="1382"/>
    <n v="16"/>
    <n v="16"/>
    <x v="0"/>
    <x v="1"/>
    <s v="Tomatoes, Red Peppers, Jalapeno Peppers, Red Onions, Cilantro, Corn, Chipotle Sauce, Garlic"/>
    <x v="1"/>
  </r>
  <r>
    <n v="13803"/>
    <n v="6046"/>
    <n v="0.5"/>
    <s v="big_meat_s"/>
    <n v="1"/>
    <x v="48"/>
    <x v="3"/>
    <x v="1383"/>
    <n v="12"/>
    <n v="12"/>
    <x v="1"/>
    <x v="0"/>
    <s v="Bacon, Pepperoni, Italian Sausage, Chorizo Sausage"/>
    <x v="4"/>
  </r>
  <r>
    <n v="13804"/>
    <n v="6046"/>
    <n v="0.5"/>
    <s v="calabrese_m"/>
    <n v="1"/>
    <x v="48"/>
    <x v="3"/>
    <x v="1383"/>
    <n v="16.25"/>
    <n v="16.25"/>
    <x v="0"/>
    <x v="2"/>
    <s v="?duja Salami, Pancetta, Tomatoes, Red Onions, Friggitello Peppers, Garlic"/>
    <x v="6"/>
  </r>
  <r>
    <n v="13813"/>
    <n v="6051"/>
    <n v="0.5"/>
    <s v="big_meat_s"/>
    <n v="1"/>
    <x v="48"/>
    <x v="3"/>
    <x v="1384"/>
    <n v="12"/>
    <n v="12"/>
    <x v="1"/>
    <x v="0"/>
    <s v="Bacon, Pepperoni, Italian Sausage, Chorizo Sausage"/>
    <x v="4"/>
  </r>
  <r>
    <n v="13815"/>
    <n v="6051"/>
    <n v="0.5"/>
    <s v="napolitana_m"/>
    <n v="1"/>
    <x v="48"/>
    <x v="3"/>
    <x v="1384"/>
    <n v="16"/>
    <n v="16"/>
    <x v="0"/>
    <x v="0"/>
    <s v="Tomatoes, Anchovies, Green Olives, Red Onions, Garlic"/>
    <x v="5"/>
  </r>
  <r>
    <n v="13820"/>
    <n v="6052"/>
    <n v="1"/>
    <s v="pepperoni_s"/>
    <n v="1"/>
    <x v="48"/>
    <x v="3"/>
    <x v="1385"/>
    <n v="9.75"/>
    <n v="9.75"/>
    <x v="1"/>
    <x v="0"/>
    <s v="Mozzarella Cheese, Pepperoni"/>
    <x v="3"/>
  </r>
  <r>
    <n v="13822"/>
    <n v="6054"/>
    <n v="1"/>
    <s v="hawaiian_l"/>
    <n v="1"/>
    <x v="48"/>
    <x v="3"/>
    <x v="1386"/>
    <n v="16.5"/>
    <n v="16.5"/>
    <x v="2"/>
    <x v="0"/>
    <s v="Sliced Ham, Pineapple, Mozzarella Cheese"/>
    <x v="0"/>
  </r>
  <r>
    <n v="13824"/>
    <n v="6056"/>
    <n v="1"/>
    <s v="calabrese_m"/>
    <n v="1"/>
    <x v="48"/>
    <x v="3"/>
    <x v="1387"/>
    <n v="16.25"/>
    <n v="16.25"/>
    <x v="0"/>
    <x v="2"/>
    <s v="?duja Salami, Pancetta, Tomatoes, Red Onions, Friggitello Peppers, Garlic"/>
    <x v="6"/>
  </r>
  <r>
    <n v="13835"/>
    <n v="6061"/>
    <n v="1"/>
    <s v="mexicana_m"/>
    <n v="1"/>
    <x v="48"/>
    <x v="3"/>
    <x v="1388"/>
    <n v="16"/>
    <n v="16"/>
    <x v="0"/>
    <x v="1"/>
    <s v="Tomatoes, Red Peppers, Jalapeno Peppers, Red Onions, Cilantro, Corn, Chipotle Sauce, Garlic"/>
    <x v="1"/>
  </r>
  <r>
    <n v="13838"/>
    <n v="6062"/>
    <n v="0.5"/>
    <s v="hawaiian_s"/>
    <n v="1"/>
    <x v="48"/>
    <x v="3"/>
    <x v="1389"/>
    <n v="10.5"/>
    <n v="10.5"/>
    <x v="1"/>
    <x v="0"/>
    <s v="Sliced Ham, Pineapple, Mozzarella Cheese"/>
    <x v="0"/>
  </r>
  <r>
    <n v="13839"/>
    <n v="6062"/>
    <n v="0.5"/>
    <s v="pepperoni_m"/>
    <n v="1"/>
    <x v="48"/>
    <x v="3"/>
    <x v="1389"/>
    <n v="12.5"/>
    <n v="12.5"/>
    <x v="0"/>
    <x v="0"/>
    <s v="Mozzarella Cheese, Pepperoni"/>
    <x v="3"/>
  </r>
  <r>
    <n v="13843"/>
    <n v="6063"/>
    <n v="1"/>
    <s v="hawaiian_m"/>
    <n v="1"/>
    <x v="48"/>
    <x v="3"/>
    <x v="1390"/>
    <n v="13.25"/>
    <n v="13.25"/>
    <x v="0"/>
    <x v="0"/>
    <s v="Sliced Ham, Pineapple, Mozzarella Cheese"/>
    <x v="0"/>
  </r>
  <r>
    <n v="13845"/>
    <n v="6064"/>
    <n v="1"/>
    <s v="hawaiian_l"/>
    <n v="1"/>
    <x v="48"/>
    <x v="3"/>
    <x v="1391"/>
    <n v="16.5"/>
    <n v="16.5"/>
    <x v="2"/>
    <x v="0"/>
    <s v="Sliced Ham, Pineapple, Mozzarella Cheese"/>
    <x v="0"/>
  </r>
  <r>
    <n v="13854"/>
    <n v="6068"/>
    <n v="0.5"/>
    <s v="hawaiian_l"/>
    <n v="1"/>
    <x v="48"/>
    <x v="3"/>
    <x v="1392"/>
    <n v="16.5"/>
    <n v="16.5"/>
    <x v="2"/>
    <x v="0"/>
    <s v="Sliced Ham, Pineapple, Mozzarella Cheese"/>
    <x v="0"/>
  </r>
  <r>
    <n v="13855"/>
    <n v="6068"/>
    <n v="0.5"/>
    <s v="pepperoni_m"/>
    <n v="1"/>
    <x v="48"/>
    <x v="3"/>
    <x v="1392"/>
    <n v="12.5"/>
    <n v="12.5"/>
    <x v="0"/>
    <x v="0"/>
    <s v="Mozzarella Cheese, Pepperoni"/>
    <x v="3"/>
  </r>
  <r>
    <n v="13861"/>
    <n v="6072"/>
    <n v="1"/>
    <s v="pepperoni_s"/>
    <n v="2"/>
    <x v="48"/>
    <x v="3"/>
    <x v="1393"/>
    <n v="9.75"/>
    <n v="19.5"/>
    <x v="1"/>
    <x v="0"/>
    <s v="Mozzarella Cheese, Pepperoni"/>
    <x v="3"/>
  </r>
  <r>
    <n v="13870"/>
    <n v="6076"/>
    <n v="1"/>
    <s v="mexicana_m"/>
    <n v="1"/>
    <x v="48"/>
    <x v="3"/>
    <x v="1394"/>
    <n v="16"/>
    <n v="16"/>
    <x v="0"/>
    <x v="1"/>
    <s v="Tomatoes, Red Peppers, Jalapeno Peppers, Red Onions, Cilantro, Corn, Chipotle Sauce, Garlic"/>
    <x v="1"/>
  </r>
  <r>
    <n v="13871"/>
    <n v="6077"/>
    <n v="1"/>
    <s v="mexicana_m"/>
    <n v="1"/>
    <x v="48"/>
    <x v="3"/>
    <x v="924"/>
    <n v="16"/>
    <n v="16"/>
    <x v="0"/>
    <x v="1"/>
    <s v="Tomatoes, Red Peppers, Jalapeno Peppers, Red Onions, Cilantro, Corn, Chipotle Sauce, Garlic"/>
    <x v="1"/>
  </r>
  <r>
    <n v="13874"/>
    <n v="6078"/>
    <n v="1"/>
    <s v="pepperoni_l"/>
    <n v="1"/>
    <x v="48"/>
    <x v="3"/>
    <x v="1395"/>
    <n v="15.25"/>
    <n v="15.25"/>
    <x v="2"/>
    <x v="0"/>
    <s v="Mozzarella Cheese, Pepperoni"/>
    <x v="3"/>
  </r>
  <r>
    <n v="13887"/>
    <n v="6085"/>
    <n v="1"/>
    <s v="the_greek_l"/>
    <n v="1"/>
    <x v="48"/>
    <x v="3"/>
    <x v="1396"/>
    <n v="20.5"/>
    <n v="20.5"/>
    <x v="2"/>
    <x v="0"/>
    <s v="Kalamata Olives, Feta Cheese, Tomatoes, Garlic, Beef Chuck Roast, Red Onions"/>
    <x v="2"/>
  </r>
  <r>
    <n v="16305"/>
    <n v="7173"/>
    <n v="1"/>
    <s v="mexicana_l"/>
    <n v="1"/>
    <x v="49"/>
    <x v="4"/>
    <x v="1397"/>
    <n v="20.25"/>
    <n v="20.25"/>
    <x v="2"/>
    <x v="1"/>
    <s v="Tomatoes, Red Peppers, Jalapeno Peppers, Red Onions, Cilantro, Corn, Chipotle Sauce, Garlic"/>
    <x v="1"/>
  </r>
  <r>
    <n v="16306"/>
    <n v="7174"/>
    <n v="0.5"/>
    <s v="calabrese_m"/>
    <n v="1"/>
    <x v="49"/>
    <x v="4"/>
    <x v="1398"/>
    <n v="16.25"/>
    <n v="16.25"/>
    <x v="0"/>
    <x v="2"/>
    <s v="?duja Salami, Pancetta, Tomatoes, Red Onions, Friggitello Peppers, Garlic"/>
    <x v="6"/>
  </r>
  <r>
    <n v="16312"/>
    <n v="7174"/>
    <n v="0.5"/>
    <s v="sicilian_m"/>
    <n v="1"/>
    <x v="49"/>
    <x v="4"/>
    <x v="1398"/>
    <n v="16.25"/>
    <n v="16.25"/>
    <x v="0"/>
    <x v="2"/>
    <s v="Coarse Sicilian Salami, Tomatoes, Green Olives, Luganega Sausage, Onions, Garlic"/>
    <x v="7"/>
  </r>
  <r>
    <n v="16316"/>
    <n v="7175"/>
    <n v="1"/>
    <s v="pepperoni_l"/>
    <n v="1"/>
    <x v="49"/>
    <x v="4"/>
    <x v="1399"/>
    <n v="15.25"/>
    <n v="15.25"/>
    <x v="2"/>
    <x v="0"/>
    <s v="Mozzarella Cheese, Pepperoni"/>
    <x v="3"/>
  </r>
  <r>
    <n v="16324"/>
    <n v="7182"/>
    <n v="1"/>
    <s v="the_greek_s"/>
    <n v="1"/>
    <x v="49"/>
    <x v="4"/>
    <x v="1400"/>
    <n v="12"/>
    <n v="12"/>
    <x v="1"/>
    <x v="0"/>
    <s v="Kalamata Olives, Feta Cheese, Tomatoes, Garlic, Beef Chuck Roast, Red Onions"/>
    <x v="2"/>
  </r>
  <r>
    <n v="16345"/>
    <n v="7193"/>
    <n v="1"/>
    <s v="sicilian_s"/>
    <n v="1"/>
    <x v="49"/>
    <x v="4"/>
    <x v="1401"/>
    <n v="12.25"/>
    <n v="12.25"/>
    <x v="1"/>
    <x v="2"/>
    <s v="Coarse Sicilian Salami, Tomatoes, Green Olives, Luganega Sausage, Onions, Garlic"/>
    <x v="7"/>
  </r>
  <r>
    <n v="16349"/>
    <n v="7196"/>
    <n v="1"/>
    <s v="calabrese_l"/>
    <n v="1"/>
    <x v="49"/>
    <x v="4"/>
    <x v="1402"/>
    <n v="20.25"/>
    <n v="20.25"/>
    <x v="2"/>
    <x v="2"/>
    <s v="?duja Salami, Pancetta, Tomatoes, Red Onions, Friggitello Peppers, Garlic"/>
    <x v="6"/>
  </r>
  <r>
    <n v="16353"/>
    <n v="7198"/>
    <n v="0.5"/>
    <s v="calabrese_m"/>
    <n v="1"/>
    <x v="49"/>
    <x v="4"/>
    <x v="1403"/>
    <n v="16.25"/>
    <n v="16.25"/>
    <x v="0"/>
    <x v="2"/>
    <s v="?duja Salami, Pancetta, Tomatoes, Red Onions, Friggitello Peppers, Garlic"/>
    <x v="6"/>
  </r>
  <r>
    <n v="16354"/>
    <n v="7198"/>
    <n v="0.5"/>
    <s v="hawaiian_s"/>
    <n v="1"/>
    <x v="49"/>
    <x v="4"/>
    <x v="1403"/>
    <n v="10.5"/>
    <n v="10.5"/>
    <x v="1"/>
    <x v="0"/>
    <s v="Sliced Ham, Pineapple, Mozzarella Cheese"/>
    <x v="0"/>
  </r>
  <r>
    <n v="16357"/>
    <n v="7200"/>
    <n v="1"/>
    <s v="hawaiian_l"/>
    <n v="1"/>
    <x v="49"/>
    <x v="4"/>
    <x v="1404"/>
    <n v="16.5"/>
    <n v="16.5"/>
    <x v="2"/>
    <x v="0"/>
    <s v="Sliced Ham, Pineapple, Mozzarella Cheese"/>
    <x v="0"/>
  </r>
  <r>
    <n v="16361"/>
    <n v="7201"/>
    <n v="1"/>
    <s v="hawaiian_m"/>
    <n v="1"/>
    <x v="49"/>
    <x v="4"/>
    <x v="1405"/>
    <n v="13.25"/>
    <n v="13.25"/>
    <x v="0"/>
    <x v="0"/>
    <s v="Sliced Ham, Pineapple, Mozzarella Cheese"/>
    <x v="0"/>
  </r>
  <r>
    <n v="16365"/>
    <n v="7203"/>
    <n v="1"/>
    <s v="pepperoni_m"/>
    <n v="1"/>
    <x v="49"/>
    <x v="4"/>
    <x v="1406"/>
    <n v="12.5"/>
    <n v="12.5"/>
    <x v="0"/>
    <x v="0"/>
    <s v="Mozzarella Cheese, Pepperoni"/>
    <x v="3"/>
  </r>
  <r>
    <n v="16370"/>
    <n v="7206"/>
    <n v="1"/>
    <s v="hawaiian_s"/>
    <n v="1"/>
    <x v="49"/>
    <x v="4"/>
    <x v="1407"/>
    <n v="10.5"/>
    <n v="10.5"/>
    <x v="1"/>
    <x v="0"/>
    <s v="Sliced Ham, Pineapple, Mozzarella Cheese"/>
    <x v="0"/>
  </r>
  <r>
    <n v="16372"/>
    <n v="7207"/>
    <n v="1"/>
    <s v="napolitana_s"/>
    <n v="1"/>
    <x v="49"/>
    <x v="4"/>
    <x v="1408"/>
    <n v="12"/>
    <n v="12"/>
    <x v="1"/>
    <x v="0"/>
    <s v="Tomatoes, Anchovies, Green Olives, Red Onions, Garlic"/>
    <x v="5"/>
  </r>
  <r>
    <n v="16375"/>
    <n v="7208"/>
    <n v="1"/>
    <s v="hawaiian_m"/>
    <n v="1"/>
    <x v="49"/>
    <x v="4"/>
    <x v="1409"/>
    <n v="13.25"/>
    <n v="13.25"/>
    <x v="0"/>
    <x v="0"/>
    <s v="Sliced Ham, Pineapple, Mozzarella Cheese"/>
    <x v="0"/>
  </r>
  <r>
    <n v="16381"/>
    <n v="7210"/>
    <n v="1"/>
    <s v="pepperoni_l"/>
    <n v="1"/>
    <x v="49"/>
    <x v="4"/>
    <x v="1410"/>
    <n v="15.25"/>
    <n v="15.25"/>
    <x v="2"/>
    <x v="0"/>
    <s v="Mozzarella Cheese, Pepperoni"/>
    <x v="3"/>
  </r>
  <r>
    <n v="16392"/>
    <n v="7215"/>
    <n v="1"/>
    <s v="the_greek_xl"/>
    <n v="1"/>
    <x v="49"/>
    <x v="4"/>
    <x v="1411"/>
    <n v="25.5"/>
    <n v="25.5"/>
    <x v="3"/>
    <x v="0"/>
    <s v="Kalamata Olives, Feta Cheese, Tomatoes, Garlic, Beef Chuck Roast, Red Onions"/>
    <x v="2"/>
  </r>
  <r>
    <n v="16395"/>
    <n v="7218"/>
    <n v="0.5"/>
    <s v="hawaiian_l"/>
    <n v="1"/>
    <x v="49"/>
    <x v="4"/>
    <x v="1412"/>
    <n v="16.5"/>
    <n v="16.5"/>
    <x v="2"/>
    <x v="0"/>
    <s v="Sliced Ham, Pineapple, Mozzarella Cheese"/>
    <x v="0"/>
  </r>
  <r>
    <n v="16397"/>
    <n v="7218"/>
    <n v="0.5"/>
    <s v="pepperoni_s"/>
    <n v="1"/>
    <x v="49"/>
    <x v="4"/>
    <x v="1412"/>
    <n v="9.75"/>
    <n v="9.75"/>
    <x v="1"/>
    <x v="0"/>
    <s v="Mozzarella Cheese, Pepperoni"/>
    <x v="3"/>
  </r>
  <r>
    <n v="16398"/>
    <n v="7219"/>
    <n v="0.33333333333333331"/>
    <s v="pepperoni_m"/>
    <n v="1"/>
    <x v="49"/>
    <x v="4"/>
    <x v="1413"/>
    <n v="12.5"/>
    <n v="12.5"/>
    <x v="0"/>
    <x v="0"/>
    <s v="Mozzarella Cheese, Pepperoni"/>
    <x v="3"/>
  </r>
  <r>
    <n v="16399"/>
    <n v="7219"/>
    <n v="0.33333333333333331"/>
    <s v="sicilian_s"/>
    <n v="1"/>
    <x v="49"/>
    <x v="4"/>
    <x v="1413"/>
    <n v="12.25"/>
    <n v="12.25"/>
    <x v="1"/>
    <x v="2"/>
    <s v="Coarse Sicilian Salami, Tomatoes, Green Olives, Luganega Sausage, Onions, Garlic"/>
    <x v="7"/>
  </r>
  <r>
    <n v="16400"/>
    <n v="7219"/>
    <n v="0.33333333333333331"/>
    <s v="the_greek_m"/>
    <n v="1"/>
    <x v="49"/>
    <x v="4"/>
    <x v="1413"/>
    <n v="16"/>
    <n v="16"/>
    <x v="0"/>
    <x v="0"/>
    <s v="Kalamata Olives, Feta Cheese, Tomatoes, Garlic, Beef Chuck Roast, Red Onions"/>
    <x v="2"/>
  </r>
  <r>
    <n v="16401"/>
    <n v="7220"/>
    <n v="1"/>
    <s v="sicilian_l"/>
    <n v="1"/>
    <x v="49"/>
    <x v="4"/>
    <x v="1414"/>
    <n v="20.25"/>
    <n v="20.25"/>
    <x v="2"/>
    <x v="2"/>
    <s v="Coarse Sicilian Salami, Tomatoes, Green Olives, Luganega Sausage, Onions, Garlic"/>
    <x v="7"/>
  </r>
  <r>
    <n v="16409"/>
    <n v="7224"/>
    <n v="1"/>
    <s v="sicilian_l"/>
    <n v="1"/>
    <x v="49"/>
    <x v="4"/>
    <x v="1415"/>
    <n v="20.25"/>
    <n v="20.25"/>
    <x v="2"/>
    <x v="2"/>
    <s v="Coarse Sicilian Salami, Tomatoes, Green Olives, Luganega Sausage, Onions, Garlic"/>
    <x v="7"/>
  </r>
  <r>
    <n v="16411"/>
    <n v="7225"/>
    <n v="1"/>
    <s v="pepperoni_l"/>
    <n v="1"/>
    <x v="49"/>
    <x v="4"/>
    <x v="1416"/>
    <n v="15.25"/>
    <n v="15.25"/>
    <x v="2"/>
    <x v="0"/>
    <s v="Mozzarella Cheese, Pepperoni"/>
    <x v="3"/>
  </r>
  <r>
    <n v="16414"/>
    <n v="7227"/>
    <n v="0.5"/>
    <s v="big_meat_s"/>
    <n v="1"/>
    <x v="49"/>
    <x v="4"/>
    <x v="1417"/>
    <n v="12"/>
    <n v="12"/>
    <x v="1"/>
    <x v="0"/>
    <s v="Bacon, Pepperoni, Italian Sausage, Chorizo Sausage"/>
    <x v="4"/>
  </r>
  <r>
    <n v="16416"/>
    <n v="7227"/>
    <n v="0.5"/>
    <s v="hawaiian_l"/>
    <n v="1"/>
    <x v="49"/>
    <x v="4"/>
    <x v="1417"/>
    <n v="16.5"/>
    <n v="16.5"/>
    <x v="2"/>
    <x v="0"/>
    <s v="Sliced Ham, Pineapple, Mozzarella Cheese"/>
    <x v="0"/>
  </r>
  <r>
    <n v="16426"/>
    <n v="7233"/>
    <n v="0.5"/>
    <s v="calabrese_s"/>
    <n v="1"/>
    <x v="49"/>
    <x v="4"/>
    <x v="1418"/>
    <n v="12.25"/>
    <n v="12.25"/>
    <x v="1"/>
    <x v="2"/>
    <s v="?duja Salami, Pancetta, Tomatoes, Red Onions, Friggitello Peppers, Garlic"/>
    <x v="6"/>
  </r>
  <r>
    <n v="16429"/>
    <n v="7233"/>
    <n v="0.5"/>
    <s v="pepperoni_m"/>
    <n v="1"/>
    <x v="49"/>
    <x v="4"/>
    <x v="1418"/>
    <n v="12.5"/>
    <n v="12.5"/>
    <x v="0"/>
    <x v="0"/>
    <s v="Mozzarella Cheese, Pepperoni"/>
    <x v="3"/>
  </r>
  <r>
    <n v="16430"/>
    <n v="7234"/>
    <n v="0.5"/>
    <s v="brie_carre_s"/>
    <n v="1"/>
    <x v="49"/>
    <x v="4"/>
    <x v="1419"/>
    <n v="23.65"/>
    <n v="23.65"/>
    <x v="1"/>
    <x v="2"/>
    <s v="Brie Carre Cheese, Prosciutto, Caramelized Onions, Pears, Thyme, Garlic"/>
    <x v="8"/>
  </r>
  <r>
    <n v="16431"/>
    <n v="7234"/>
    <n v="0.5"/>
    <s v="pepperoni_s"/>
    <n v="1"/>
    <x v="49"/>
    <x v="4"/>
    <x v="1419"/>
    <n v="9.75"/>
    <n v="9.75"/>
    <x v="1"/>
    <x v="0"/>
    <s v="Mozzarella Cheese, Pepperoni"/>
    <x v="3"/>
  </r>
  <r>
    <n v="16432"/>
    <n v="7235"/>
    <n v="0.5"/>
    <s v="mexicana_l"/>
    <n v="1"/>
    <x v="49"/>
    <x v="4"/>
    <x v="1420"/>
    <n v="20.25"/>
    <n v="20.25"/>
    <x v="2"/>
    <x v="1"/>
    <s v="Tomatoes, Red Peppers, Jalapeno Peppers, Red Onions, Cilantro, Corn, Chipotle Sauce, Garlic"/>
    <x v="1"/>
  </r>
  <r>
    <n v="16434"/>
    <n v="7235"/>
    <n v="0.5"/>
    <s v="the_greek_m"/>
    <n v="1"/>
    <x v="49"/>
    <x v="4"/>
    <x v="1420"/>
    <n v="16"/>
    <n v="16"/>
    <x v="0"/>
    <x v="0"/>
    <s v="Kalamata Olives, Feta Cheese, Tomatoes, Garlic, Beef Chuck Roast, Red Onions"/>
    <x v="2"/>
  </r>
  <r>
    <n v="16436"/>
    <n v="7236"/>
    <n v="1"/>
    <s v="pepperoni_m"/>
    <n v="1"/>
    <x v="49"/>
    <x v="4"/>
    <x v="1421"/>
    <n v="12.5"/>
    <n v="12.5"/>
    <x v="0"/>
    <x v="0"/>
    <s v="Mozzarella Cheese, Pepperoni"/>
    <x v="3"/>
  </r>
  <r>
    <n v="16437"/>
    <n v="7237"/>
    <n v="1"/>
    <s v="the_greek_l"/>
    <n v="1"/>
    <x v="49"/>
    <x v="4"/>
    <x v="1422"/>
    <n v="20.5"/>
    <n v="20.5"/>
    <x v="2"/>
    <x v="0"/>
    <s v="Kalamata Olives, Feta Cheese, Tomatoes, Garlic, Beef Chuck Roast, Red Onions"/>
    <x v="2"/>
  </r>
  <r>
    <n v="16450"/>
    <n v="7244"/>
    <n v="1"/>
    <s v="pepperoni_s"/>
    <n v="1"/>
    <x v="49"/>
    <x v="4"/>
    <x v="1423"/>
    <n v="9.75"/>
    <n v="9.75"/>
    <x v="1"/>
    <x v="0"/>
    <s v="Mozzarella Cheese, Pepperoni"/>
    <x v="3"/>
  </r>
  <r>
    <n v="16455"/>
    <n v="7246"/>
    <n v="1"/>
    <s v="big_meat_s"/>
    <n v="1"/>
    <x v="10"/>
    <x v="0"/>
    <x v="1424"/>
    <n v="12"/>
    <n v="12"/>
    <x v="1"/>
    <x v="0"/>
    <s v="Bacon, Pepperoni, Italian Sausage, Chorizo Sausage"/>
    <x v="4"/>
  </r>
  <r>
    <n v="16457"/>
    <n v="7247"/>
    <n v="1"/>
    <s v="big_meat_s"/>
    <n v="1"/>
    <x v="10"/>
    <x v="0"/>
    <x v="1425"/>
    <n v="12"/>
    <n v="12"/>
    <x v="1"/>
    <x v="0"/>
    <s v="Bacon, Pepperoni, Italian Sausage, Chorizo Sausage"/>
    <x v="4"/>
  </r>
  <r>
    <n v="16467"/>
    <n v="7248"/>
    <n v="0.33333333333333331"/>
    <s v="napolitana_m"/>
    <n v="1"/>
    <x v="10"/>
    <x v="0"/>
    <x v="295"/>
    <n v="16"/>
    <n v="16"/>
    <x v="0"/>
    <x v="0"/>
    <s v="Tomatoes, Anchovies, Green Olives, Red Onions, Garlic"/>
    <x v="5"/>
  </r>
  <r>
    <n v="16468"/>
    <n v="7248"/>
    <n v="0.33333333333333331"/>
    <s v="pepperoni_m"/>
    <n v="1"/>
    <x v="10"/>
    <x v="0"/>
    <x v="295"/>
    <n v="12.5"/>
    <n v="12.5"/>
    <x v="0"/>
    <x v="0"/>
    <s v="Mozzarella Cheese, Pepperoni"/>
    <x v="3"/>
  </r>
  <r>
    <n v="16471"/>
    <n v="7249"/>
    <n v="1"/>
    <s v="hawaiian_s"/>
    <n v="1"/>
    <x v="10"/>
    <x v="0"/>
    <x v="1426"/>
    <n v="10.5"/>
    <n v="10.5"/>
    <x v="1"/>
    <x v="0"/>
    <s v="Sliced Ham, Pineapple, Mozzarella Cheese"/>
    <x v="0"/>
  </r>
  <r>
    <n v="16473"/>
    <n v="7251"/>
    <n v="1"/>
    <s v="brie_carre_s"/>
    <n v="1"/>
    <x v="10"/>
    <x v="0"/>
    <x v="1427"/>
    <n v="23.65"/>
    <n v="23.65"/>
    <x v="1"/>
    <x v="2"/>
    <s v="Brie Carre Cheese, Prosciutto, Caramelized Onions, Pears, Thyme, Garlic"/>
    <x v="8"/>
  </r>
  <r>
    <n v="16478"/>
    <n v="7253"/>
    <n v="0.5"/>
    <s v="hawaiian_m"/>
    <n v="1"/>
    <x v="10"/>
    <x v="0"/>
    <x v="1428"/>
    <n v="13.25"/>
    <n v="13.25"/>
    <x v="0"/>
    <x v="0"/>
    <s v="Sliced Ham, Pineapple, Mozzarella Cheese"/>
    <x v="0"/>
  </r>
  <r>
    <n v="16479"/>
    <n v="7253"/>
    <n v="0.5"/>
    <s v="hawaiian_s"/>
    <n v="1"/>
    <x v="10"/>
    <x v="0"/>
    <x v="1428"/>
    <n v="10.5"/>
    <n v="10.5"/>
    <x v="1"/>
    <x v="0"/>
    <s v="Sliced Ham, Pineapple, Mozzarella Cheese"/>
    <x v="0"/>
  </r>
  <r>
    <n v="16487"/>
    <n v="7256"/>
    <n v="1"/>
    <s v="hawaiian_m"/>
    <n v="1"/>
    <x v="10"/>
    <x v="0"/>
    <x v="1429"/>
    <n v="13.25"/>
    <n v="13.25"/>
    <x v="0"/>
    <x v="0"/>
    <s v="Sliced Ham, Pineapple, Mozzarella Cheese"/>
    <x v="0"/>
  </r>
  <r>
    <n v="16489"/>
    <n v="7257"/>
    <n v="0.5"/>
    <s v="napolitana_l"/>
    <n v="1"/>
    <x v="10"/>
    <x v="0"/>
    <x v="1153"/>
    <n v="20.5"/>
    <n v="20.5"/>
    <x v="2"/>
    <x v="0"/>
    <s v="Tomatoes, Anchovies, Green Olives, Red Onions, Garlic"/>
    <x v="5"/>
  </r>
  <r>
    <n v="16490"/>
    <n v="7257"/>
    <n v="0.5"/>
    <s v="pepperoni_m"/>
    <n v="1"/>
    <x v="10"/>
    <x v="0"/>
    <x v="1153"/>
    <n v="12.5"/>
    <n v="12.5"/>
    <x v="0"/>
    <x v="0"/>
    <s v="Mozzarella Cheese, Pepperoni"/>
    <x v="3"/>
  </r>
  <r>
    <n v="16496"/>
    <n v="7260"/>
    <n v="1"/>
    <s v="napolitana_m"/>
    <n v="1"/>
    <x v="10"/>
    <x v="0"/>
    <x v="1430"/>
    <n v="16"/>
    <n v="16"/>
    <x v="0"/>
    <x v="0"/>
    <s v="Tomatoes, Anchovies, Green Olives, Red Onions, Garlic"/>
    <x v="5"/>
  </r>
  <r>
    <n v="16505"/>
    <n v="7265"/>
    <n v="0.5"/>
    <s v="hawaiian_s"/>
    <n v="1"/>
    <x v="10"/>
    <x v="0"/>
    <x v="1431"/>
    <n v="10.5"/>
    <n v="10.5"/>
    <x v="1"/>
    <x v="0"/>
    <s v="Sliced Ham, Pineapple, Mozzarella Cheese"/>
    <x v="0"/>
  </r>
  <r>
    <n v="16506"/>
    <n v="7265"/>
    <n v="0.5"/>
    <s v="pepperoni_s"/>
    <n v="1"/>
    <x v="10"/>
    <x v="0"/>
    <x v="1431"/>
    <n v="9.75"/>
    <n v="9.75"/>
    <x v="1"/>
    <x v="0"/>
    <s v="Mozzarella Cheese, Pepperoni"/>
    <x v="3"/>
  </r>
  <r>
    <n v="16514"/>
    <n v="7270"/>
    <n v="1"/>
    <s v="hawaiian_s"/>
    <n v="1"/>
    <x v="10"/>
    <x v="0"/>
    <x v="1432"/>
    <n v="10.5"/>
    <n v="10.5"/>
    <x v="1"/>
    <x v="0"/>
    <s v="Sliced Ham, Pineapple, Mozzarella Cheese"/>
    <x v="0"/>
  </r>
  <r>
    <n v="16516"/>
    <n v="7272"/>
    <n v="1"/>
    <s v="big_meat_s"/>
    <n v="1"/>
    <x v="10"/>
    <x v="0"/>
    <x v="1433"/>
    <n v="12"/>
    <n v="12"/>
    <x v="1"/>
    <x v="0"/>
    <s v="Bacon, Pepperoni, Italian Sausage, Chorizo Sausage"/>
    <x v="4"/>
  </r>
  <r>
    <n v="16521"/>
    <n v="7274"/>
    <n v="1"/>
    <s v="mexicana_m"/>
    <n v="1"/>
    <x v="10"/>
    <x v="0"/>
    <x v="1434"/>
    <n v="16"/>
    <n v="16"/>
    <x v="0"/>
    <x v="1"/>
    <s v="Tomatoes, Red Peppers, Jalapeno Peppers, Red Onions, Cilantro, Corn, Chipotle Sauce, Garlic"/>
    <x v="1"/>
  </r>
  <r>
    <n v="16525"/>
    <n v="7276"/>
    <n v="1"/>
    <s v="big_meat_s"/>
    <n v="1"/>
    <x v="10"/>
    <x v="0"/>
    <x v="1435"/>
    <n v="12"/>
    <n v="12"/>
    <x v="1"/>
    <x v="0"/>
    <s v="Bacon, Pepperoni, Italian Sausage, Chorizo Sausage"/>
    <x v="4"/>
  </r>
  <r>
    <n v="16532"/>
    <n v="7280"/>
    <n v="1"/>
    <s v="the_greek_xl"/>
    <n v="1"/>
    <x v="10"/>
    <x v="0"/>
    <x v="1436"/>
    <n v="25.5"/>
    <n v="25.5"/>
    <x v="3"/>
    <x v="0"/>
    <s v="Kalamata Olives, Feta Cheese, Tomatoes, Garlic, Beef Chuck Roast, Red Onions"/>
    <x v="2"/>
  </r>
  <r>
    <n v="16543"/>
    <n v="7284"/>
    <n v="1"/>
    <s v="calabrese_s"/>
    <n v="1"/>
    <x v="10"/>
    <x v="0"/>
    <x v="1437"/>
    <n v="12.25"/>
    <n v="12.25"/>
    <x v="1"/>
    <x v="2"/>
    <s v="?duja Salami, Pancetta, Tomatoes, Red Onions, Friggitello Peppers, Garlic"/>
    <x v="6"/>
  </r>
  <r>
    <n v="16547"/>
    <n v="7286"/>
    <n v="1"/>
    <s v="pepperoni_l"/>
    <n v="1"/>
    <x v="10"/>
    <x v="0"/>
    <x v="1438"/>
    <n v="15.25"/>
    <n v="15.25"/>
    <x v="2"/>
    <x v="0"/>
    <s v="Mozzarella Cheese, Pepperoni"/>
    <x v="3"/>
  </r>
  <r>
    <n v="16548"/>
    <n v="7287"/>
    <n v="1"/>
    <s v="the_greek_xl"/>
    <n v="1"/>
    <x v="10"/>
    <x v="0"/>
    <x v="1439"/>
    <n v="25.5"/>
    <n v="25.5"/>
    <x v="3"/>
    <x v="0"/>
    <s v="Kalamata Olives, Feta Cheese, Tomatoes, Garlic, Beef Chuck Roast, Red Onions"/>
    <x v="2"/>
  </r>
  <r>
    <n v="16560"/>
    <n v="7292"/>
    <n v="1"/>
    <s v="hawaiian_s"/>
    <n v="1"/>
    <x v="10"/>
    <x v="0"/>
    <x v="1440"/>
    <n v="10.5"/>
    <n v="10.5"/>
    <x v="1"/>
    <x v="0"/>
    <s v="Sliced Ham, Pineapple, Mozzarella Cheese"/>
    <x v="0"/>
  </r>
  <r>
    <n v="16561"/>
    <n v="7293"/>
    <n v="1"/>
    <s v="big_meat_s"/>
    <n v="1"/>
    <x v="10"/>
    <x v="0"/>
    <x v="1441"/>
    <n v="12"/>
    <n v="12"/>
    <x v="1"/>
    <x v="0"/>
    <s v="Bacon, Pepperoni, Italian Sausage, Chorizo Sausage"/>
    <x v="4"/>
  </r>
  <r>
    <n v="16565"/>
    <n v="7294"/>
    <n v="1"/>
    <s v="sicilian_l"/>
    <n v="1"/>
    <x v="10"/>
    <x v="0"/>
    <x v="1442"/>
    <n v="20.25"/>
    <n v="20.25"/>
    <x v="2"/>
    <x v="2"/>
    <s v="Coarse Sicilian Salami, Tomatoes, Green Olives, Luganega Sausage, Onions, Garlic"/>
    <x v="7"/>
  </r>
  <r>
    <n v="16576"/>
    <n v="7301"/>
    <n v="1"/>
    <s v="pepperoni_l"/>
    <n v="1"/>
    <x v="10"/>
    <x v="0"/>
    <x v="1443"/>
    <n v="15.25"/>
    <n v="15.25"/>
    <x v="2"/>
    <x v="0"/>
    <s v="Mozzarella Cheese, Pepperoni"/>
    <x v="3"/>
  </r>
  <r>
    <n v="16581"/>
    <n v="7303"/>
    <n v="0.5"/>
    <s v="the_greek_l"/>
    <n v="1"/>
    <x v="10"/>
    <x v="0"/>
    <x v="1444"/>
    <n v="20.5"/>
    <n v="20.5"/>
    <x v="2"/>
    <x v="0"/>
    <s v="Kalamata Olives, Feta Cheese, Tomatoes, Garlic, Beef Chuck Roast, Red Onions"/>
    <x v="2"/>
  </r>
  <r>
    <n v="16582"/>
    <n v="7303"/>
    <n v="0.5"/>
    <s v="the_greek_xl"/>
    <n v="1"/>
    <x v="10"/>
    <x v="0"/>
    <x v="1444"/>
    <n v="25.5"/>
    <n v="25.5"/>
    <x v="3"/>
    <x v="0"/>
    <s v="Kalamata Olives, Feta Cheese, Tomatoes, Garlic, Beef Chuck Roast, Red Onions"/>
    <x v="2"/>
  </r>
  <r>
    <n v="16583"/>
    <n v="7304"/>
    <n v="0.5"/>
    <s v="big_meat_s"/>
    <n v="1"/>
    <x v="10"/>
    <x v="0"/>
    <x v="1445"/>
    <n v="12"/>
    <n v="12"/>
    <x v="1"/>
    <x v="0"/>
    <s v="Bacon, Pepperoni, Italian Sausage, Chorizo Sausage"/>
    <x v="4"/>
  </r>
  <r>
    <n v="16585"/>
    <n v="7304"/>
    <n v="0.5"/>
    <s v="pepperoni_m"/>
    <n v="1"/>
    <x v="10"/>
    <x v="0"/>
    <x v="1445"/>
    <n v="12.5"/>
    <n v="12.5"/>
    <x v="0"/>
    <x v="0"/>
    <s v="Mozzarella Cheese, Pepperoni"/>
    <x v="3"/>
  </r>
  <r>
    <n v="16595"/>
    <n v="7307"/>
    <n v="1"/>
    <s v="sicilian_s"/>
    <n v="1"/>
    <x v="10"/>
    <x v="0"/>
    <x v="1446"/>
    <n v="12.25"/>
    <n v="12.25"/>
    <x v="1"/>
    <x v="2"/>
    <s v="Coarse Sicilian Salami, Tomatoes, Green Olives, Luganega Sausage, Onions, Garlic"/>
    <x v="7"/>
  </r>
  <r>
    <n v="16607"/>
    <n v="7315"/>
    <n v="1"/>
    <s v="mexicana_m"/>
    <n v="1"/>
    <x v="50"/>
    <x v="0"/>
    <x v="1447"/>
    <n v="16"/>
    <n v="16"/>
    <x v="0"/>
    <x v="1"/>
    <s v="Tomatoes, Red Peppers, Jalapeno Peppers, Red Onions, Cilantro, Corn, Chipotle Sauce, Garlic"/>
    <x v="1"/>
  </r>
  <r>
    <n v="16610"/>
    <n v="7317"/>
    <n v="1"/>
    <s v="big_meat_s"/>
    <n v="1"/>
    <x v="50"/>
    <x v="0"/>
    <x v="1448"/>
    <n v="12"/>
    <n v="12"/>
    <x v="1"/>
    <x v="0"/>
    <s v="Bacon, Pepperoni, Italian Sausage, Chorizo Sausage"/>
    <x v="4"/>
  </r>
  <r>
    <n v="16613"/>
    <n v="7318"/>
    <n v="0.5"/>
    <s v="hawaiian_l"/>
    <n v="1"/>
    <x v="50"/>
    <x v="0"/>
    <x v="1449"/>
    <n v="16.5"/>
    <n v="16.5"/>
    <x v="2"/>
    <x v="0"/>
    <s v="Sliced Ham, Pineapple, Mozzarella Cheese"/>
    <x v="0"/>
  </r>
  <r>
    <n v="16614"/>
    <n v="7318"/>
    <n v="0.5"/>
    <s v="pepperoni_l"/>
    <n v="1"/>
    <x v="50"/>
    <x v="0"/>
    <x v="1449"/>
    <n v="15.25"/>
    <n v="15.25"/>
    <x v="2"/>
    <x v="0"/>
    <s v="Mozzarella Cheese, Pepperoni"/>
    <x v="3"/>
  </r>
  <r>
    <n v="16622"/>
    <n v="7322"/>
    <n v="1"/>
    <s v="pepperoni_s"/>
    <n v="1"/>
    <x v="50"/>
    <x v="0"/>
    <x v="1450"/>
    <n v="9.75"/>
    <n v="9.75"/>
    <x v="1"/>
    <x v="0"/>
    <s v="Mozzarella Cheese, Pepperoni"/>
    <x v="3"/>
  </r>
  <r>
    <n v="16624"/>
    <n v="7323"/>
    <n v="0.5"/>
    <s v="big_meat_s"/>
    <n v="1"/>
    <x v="50"/>
    <x v="0"/>
    <x v="1451"/>
    <n v="12"/>
    <n v="12"/>
    <x v="1"/>
    <x v="0"/>
    <s v="Bacon, Pepperoni, Italian Sausage, Chorizo Sausage"/>
    <x v="4"/>
  </r>
  <r>
    <n v="16628"/>
    <n v="7323"/>
    <n v="0.5"/>
    <s v="hawaiian_l"/>
    <n v="1"/>
    <x v="50"/>
    <x v="0"/>
    <x v="1451"/>
    <n v="16.5"/>
    <n v="16.5"/>
    <x v="2"/>
    <x v="0"/>
    <s v="Sliced Ham, Pineapple, Mozzarella Cheese"/>
    <x v="0"/>
  </r>
  <r>
    <n v="16639"/>
    <n v="7325"/>
    <n v="1"/>
    <s v="sicilian_m"/>
    <n v="1"/>
    <x v="50"/>
    <x v="0"/>
    <x v="1452"/>
    <n v="16.25"/>
    <n v="16.25"/>
    <x v="0"/>
    <x v="2"/>
    <s v="Coarse Sicilian Salami, Tomatoes, Green Olives, Luganega Sausage, Onions, Garlic"/>
    <x v="7"/>
  </r>
  <r>
    <n v="16640"/>
    <n v="7326"/>
    <n v="1"/>
    <s v="big_meat_s"/>
    <n v="1"/>
    <x v="50"/>
    <x v="0"/>
    <x v="1453"/>
    <n v="12"/>
    <n v="12"/>
    <x v="1"/>
    <x v="0"/>
    <s v="Bacon, Pepperoni, Italian Sausage, Chorizo Sausage"/>
    <x v="4"/>
  </r>
  <r>
    <n v="16641"/>
    <n v="7327"/>
    <n v="1"/>
    <s v="brie_carre_s"/>
    <n v="1"/>
    <x v="50"/>
    <x v="0"/>
    <x v="1454"/>
    <n v="23.65"/>
    <n v="23.65"/>
    <x v="1"/>
    <x v="2"/>
    <s v="Brie Carre Cheese, Prosciutto, Caramelized Onions, Pears, Thyme, Garlic"/>
    <x v="8"/>
  </r>
  <r>
    <n v="16658"/>
    <n v="7334"/>
    <n v="1"/>
    <s v="pepperoni_l"/>
    <n v="1"/>
    <x v="50"/>
    <x v="0"/>
    <x v="1455"/>
    <n v="15.25"/>
    <n v="15.25"/>
    <x v="2"/>
    <x v="0"/>
    <s v="Mozzarella Cheese, Pepperoni"/>
    <x v="3"/>
  </r>
  <r>
    <n v="16661"/>
    <n v="7335"/>
    <n v="1"/>
    <s v="hawaiian_s"/>
    <n v="1"/>
    <x v="50"/>
    <x v="0"/>
    <x v="1456"/>
    <n v="10.5"/>
    <n v="10.5"/>
    <x v="1"/>
    <x v="0"/>
    <s v="Sliced Ham, Pineapple, Mozzarella Cheese"/>
    <x v="0"/>
  </r>
  <r>
    <n v="16662"/>
    <n v="7336"/>
    <n v="0.5"/>
    <s v="pepperoni_l"/>
    <n v="1"/>
    <x v="50"/>
    <x v="0"/>
    <x v="1457"/>
    <n v="15.25"/>
    <n v="15.25"/>
    <x v="2"/>
    <x v="0"/>
    <s v="Mozzarella Cheese, Pepperoni"/>
    <x v="3"/>
  </r>
  <r>
    <n v="16663"/>
    <n v="7336"/>
    <n v="0.5"/>
    <s v="pepperoni_s"/>
    <n v="1"/>
    <x v="50"/>
    <x v="0"/>
    <x v="1457"/>
    <n v="9.75"/>
    <n v="9.75"/>
    <x v="1"/>
    <x v="0"/>
    <s v="Mozzarella Cheese, Pepperoni"/>
    <x v="3"/>
  </r>
  <r>
    <n v="16669"/>
    <n v="7337"/>
    <n v="1"/>
    <s v="the_greek_xl"/>
    <n v="1"/>
    <x v="50"/>
    <x v="0"/>
    <x v="1458"/>
    <n v="25.5"/>
    <n v="25.5"/>
    <x v="3"/>
    <x v="0"/>
    <s v="Kalamata Olives, Feta Cheese, Tomatoes, Garlic, Beef Chuck Roast, Red Onions"/>
    <x v="2"/>
  </r>
  <r>
    <n v="16670"/>
    <n v="7338"/>
    <n v="1"/>
    <s v="pepperoni_l"/>
    <n v="1"/>
    <x v="50"/>
    <x v="0"/>
    <x v="1459"/>
    <n v="15.25"/>
    <n v="15.25"/>
    <x v="2"/>
    <x v="0"/>
    <s v="Mozzarella Cheese, Pepperoni"/>
    <x v="3"/>
  </r>
  <r>
    <n v="16673"/>
    <n v="7340"/>
    <n v="1"/>
    <s v="pepperoni_m"/>
    <n v="1"/>
    <x v="50"/>
    <x v="0"/>
    <x v="1460"/>
    <n v="12.5"/>
    <n v="12.5"/>
    <x v="0"/>
    <x v="0"/>
    <s v="Mozzarella Cheese, Pepperoni"/>
    <x v="3"/>
  </r>
  <r>
    <n v="16676"/>
    <n v="7342"/>
    <n v="1"/>
    <s v="hawaiian_s"/>
    <n v="1"/>
    <x v="50"/>
    <x v="0"/>
    <x v="1461"/>
    <n v="10.5"/>
    <n v="10.5"/>
    <x v="1"/>
    <x v="0"/>
    <s v="Sliced Ham, Pineapple, Mozzarella Cheese"/>
    <x v="0"/>
  </r>
  <r>
    <n v="16682"/>
    <n v="7345"/>
    <n v="1"/>
    <s v="hawaiian_m"/>
    <n v="1"/>
    <x v="50"/>
    <x v="0"/>
    <x v="1462"/>
    <n v="13.25"/>
    <n v="13.25"/>
    <x v="0"/>
    <x v="0"/>
    <s v="Sliced Ham, Pineapple, Mozzarella Cheese"/>
    <x v="0"/>
  </r>
  <r>
    <n v="16690"/>
    <n v="7350"/>
    <n v="1"/>
    <s v="hawaiian_s"/>
    <n v="1"/>
    <x v="50"/>
    <x v="0"/>
    <x v="1463"/>
    <n v="10.5"/>
    <n v="10.5"/>
    <x v="1"/>
    <x v="0"/>
    <s v="Sliced Ham, Pineapple, Mozzarella Cheese"/>
    <x v="0"/>
  </r>
  <r>
    <n v="16693"/>
    <n v="7352"/>
    <n v="0.5"/>
    <s v="big_meat_s"/>
    <n v="1"/>
    <x v="50"/>
    <x v="0"/>
    <x v="1464"/>
    <n v="12"/>
    <n v="12"/>
    <x v="1"/>
    <x v="0"/>
    <s v="Bacon, Pepperoni, Italian Sausage, Chorizo Sausage"/>
    <x v="4"/>
  </r>
  <r>
    <n v="16696"/>
    <n v="7352"/>
    <n v="0.5"/>
    <s v="the_greek_m"/>
    <n v="1"/>
    <x v="50"/>
    <x v="0"/>
    <x v="1464"/>
    <n v="16"/>
    <n v="16"/>
    <x v="0"/>
    <x v="0"/>
    <s v="Kalamata Olives, Feta Cheese, Tomatoes, Garlic, Beef Chuck Roast, Red Onions"/>
    <x v="2"/>
  </r>
  <r>
    <n v="16697"/>
    <n v="7353"/>
    <n v="1"/>
    <s v="big_meat_s"/>
    <n v="1"/>
    <x v="50"/>
    <x v="0"/>
    <x v="1465"/>
    <n v="12"/>
    <n v="12"/>
    <x v="1"/>
    <x v="0"/>
    <s v="Bacon, Pepperoni, Italian Sausage, Chorizo Sausage"/>
    <x v="4"/>
  </r>
  <r>
    <n v="16700"/>
    <n v="7356"/>
    <n v="0.5"/>
    <s v="big_meat_s"/>
    <n v="1"/>
    <x v="50"/>
    <x v="0"/>
    <x v="1466"/>
    <n v="12"/>
    <n v="12"/>
    <x v="1"/>
    <x v="0"/>
    <s v="Bacon, Pepperoni, Italian Sausage, Chorizo Sausage"/>
    <x v="4"/>
  </r>
  <r>
    <n v="16701"/>
    <n v="7356"/>
    <n v="0.5"/>
    <s v="brie_carre_s"/>
    <n v="1"/>
    <x v="50"/>
    <x v="0"/>
    <x v="1466"/>
    <n v="23.65"/>
    <n v="23.65"/>
    <x v="1"/>
    <x v="2"/>
    <s v="Brie Carre Cheese, Prosciutto, Caramelized Onions, Pears, Thyme, Garlic"/>
    <x v="8"/>
  </r>
  <r>
    <n v="16706"/>
    <n v="7358"/>
    <n v="1"/>
    <s v="calabrese_m"/>
    <n v="1"/>
    <x v="50"/>
    <x v="0"/>
    <x v="129"/>
    <n v="16.25"/>
    <n v="16.25"/>
    <x v="0"/>
    <x v="2"/>
    <s v="?duja Salami, Pancetta, Tomatoes, Red Onions, Friggitello Peppers, Garlic"/>
    <x v="6"/>
  </r>
  <r>
    <n v="16708"/>
    <n v="7359"/>
    <n v="0.33333333333333331"/>
    <s v="hawaiian_l"/>
    <n v="1"/>
    <x v="50"/>
    <x v="0"/>
    <x v="1467"/>
    <n v="16.5"/>
    <n v="16.5"/>
    <x v="2"/>
    <x v="0"/>
    <s v="Sliced Ham, Pineapple, Mozzarella Cheese"/>
    <x v="0"/>
  </r>
  <r>
    <n v="16709"/>
    <n v="7359"/>
    <n v="0.33333333333333331"/>
    <s v="napolitana_m"/>
    <n v="1"/>
    <x v="50"/>
    <x v="0"/>
    <x v="1467"/>
    <n v="16"/>
    <n v="16"/>
    <x v="0"/>
    <x v="0"/>
    <s v="Tomatoes, Anchovies, Green Olives, Red Onions, Garlic"/>
    <x v="5"/>
  </r>
  <r>
    <n v="16710"/>
    <n v="7359"/>
    <n v="0.33333333333333331"/>
    <s v="pepperoni_m"/>
    <n v="1"/>
    <x v="50"/>
    <x v="0"/>
    <x v="1467"/>
    <n v="12.5"/>
    <n v="12.5"/>
    <x v="0"/>
    <x v="0"/>
    <s v="Mozzarella Cheese, Pepperoni"/>
    <x v="3"/>
  </r>
  <r>
    <n v="16715"/>
    <n v="7361"/>
    <n v="1"/>
    <s v="pepperoni_m"/>
    <n v="1"/>
    <x v="50"/>
    <x v="0"/>
    <x v="1468"/>
    <n v="12.5"/>
    <n v="12.5"/>
    <x v="0"/>
    <x v="0"/>
    <s v="Mozzarella Cheese, Pepperoni"/>
    <x v="3"/>
  </r>
  <r>
    <n v="16719"/>
    <n v="7363"/>
    <n v="0.33333333333333331"/>
    <s v="hawaiian_l"/>
    <n v="1"/>
    <x v="51"/>
    <x v="1"/>
    <x v="1469"/>
    <n v="16.5"/>
    <n v="16.5"/>
    <x v="2"/>
    <x v="0"/>
    <s v="Sliced Ham, Pineapple, Mozzarella Cheese"/>
    <x v="0"/>
  </r>
  <r>
    <n v="16722"/>
    <n v="7363"/>
    <n v="0.33333333333333331"/>
    <s v="mexicana_s"/>
    <n v="1"/>
    <x v="51"/>
    <x v="1"/>
    <x v="1469"/>
    <n v="12"/>
    <n v="12"/>
    <x v="1"/>
    <x v="1"/>
    <s v="Tomatoes, Red Peppers, Jalapeno Peppers, Red Onions, Cilantro, Corn, Chipotle Sauce, Garlic"/>
    <x v="1"/>
  </r>
  <r>
    <n v="16724"/>
    <n v="7363"/>
    <n v="0.33333333333333331"/>
    <s v="the_greek_m"/>
    <n v="1"/>
    <x v="51"/>
    <x v="1"/>
    <x v="1469"/>
    <n v="16"/>
    <n v="16"/>
    <x v="0"/>
    <x v="0"/>
    <s v="Kalamata Olives, Feta Cheese, Tomatoes, Garlic, Beef Chuck Roast, Red Onions"/>
    <x v="2"/>
  </r>
  <r>
    <n v="16728"/>
    <n v="7364"/>
    <n v="0.5"/>
    <s v="hawaiian_s"/>
    <n v="1"/>
    <x v="51"/>
    <x v="1"/>
    <x v="1470"/>
    <n v="10.5"/>
    <n v="10.5"/>
    <x v="1"/>
    <x v="0"/>
    <s v="Sliced Ham, Pineapple, Mozzarella Cheese"/>
    <x v="0"/>
  </r>
  <r>
    <n v="16729"/>
    <n v="7364"/>
    <n v="0.5"/>
    <s v="pepperoni_s"/>
    <n v="1"/>
    <x v="51"/>
    <x v="1"/>
    <x v="1470"/>
    <n v="9.75"/>
    <n v="9.75"/>
    <x v="1"/>
    <x v="0"/>
    <s v="Mozzarella Cheese, Pepperoni"/>
    <x v="3"/>
  </r>
  <r>
    <n v="16736"/>
    <n v="7367"/>
    <n v="1"/>
    <s v="pepperoni_l"/>
    <n v="1"/>
    <x v="51"/>
    <x v="1"/>
    <x v="1471"/>
    <n v="15.25"/>
    <n v="15.25"/>
    <x v="2"/>
    <x v="0"/>
    <s v="Mozzarella Cheese, Pepperoni"/>
    <x v="3"/>
  </r>
  <r>
    <n v="16737"/>
    <n v="7368"/>
    <n v="1"/>
    <s v="hawaiian_l"/>
    <n v="1"/>
    <x v="51"/>
    <x v="1"/>
    <x v="1472"/>
    <n v="16.5"/>
    <n v="16.5"/>
    <x v="2"/>
    <x v="0"/>
    <s v="Sliced Ham, Pineapple, Mozzarella Cheese"/>
    <x v="0"/>
  </r>
  <r>
    <n v="16739"/>
    <n v="7369"/>
    <n v="1"/>
    <s v="calabrese_m"/>
    <n v="1"/>
    <x v="51"/>
    <x v="1"/>
    <x v="1473"/>
    <n v="16.25"/>
    <n v="16.25"/>
    <x v="0"/>
    <x v="2"/>
    <s v="?duja Salami, Pancetta, Tomatoes, Red Onions, Friggitello Peppers, Garlic"/>
    <x v="6"/>
  </r>
  <r>
    <n v="16747"/>
    <n v="7371"/>
    <n v="0.5"/>
    <s v="brie_carre_s"/>
    <n v="1"/>
    <x v="51"/>
    <x v="1"/>
    <x v="1474"/>
    <n v="23.65"/>
    <n v="23.65"/>
    <x v="1"/>
    <x v="2"/>
    <s v="Brie Carre Cheese, Prosciutto, Caramelized Onions, Pears, Thyme, Garlic"/>
    <x v="8"/>
  </r>
  <r>
    <n v="16748"/>
    <n v="7371"/>
    <n v="0.5"/>
    <s v="pepperoni_l"/>
    <n v="1"/>
    <x v="51"/>
    <x v="1"/>
    <x v="1474"/>
    <n v="15.25"/>
    <n v="15.25"/>
    <x v="2"/>
    <x v="0"/>
    <s v="Mozzarella Cheese, Pepperoni"/>
    <x v="3"/>
  </r>
  <r>
    <n v="16754"/>
    <n v="7372"/>
    <n v="1"/>
    <s v="pepperoni_l"/>
    <n v="1"/>
    <x v="51"/>
    <x v="1"/>
    <x v="1475"/>
    <n v="15.25"/>
    <n v="15.25"/>
    <x v="2"/>
    <x v="0"/>
    <s v="Mozzarella Cheese, Pepperoni"/>
    <x v="3"/>
  </r>
  <r>
    <n v="16755"/>
    <n v="7373"/>
    <n v="1"/>
    <s v="napolitana_m"/>
    <n v="1"/>
    <x v="51"/>
    <x v="1"/>
    <x v="1476"/>
    <n v="16"/>
    <n v="16"/>
    <x v="0"/>
    <x v="0"/>
    <s v="Tomatoes, Anchovies, Green Olives, Red Onions, Garlic"/>
    <x v="5"/>
  </r>
  <r>
    <n v="16756"/>
    <n v="7374"/>
    <n v="1"/>
    <s v="big_meat_s"/>
    <n v="1"/>
    <x v="51"/>
    <x v="1"/>
    <x v="1477"/>
    <n v="12"/>
    <n v="12"/>
    <x v="1"/>
    <x v="0"/>
    <s v="Bacon, Pepperoni, Italian Sausage, Chorizo Sausage"/>
    <x v="4"/>
  </r>
  <r>
    <n v="16757"/>
    <n v="7375"/>
    <n v="0.5"/>
    <s v="pepperoni_m"/>
    <n v="1"/>
    <x v="51"/>
    <x v="1"/>
    <x v="1478"/>
    <n v="12.5"/>
    <n v="12.5"/>
    <x v="0"/>
    <x v="0"/>
    <s v="Mozzarella Cheese, Pepperoni"/>
    <x v="3"/>
  </r>
  <r>
    <n v="16758"/>
    <n v="7375"/>
    <n v="0.5"/>
    <s v="sicilian_s"/>
    <n v="1"/>
    <x v="51"/>
    <x v="1"/>
    <x v="1478"/>
    <n v="12.25"/>
    <n v="12.25"/>
    <x v="1"/>
    <x v="2"/>
    <s v="Coarse Sicilian Salami, Tomatoes, Green Olives, Luganega Sausage, Onions, Garlic"/>
    <x v="7"/>
  </r>
  <r>
    <n v="16760"/>
    <n v="7377"/>
    <n v="1"/>
    <s v="big_meat_s"/>
    <n v="1"/>
    <x v="51"/>
    <x v="1"/>
    <x v="1479"/>
    <n v="12"/>
    <n v="12"/>
    <x v="1"/>
    <x v="0"/>
    <s v="Bacon, Pepperoni, Italian Sausage, Chorizo Sausage"/>
    <x v="4"/>
  </r>
  <r>
    <n v="16770"/>
    <n v="7378"/>
    <n v="0.5"/>
    <s v="napolitana_l"/>
    <n v="1"/>
    <x v="51"/>
    <x v="1"/>
    <x v="1480"/>
    <n v="20.5"/>
    <n v="20.5"/>
    <x v="2"/>
    <x v="0"/>
    <s v="Tomatoes, Anchovies, Green Olives, Red Onions, Garlic"/>
    <x v="5"/>
  </r>
  <r>
    <n v="16772"/>
    <n v="7378"/>
    <n v="0.5"/>
    <s v="pepperoni_m"/>
    <n v="1"/>
    <x v="51"/>
    <x v="1"/>
    <x v="1480"/>
    <n v="12.5"/>
    <n v="12.5"/>
    <x v="0"/>
    <x v="0"/>
    <s v="Mozzarella Cheese, Pepperoni"/>
    <x v="3"/>
  </r>
  <r>
    <n v="16776"/>
    <n v="7379"/>
    <n v="1"/>
    <s v="brie_carre_s"/>
    <n v="1"/>
    <x v="51"/>
    <x v="1"/>
    <x v="1481"/>
    <n v="23.65"/>
    <n v="23.65"/>
    <x v="1"/>
    <x v="2"/>
    <s v="Brie Carre Cheese, Prosciutto, Caramelized Onions, Pears, Thyme, Garlic"/>
    <x v="8"/>
  </r>
  <r>
    <n v="16783"/>
    <n v="7381"/>
    <n v="1"/>
    <s v="hawaiian_m"/>
    <n v="1"/>
    <x v="51"/>
    <x v="1"/>
    <x v="1482"/>
    <n v="13.25"/>
    <n v="13.25"/>
    <x v="0"/>
    <x v="0"/>
    <s v="Sliced Ham, Pineapple, Mozzarella Cheese"/>
    <x v="0"/>
  </r>
  <r>
    <n v="16793"/>
    <n v="7386"/>
    <n v="1"/>
    <s v="big_meat_s"/>
    <n v="1"/>
    <x v="51"/>
    <x v="1"/>
    <x v="1483"/>
    <n v="12"/>
    <n v="12"/>
    <x v="1"/>
    <x v="0"/>
    <s v="Bacon, Pepperoni, Italian Sausage, Chorizo Sausage"/>
    <x v="4"/>
  </r>
  <r>
    <n v="16795"/>
    <n v="7387"/>
    <n v="1"/>
    <s v="hawaiian_s"/>
    <n v="1"/>
    <x v="51"/>
    <x v="1"/>
    <x v="1484"/>
    <n v="10.5"/>
    <n v="10.5"/>
    <x v="1"/>
    <x v="0"/>
    <s v="Sliced Ham, Pineapple, Mozzarella Cheese"/>
    <x v="0"/>
  </r>
  <r>
    <n v="16803"/>
    <n v="7392"/>
    <n v="1"/>
    <s v="mexicana_m"/>
    <n v="1"/>
    <x v="51"/>
    <x v="1"/>
    <x v="1485"/>
    <n v="16"/>
    <n v="16"/>
    <x v="0"/>
    <x v="1"/>
    <s v="Tomatoes, Red Peppers, Jalapeno Peppers, Red Onions, Cilantro, Corn, Chipotle Sauce, Garlic"/>
    <x v="1"/>
  </r>
  <r>
    <n v="16804"/>
    <n v="7393"/>
    <n v="0.5"/>
    <s v="brie_carre_s"/>
    <n v="1"/>
    <x v="51"/>
    <x v="1"/>
    <x v="1486"/>
    <n v="23.65"/>
    <n v="23.65"/>
    <x v="1"/>
    <x v="2"/>
    <s v="Brie Carre Cheese, Prosciutto, Caramelized Onions, Pears, Thyme, Garlic"/>
    <x v="8"/>
  </r>
  <r>
    <n v="16805"/>
    <n v="7393"/>
    <n v="0.5"/>
    <s v="the_greek_s"/>
    <n v="1"/>
    <x v="51"/>
    <x v="1"/>
    <x v="1486"/>
    <n v="12"/>
    <n v="12"/>
    <x v="1"/>
    <x v="0"/>
    <s v="Kalamata Olives, Feta Cheese, Tomatoes, Garlic, Beef Chuck Roast, Red Onions"/>
    <x v="2"/>
  </r>
  <r>
    <n v="16806"/>
    <n v="7394"/>
    <n v="1"/>
    <s v="sicilian_m"/>
    <n v="1"/>
    <x v="51"/>
    <x v="1"/>
    <x v="1487"/>
    <n v="16.25"/>
    <n v="16.25"/>
    <x v="0"/>
    <x v="2"/>
    <s v="Coarse Sicilian Salami, Tomatoes, Green Olives, Luganega Sausage, Onions, Garlic"/>
    <x v="7"/>
  </r>
  <r>
    <n v="16818"/>
    <n v="7398"/>
    <n v="1"/>
    <s v="pepperoni_m"/>
    <n v="1"/>
    <x v="51"/>
    <x v="1"/>
    <x v="1488"/>
    <n v="12.5"/>
    <n v="12.5"/>
    <x v="0"/>
    <x v="0"/>
    <s v="Mozzarella Cheese, Pepperoni"/>
    <x v="3"/>
  </r>
  <r>
    <n v="16827"/>
    <n v="7402"/>
    <n v="0.33333333333333331"/>
    <s v="napolitana_s"/>
    <n v="1"/>
    <x v="51"/>
    <x v="1"/>
    <x v="1489"/>
    <n v="12"/>
    <n v="12"/>
    <x v="1"/>
    <x v="0"/>
    <s v="Tomatoes, Anchovies, Green Olives, Red Onions, Garlic"/>
    <x v="5"/>
  </r>
  <r>
    <n v="16828"/>
    <n v="7402"/>
    <n v="0.33333333333333331"/>
    <s v="pepperoni_m"/>
    <n v="1"/>
    <x v="51"/>
    <x v="1"/>
    <x v="1489"/>
    <n v="12.5"/>
    <n v="12.5"/>
    <x v="0"/>
    <x v="0"/>
    <s v="Mozzarella Cheese, Pepperoni"/>
    <x v="3"/>
  </r>
  <r>
    <n v="16829"/>
    <n v="7402"/>
    <n v="0.33333333333333331"/>
    <s v="pepperoni_s"/>
    <n v="1"/>
    <x v="51"/>
    <x v="1"/>
    <x v="1489"/>
    <n v="9.75"/>
    <n v="9.75"/>
    <x v="1"/>
    <x v="0"/>
    <s v="Mozzarella Cheese, Pepperoni"/>
    <x v="3"/>
  </r>
  <r>
    <n v="16831"/>
    <n v="7404"/>
    <n v="1"/>
    <s v="big_meat_s"/>
    <n v="3"/>
    <x v="51"/>
    <x v="1"/>
    <x v="1490"/>
    <n v="12"/>
    <n v="36"/>
    <x v="1"/>
    <x v="0"/>
    <s v="Bacon, Pepperoni, Italian Sausage, Chorizo Sausage"/>
    <x v="4"/>
  </r>
  <r>
    <n v="16834"/>
    <n v="7405"/>
    <n v="1"/>
    <s v="the_greek_m"/>
    <n v="1"/>
    <x v="51"/>
    <x v="1"/>
    <x v="1491"/>
    <n v="16"/>
    <n v="16"/>
    <x v="0"/>
    <x v="0"/>
    <s v="Kalamata Olives, Feta Cheese, Tomatoes, Garlic, Beef Chuck Roast, Red Onions"/>
    <x v="2"/>
  </r>
  <r>
    <n v="16836"/>
    <n v="7407"/>
    <n v="0.5"/>
    <s v="pepperoni_l"/>
    <n v="1"/>
    <x v="51"/>
    <x v="1"/>
    <x v="1492"/>
    <n v="15.25"/>
    <n v="15.25"/>
    <x v="2"/>
    <x v="0"/>
    <s v="Mozzarella Cheese, Pepperoni"/>
    <x v="3"/>
  </r>
  <r>
    <n v="16837"/>
    <n v="7407"/>
    <n v="0.5"/>
    <s v="pepperoni_s"/>
    <n v="1"/>
    <x v="51"/>
    <x v="1"/>
    <x v="1492"/>
    <n v="9.75"/>
    <n v="9.75"/>
    <x v="1"/>
    <x v="0"/>
    <s v="Mozzarella Cheese, Pepperoni"/>
    <x v="3"/>
  </r>
  <r>
    <n v="16844"/>
    <n v="7411"/>
    <n v="1"/>
    <s v="hawaiian_m"/>
    <n v="1"/>
    <x v="51"/>
    <x v="1"/>
    <x v="1493"/>
    <n v="13.25"/>
    <n v="13.25"/>
    <x v="0"/>
    <x v="0"/>
    <s v="Sliced Ham, Pineapple, Mozzarella Cheese"/>
    <x v="0"/>
  </r>
  <r>
    <n v="16846"/>
    <n v="7412"/>
    <n v="1"/>
    <s v="calabrese_m"/>
    <n v="1"/>
    <x v="51"/>
    <x v="1"/>
    <x v="1494"/>
    <n v="16.25"/>
    <n v="16.25"/>
    <x v="0"/>
    <x v="2"/>
    <s v="?duja Salami, Pancetta, Tomatoes, Red Onions, Friggitello Peppers, Garlic"/>
    <x v="6"/>
  </r>
  <r>
    <n v="16849"/>
    <n v="7415"/>
    <n v="1"/>
    <s v="brie_carre_s"/>
    <n v="1"/>
    <x v="51"/>
    <x v="1"/>
    <x v="1495"/>
    <n v="23.65"/>
    <n v="23.65"/>
    <x v="1"/>
    <x v="2"/>
    <s v="Brie Carre Cheese, Prosciutto, Caramelized Onions, Pears, Thyme, Garlic"/>
    <x v="8"/>
  </r>
  <r>
    <n v="16852"/>
    <n v="7416"/>
    <n v="1"/>
    <s v="napolitana_l"/>
    <n v="1"/>
    <x v="51"/>
    <x v="1"/>
    <x v="1496"/>
    <n v="20.5"/>
    <n v="20.5"/>
    <x v="2"/>
    <x v="0"/>
    <s v="Tomatoes, Anchovies, Green Olives, Red Onions, Garlic"/>
    <x v="5"/>
  </r>
  <r>
    <n v="16856"/>
    <n v="7419"/>
    <n v="1"/>
    <s v="hawaiian_l"/>
    <n v="1"/>
    <x v="52"/>
    <x v="6"/>
    <x v="1497"/>
    <n v="16.5"/>
    <n v="16.5"/>
    <x v="2"/>
    <x v="0"/>
    <s v="Sliced Ham, Pineapple, Mozzarella Cheese"/>
    <x v="0"/>
  </r>
  <r>
    <n v="16858"/>
    <n v="7421"/>
    <n v="1"/>
    <s v="big_meat_s"/>
    <n v="1"/>
    <x v="52"/>
    <x v="6"/>
    <x v="1498"/>
    <n v="12"/>
    <n v="12"/>
    <x v="1"/>
    <x v="0"/>
    <s v="Bacon, Pepperoni, Italian Sausage, Chorizo Sausage"/>
    <x v="4"/>
  </r>
  <r>
    <n v="16863"/>
    <n v="7423"/>
    <n v="1"/>
    <s v="big_meat_s"/>
    <n v="1"/>
    <x v="52"/>
    <x v="6"/>
    <x v="1499"/>
    <n v="12"/>
    <n v="12"/>
    <x v="1"/>
    <x v="0"/>
    <s v="Bacon, Pepperoni, Italian Sausage, Chorizo Sausage"/>
    <x v="4"/>
  </r>
  <r>
    <n v="16864"/>
    <n v="7424"/>
    <n v="0.25"/>
    <s v="big_meat_s"/>
    <n v="1"/>
    <x v="52"/>
    <x v="6"/>
    <x v="1500"/>
    <n v="12"/>
    <n v="12"/>
    <x v="1"/>
    <x v="0"/>
    <s v="Bacon, Pepperoni, Italian Sausage, Chorizo Sausage"/>
    <x v="4"/>
  </r>
  <r>
    <n v="16866"/>
    <n v="7424"/>
    <n v="0.25"/>
    <s v="hawaiian_m"/>
    <n v="2"/>
    <x v="52"/>
    <x v="6"/>
    <x v="1500"/>
    <n v="13.25"/>
    <n v="26.5"/>
    <x v="0"/>
    <x v="0"/>
    <s v="Sliced Ham, Pineapple, Mozzarella Cheese"/>
    <x v="0"/>
  </r>
  <r>
    <n v="16867"/>
    <n v="7424"/>
    <n v="0.25"/>
    <s v="hawaiian_s"/>
    <n v="1"/>
    <x v="52"/>
    <x v="6"/>
    <x v="1500"/>
    <n v="10.5"/>
    <n v="10.5"/>
    <x v="1"/>
    <x v="0"/>
    <s v="Sliced Ham, Pineapple, Mozzarella Cheese"/>
    <x v="0"/>
  </r>
  <r>
    <n v="16869"/>
    <n v="7424"/>
    <n v="0.25"/>
    <s v="pepperoni_m"/>
    <n v="1"/>
    <x v="52"/>
    <x v="6"/>
    <x v="1500"/>
    <n v="12.5"/>
    <n v="12.5"/>
    <x v="0"/>
    <x v="0"/>
    <s v="Mozzarella Cheese, Pepperoni"/>
    <x v="3"/>
  </r>
  <r>
    <n v="16874"/>
    <n v="7426"/>
    <n v="1"/>
    <s v="napolitana_s"/>
    <n v="1"/>
    <x v="52"/>
    <x v="6"/>
    <x v="1501"/>
    <n v="12"/>
    <n v="12"/>
    <x v="1"/>
    <x v="0"/>
    <s v="Tomatoes, Anchovies, Green Olives, Red Onions, Garlic"/>
    <x v="5"/>
  </r>
  <r>
    <n v="16876"/>
    <n v="7428"/>
    <n v="0.5"/>
    <s v="hawaiian_s"/>
    <n v="1"/>
    <x v="52"/>
    <x v="6"/>
    <x v="1502"/>
    <n v="10.5"/>
    <n v="10.5"/>
    <x v="1"/>
    <x v="0"/>
    <s v="Sliced Ham, Pineapple, Mozzarella Cheese"/>
    <x v="0"/>
  </r>
  <r>
    <n v="16877"/>
    <n v="7428"/>
    <n v="0.5"/>
    <s v="the_greek_s"/>
    <n v="1"/>
    <x v="52"/>
    <x v="6"/>
    <x v="1502"/>
    <n v="12"/>
    <n v="12"/>
    <x v="1"/>
    <x v="0"/>
    <s v="Kalamata Olives, Feta Cheese, Tomatoes, Garlic, Beef Chuck Roast, Red Onions"/>
    <x v="2"/>
  </r>
  <r>
    <n v="16883"/>
    <n v="7429"/>
    <n v="0.5"/>
    <s v="mexicana_l"/>
    <n v="1"/>
    <x v="52"/>
    <x v="6"/>
    <x v="1503"/>
    <n v="20.25"/>
    <n v="20.25"/>
    <x v="2"/>
    <x v="1"/>
    <s v="Tomatoes, Red Peppers, Jalapeno Peppers, Red Onions, Cilantro, Corn, Chipotle Sauce, Garlic"/>
    <x v="1"/>
  </r>
  <r>
    <n v="16884"/>
    <n v="7429"/>
    <n v="0.5"/>
    <s v="pepperoni_s"/>
    <n v="1"/>
    <x v="52"/>
    <x v="6"/>
    <x v="1503"/>
    <n v="9.75"/>
    <n v="9.75"/>
    <x v="1"/>
    <x v="0"/>
    <s v="Mozzarella Cheese, Pepperoni"/>
    <x v="3"/>
  </r>
  <r>
    <n v="16893"/>
    <n v="7433"/>
    <n v="0.5"/>
    <s v="hawaiian_l"/>
    <n v="1"/>
    <x v="52"/>
    <x v="6"/>
    <x v="1504"/>
    <n v="16.5"/>
    <n v="16.5"/>
    <x v="2"/>
    <x v="0"/>
    <s v="Sliced Ham, Pineapple, Mozzarella Cheese"/>
    <x v="0"/>
  </r>
  <r>
    <n v="16895"/>
    <n v="7433"/>
    <n v="0.5"/>
    <s v="pepperoni_s"/>
    <n v="1"/>
    <x v="52"/>
    <x v="6"/>
    <x v="1504"/>
    <n v="9.75"/>
    <n v="9.75"/>
    <x v="1"/>
    <x v="0"/>
    <s v="Mozzarella Cheese, Pepperoni"/>
    <x v="3"/>
  </r>
  <r>
    <n v="16897"/>
    <n v="7435"/>
    <n v="1"/>
    <s v="mexicana_l"/>
    <n v="1"/>
    <x v="52"/>
    <x v="6"/>
    <x v="1505"/>
    <n v="20.25"/>
    <n v="20.25"/>
    <x v="2"/>
    <x v="1"/>
    <s v="Tomatoes, Red Peppers, Jalapeno Peppers, Red Onions, Cilantro, Corn, Chipotle Sauce, Garlic"/>
    <x v="1"/>
  </r>
  <r>
    <n v="16899"/>
    <n v="7437"/>
    <n v="1"/>
    <s v="pepperoni_l"/>
    <n v="1"/>
    <x v="52"/>
    <x v="6"/>
    <x v="1506"/>
    <n v="15.25"/>
    <n v="15.25"/>
    <x v="2"/>
    <x v="0"/>
    <s v="Mozzarella Cheese, Pepperoni"/>
    <x v="3"/>
  </r>
  <r>
    <n v="16905"/>
    <n v="7440"/>
    <n v="1"/>
    <s v="napolitana_l"/>
    <n v="1"/>
    <x v="52"/>
    <x v="6"/>
    <x v="946"/>
    <n v="20.5"/>
    <n v="20.5"/>
    <x v="2"/>
    <x v="0"/>
    <s v="Tomatoes, Anchovies, Green Olives, Red Onions, Garlic"/>
    <x v="5"/>
  </r>
  <r>
    <n v="16911"/>
    <n v="7442"/>
    <n v="1"/>
    <s v="mexicana_m"/>
    <n v="1"/>
    <x v="52"/>
    <x v="6"/>
    <x v="1507"/>
    <n v="16"/>
    <n v="16"/>
    <x v="0"/>
    <x v="1"/>
    <s v="Tomatoes, Red Peppers, Jalapeno Peppers, Red Onions, Cilantro, Corn, Chipotle Sauce, Garlic"/>
    <x v="1"/>
  </r>
  <r>
    <n v="16916"/>
    <n v="7443"/>
    <n v="1"/>
    <s v="hawaiian_s"/>
    <n v="1"/>
    <x v="52"/>
    <x v="6"/>
    <x v="1508"/>
    <n v="10.5"/>
    <n v="10.5"/>
    <x v="1"/>
    <x v="0"/>
    <s v="Sliced Ham, Pineapple, Mozzarella Cheese"/>
    <x v="0"/>
  </r>
  <r>
    <n v="16920"/>
    <n v="7445"/>
    <n v="1"/>
    <s v="sicilian_l"/>
    <n v="1"/>
    <x v="52"/>
    <x v="6"/>
    <x v="1509"/>
    <n v="20.25"/>
    <n v="20.25"/>
    <x v="2"/>
    <x v="2"/>
    <s v="Coarse Sicilian Salami, Tomatoes, Green Olives, Luganega Sausage, Onions, Garlic"/>
    <x v="7"/>
  </r>
  <r>
    <n v="16924"/>
    <n v="7446"/>
    <n v="0.5"/>
    <s v="hawaiian_s"/>
    <n v="1"/>
    <x v="52"/>
    <x v="6"/>
    <x v="1510"/>
    <n v="10.5"/>
    <n v="10.5"/>
    <x v="1"/>
    <x v="0"/>
    <s v="Sliced Ham, Pineapple, Mozzarella Cheese"/>
    <x v="0"/>
  </r>
  <r>
    <n v="16925"/>
    <n v="7446"/>
    <n v="0.5"/>
    <s v="pepperoni_m"/>
    <n v="1"/>
    <x v="52"/>
    <x v="6"/>
    <x v="1510"/>
    <n v="12.5"/>
    <n v="12.5"/>
    <x v="0"/>
    <x v="0"/>
    <s v="Mozzarella Cheese, Pepperoni"/>
    <x v="3"/>
  </r>
  <r>
    <n v="16933"/>
    <n v="7452"/>
    <n v="1"/>
    <s v="hawaiian_l"/>
    <n v="1"/>
    <x v="52"/>
    <x v="6"/>
    <x v="1511"/>
    <n v="16.5"/>
    <n v="16.5"/>
    <x v="2"/>
    <x v="0"/>
    <s v="Sliced Ham, Pineapple, Mozzarella Cheese"/>
    <x v="0"/>
  </r>
  <r>
    <n v="16939"/>
    <n v="7455"/>
    <n v="0.5"/>
    <s v="hawaiian_l"/>
    <n v="1"/>
    <x v="52"/>
    <x v="6"/>
    <x v="1512"/>
    <n v="16.5"/>
    <n v="16.5"/>
    <x v="2"/>
    <x v="0"/>
    <s v="Sliced Ham, Pineapple, Mozzarella Cheese"/>
    <x v="0"/>
  </r>
  <r>
    <n v="16940"/>
    <n v="7455"/>
    <n v="0.5"/>
    <s v="napolitana_m"/>
    <n v="1"/>
    <x v="52"/>
    <x v="6"/>
    <x v="1512"/>
    <n v="16"/>
    <n v="16"/>
    <x v="0"/>
    <x v="0"/>
    <s v="Tomatoes, Anchovies, Green Olives, Red Onions, Garlic"/>
    <x v="5"/>
  </r>
  <r>
    <n v="16941"/>
    <n v="7456"/>
    <n v="1"/>
    <s v="hawaiian_s"/>
    <n v="1"/>
    <x v="52"/>
    <x v="6"/>
    <x v="1513"/>
    <n v="10.5"/>
    <n v="10.5"/>
    <x v="1"/>
    <x v="0"/>
    <s v="Sliced Ham, Pineapple, Mozzarella Cheese"/>
    <x v="0"/>
  </r>
  <r>
    <n v="16944"/>
    <n v="7457"/>
    <n v="1"/>
    <s v="hawaiian_s"/>
    <n v="1"/>
    <x v="52"/>
    <x v="6"/>
    <x v="1514"/>
    <n v="10.5"/>
    <n v="10.5"/>
    <x v="1"/>
    <x v="0"/>
    <s v="Sliced Ham, Pineapple, Mozzarella Cheese"/>
    <x v="0"/>
  </r>
  <r>
    <n v="16948"/>
    <n v="7458"/>
    <n v="1"/>
    <s v="the_greek_xl"/>
    <n v="1"/>
    <x v="52"/>
    <x v="6"/>
    <x v="1515"/>
    <n v="25.5"/>
    <n v="25.5"/>
    <x v="3"/>
    <x v="0"/>
    <s v="Kalamata Olives, Feta Cheese, Tomatoes, Garlic, Beef Chuck Roast, Red Onions"/>
    <x v="2"/>
  </r>
  <r>
    <n v="16965"/>
    <n v="7468"/>
    <n v="1"/>
    <s v="big_meat_s"/>
    <n v="1"/>
    <x v="53"/>
    <x v="3"/>
    <x v="1516"/>
    <n v="12"/>
    <n v="12"/>
    <x v="1"/>
    <x v="0"/>
    <s v="Bacon, Pepperoni, Italian Sausage, Chorizo Sausage"/>
    <x v="4"/>
  </r>
  <r>
    <n v="16968"/>
    <n v="7470"/>
    <n v="1"/>
    <s v="big_meat_s"/>
    <n v="1"/>
    <x v="53"/>
    <x v="3"/>
    <x v="1517"/>
    <n v="12"/>
    <n v="12"/>
    <x v="1"/>
    <x v="0"/>
    <s v="Bacon, Pepperoni, Italian Sausage, Chorizo Sausage"/>
    <x v="4"/>
  </r>
  <r>
    <n v="16983"/>
    <n v="7476"/>
    <n v="0.33333333333333331"/>
    <s v="hawaiian_l"/>
    <n v="1"/>
    <x v="53"/>
    <x v="3"/>
    <x v="1518"/>
    <n v="16.5"/>
    <n v="16.5"/>
    <x v="2"/>
    <x v="0"/>
    <s v="Sliced Ham, Pineapple, Mozzarella Cheese"/>
    <x v="0"/>
  </r>
  <r>
    <n v="16988"/>
    <n v="7476"/>
    <n v="0.33333333333333331"/>
    <s v="pepperoni_m"/>
    <n v="1"/>
    <x v="53"/>
    <x v="3"/>
    <x v="1518"/>
    <n v="12.5"/>
    <n v="12.5"/>
    <x v="0"/>
    <x v="0"/>
    <s v="Mozzarella Cheese, Pepperoni"/>
    <x v="3"/>
  </r>
  <r>
    <n v="16989"/>
    <n v="7476"/>
    <n v="0.33333333333333331"/>
    <s v="sicilian_s"/>
    <n v="2"/>
    <x v="53"/>
    <x v="3"/>
    <x v="1518"/>
    <n v="12.25"/>
    <n v="24.5"/>
    <x v="1"/>
    <x v="2"/>
    <s v="Coarse Sicilian Salami, Tomatoes, Green Olives, Luganega Sausage, Onions, Garlic"/>
    <x v="7"/>
  </r>
  <r>
    <n v="16996"/>
    <n v="7477"/>
    <n v="1"/>
    <s v="napolitana_m"/>
    <n v="1"/>
    <x v="53"/>
    <x v="3"/>
    <x v="1519"/>
    <n v="16"/>
    <n v="16"/>
    <x v="0"/>
    <x v="0"/>
    <s v="Tomatoes, Anchovies, Green Olives, Red Onions, Garlic"/>
    <x v="5"/>
  </r>
  <r>
    <n v="17001"/>
    <n v="7480"/>
    <n v="1"/>
    <s v="calabrese_m"/>
    <n v="1"/>
    <x v="53"/>
    <x v="3"/>
    <x v="1520"/>
    <n v="16.25"/>
    <n v="16.25"/>
    <x v="0"/>
    <x v="2"/>
    <s v="?duja Salami, Pancetta, Tomatoes, Red Onions, Friggitello Peppers, Garlic"/>
    <x v="6"/>
  </r>
  <r>
    <n v="17005"/>
    <n v="7481"/>
    <n v="1"/>
    <s v="the_greek_xl"/>
    <n v="1"/>
    <x v="53"/>
    <x v="3"/>
    <x v="1521"/>
    <n v="25.5"/>
    <n v="25.5"/>
    <x v="3"/>
    <x v="0"/>
    <s v="Kalamata Olives, Feta Cheese, Tomatoes, Garlic, Beef Chuck Roast, Red Onions"/>
    <x v="2"/>
  </r>
  <r>
    <n v="17013"/>
    <n v="7484"/>
    <n v="1"/>
    <s v="the_greek_xl"/>
    <n v="1"/>
    <x v="53"/>
    <x v="3"/>
    <x v="1522"/>
    <n v="25.5"/>
    <n v="25.5"/>
    <x v="3"/>
    <x v="0"/>
    <s v="Kalamata Olives, Feta Cheese, Tomatoes, Garlic, Beef Chuck Roast, Red Onions"/>
    <x v="2"/>
  </r>
  <r>
    <n v="17014"/>
    <n v="7485"/>
    <n v="1"/>
    <s v="big_meat_s"/>
    <n v="1"/>
    <x v="53"/>
    <x v="3"/>
    <x v="1523"/>
    <n v="12"/>
    <n v="12"/>
    <x v="1"/>
    <x v="0"/>
    <s v="Bacon, Pepperoni, Italian Sausage, Chorizo Sausage"/>
    <x v="4"/>
  </r>
  <r>
    <n v="17019"/>
    <n v="7488"/>
    <n v="1"/>
    <s v="hawaiian_m"/>
    <n v="1"/>
    <x v="53"/>
    <x v="3"/>
    <x v="1524"/>
    <n v="13.25"/>
    <n v="13.25"/>
    <x v="0"/>
    <x v="0"/>
    <s v="Sliced Ham, Pineapple, Mozzarella Cheese"/>
    <x v="0"/>
  </r>
  <r>
    <n v="17025"/>
    <n v="7490"/>
    <n v="1"/>
    <s v="pepperoni_l"/>
    <n v="1"/>
    <x v="53"/>
    <x v="3"/>
    <x v="1525"/>
    <n v="15.25"/>
    <n v="15.25"/>
    <x v="2"/>
    <x v="0"/>
    <s v="Mozzarella Cheese, Pepperoni"/>
    <x v="3"/>
  </r>
  <r>
    <n v="17026"/>
    <n v="7491"/>
    <n v="1"/>
    <s v="big_meat_s"/>
    <n v="1"/>
    <x v="53"/>
    <x v="3"/>
    <x v="1526"/>
    <n v="12"/>
    <n v="12"/>
    <x v="1"/>
    <x v="0"/>
    <s v="Bacon, Pepperoni, Italian Sausage, Chorizo Sausage"/>
    <x v="4"/>
  </r>
  <r>
    <n v="17044"/>
    <n v="7498"/>
    <n v="1"/>
    <s v="sicilian_s"/>
    <n v="1"/>
    <x v="53"/>
    <x v="3"/>
    <x v="1527"/>
    <n v="12.25"/>
    <n v="12.25"/>
    <x v="1"/>
    <x v="2"/>
    <s v="Coarse Sicilian Salami, Tomatoes, Green Olives, Luganega Sausage, Onions, Garlic"/>
    <x v="7"/>
  </r>
  <r>
    <n v="17048"/>
    <n v="7500"/>
    <n v="1"/>
    <s v="pepperoni_s"/>
    <n v="1"/>
    <x v="53"/>
    <x v="3"/>
    <x v="1528"/>
    <n v="9.75"/>
    <n v="9.75"/>
    <x v="1"/>
    <x v="0"/>
    <s v="Mozzarella Cheese, Pepperoni"/>
    <x v="3"/>
  </r>
  <r>
    <n v="17052"/>
    <n v="7501"/>
    <n v="1"/>
    <s v="mexicana_l"/>
    <n v="2"/>
    <x v="53"/>
    <x v="3"/>
    <x v="1529"/>
    <n v="20.25"/>
    <n v="40.5"/>
    <x v="2"/>
    <x v="1"/>
    <s v="Tomatoes, Red Peppers, Jalapeno Peppers, Red Onions, Cilantro, Corn, Chipotle Sauce, Garlic"/>
    <x v="1"/>
  </r>
  <r>
    <n v="17060"/>
    <n v="7505"/>
    <n v="1"/>
    <s v="hawaiian_s"/>
    <n v="1"/>
    <x v="53"/>
    <x v="3"/>
    <x v="1530"/>
    <n v="10.5"/>
    <n v="10.5"/>
    <x v="1"/>
    <x v="0"/>
    <s v="Sliced Ham, Pineapple, Mozzarella Cheese"/>
    <x v="0"/>
  </r>
  <r>
    <n v="17064"/>
    <n v="7507"/>
    <n v="1"/>
    <s v="hawaiian_m"/>
    <n v="1"/>
    <x v="53"/>
    <x v="3"/>
    <x v="1531"/>
    <n v="13.25"/>
    <n v="13.25"/>
    <x v="0"/>
    <x v="0"/>
    <s v="Sliced Ham, Pineapple, Mozzarella Cheese"/>
    <x v="0"/>
  </r>
  <r>
    <n v="17070"/>
    <n v="7509"/>
    <n v="1"/>
    <s v="hawaiian_s"/>
    <n v="1"/>
    <x v="53"/>
    <x v="3"/>
    <x v="1532"/>
    <n v="10.5"/>
    <n v="10.5"/>
    <x v="1"/>
    <x v="0"/>
    <s v="Sliced Ham, Pineapple, Mozzarella Cheese"/>
    <x v="0"/>
  </r>
  <r>
    <n v="17078"/>
    <n v="7513"/>
    <n v="1"/>
    <s v="napolitana_l"/>
    <n v="1"/>
    <x v="53"/>
    <x v="3"/>
    <x v="1533"/>
    <n v="20.5"/>
    <n v="20.5"/>
    <x v="2"/>
    <x v="0"/>
    <s v="Tomatoes, Anchovies, Green Olives, Red Onions, Garlic"/>
    <x v="5"/>
  </r>
  <r>
    <n v="17085"/>
    <n v="7516"/>
    <n v="1"/>
    <s v="mexicana_l"/>
    <n v="1"/>
    <x v="53"/>
    <x v="3"/>
    <x v="1534"/>
    <n v="20.25"/>
    <n v="20.25"/>
    <x v="2"/>
    <x v="1"/>
    <s v="Tomatoes, Red Peppers, Jalapeno Peppers, Red Onions, Cilantro, Corn, Chipotle Sauce, Garlic"/>
    <x v="1"/>
  </r>
  <r>
    <n v="17087"/>
    <n v="7517"/>
    <n v="1"/>
    <s v="mexicana_l"/>
    <n v="1"/>
    <x v="53"/>
    <x v="3"/>
    <x v="1535"/>
    <n v="20.25"/>
    <n v="20.25"/>
    <x v="2"/>
    <x v="1"/>
    <s v="Tomatoes, Red Peppers, Jalapeno Peppers, Red Onions, Cilantro, Corn, Chipotle Sauce, Garlic"/>
    <x v="1"/>
  </r>
  <r>
    <n v="17090"/>
    <n v="7518"/>
    <n v="0.5"/>
    <s v="big_meat_s"/>
    <n v="1"/>
    <x v="53"/>
    <x v="3"/>
    <x v="1536"/>
    <n v="12"/>
    <n v="12"/>
    <x v="1"/>
    <x v="0"/>
    <s v="Bacon, Pepperoni, Italian Sausage, Chorizo Sausage"/>
    <x v="4"/>
  </r>
  <r>
    <n v="17091"/>
    <n v="7518"/>
    <n v="0.5"/>
    <s v="hawaiian_s"/>
    <n v="1"/>
    <x v="53"/>
    <x v="3"/>
    <x v="1536"/>
    <n v="10.5"/>
    <n v="10.5"/>
    <x v="1"/>
    <x v="0"/>
    <s v="Sliced Ham, Pineapple, Mozzarella Cheese"/>
    <x v="0"/>
  </r>
  <r>
    <n v="17095"/>
    <n v="7520"/>
    <n v="1"/>
    <s v="hawaiian_l"/>
    <n v="1"/>
    <x v="53"/>
    <x v="3"/>
    <x v="1537"/>
    <n v="16.5"/>
    <n v="16.5"/>
    <x v="2"/>
    <x v="0"/>
    <s v="Sliced Ham, Pineapple, Mozzarella Cheese"/>
    <x v="0"/>
  </r>
  <r>
    <n v="17098"/>
    <n v="7522"/>
    <n v="1"/>
    <s v="brie_carre_s"/>
    <n v="1"/>
    <x v="54"/>
    <x v="1"/>
    <x v="1538"/>
    <n v="23.65"/>
    <n v="23.65"/>
    <x v="1"/>
    <x v="2"/>
    <s v="Brie Carre Cheese, Prosciutto, Caramelized Onions, Pears, Thyme, Garlic"/>
    <x v="8"/>
  </r>
  <r>
    <n v="17106"/>
    <n v="7525"/>
    <n v="1"/>
    <s v="the_greek_xl"/>
    <n v="1"/>
    <x v="54"/>
    <x v="1"/>
    <x v="1539"/>
    <n v="25.5"/>
    <n v="25.5"/>
    <x v="3"/>
    <x v="0"/>
    <s v="Kalamata Olives, Feta Cheese, Tomatoes, Garlic, Beef Chuck Roast, Red Onions"/>
    <x v="2"/>
  </r>
  <r>
    <n v="17109"/>
    <n v="7528"/>
    <n v="0.25"/>
    <s v="big_meat_s"/>
    <n v="2"/>
    <x v="54"/>
    <x v="1"/>
    <x v="1540"/>
    <n v="12"/>
    <n v="24"/>
    <x v="1"/>
    <x v="0"/>
    <s v="Bacon, Pepperoni, Italian Sausage, Chorizo Sausage"/>
    <x v="4"/>
  </r>
  <r>
    <n v="17110"/>
    <n v="7528"/>
    <n v="0.25"/>
    <s v="brie_carre_s"/>
    <n v="1"/>
    <x v="54"/>
    <x v="1"/>
    <x v="1540"/>
    <n v="23.65"/>
    <n v="23.65"/>
    <x v="1"/>
    <x v="2"/>
    <s v="Brie Carre Cheese, Prosciutto, Caramelized Onions, Pears, Thyme, Garlic"/>
    <x v="8"/>
  </r>
  <r>
    <n v="17112"/>
    <n v="7528"/>
    <n v="0.25"/>
    <s v="pepperoni_l"/>
    <n v="1"/>
    <x v="54"/>
    <x v="1"/>
    <x v="1540"/>
    <n v="15.25"/>
    <n v="15.25"/>
    <x v="2"/>
    <x v="0"/>
    <s v="Mozzarella Cheese, Pepperoni"/>
    <x v="3"/>
  </r>
  <r>
    <n v="17115"/>
    <n v="7528"/>
    <n v="0.25"/>
    <s v="the_greek_xxl"/>
    <n v="1"/>
    <x v="54"/>
    <x v="1"/>
    <x v="1540"/>
    <n v="35.950000000000003"/>
    <n v="35.950000000000003"/>
    <x v="4"/>
    <x v="0"/>
    <s v="Kalamata Olives, Feta Cheese, Tomatoes, Garlic, Beef Chuck Roast, Red Onions"/>
    <x v="2"/>
  </r>
  <r>
    <n v="17118"/>
    <n v="7530"/>
    <n v="0.5"/>
    <s v="hawaiian_l"/>
    <n v="1"/>
    <x v="54"/>
    <x v="1"/>
    <x v="1541"/>
    <n v="16.5"/>
    <n v="16.5"/>
    <x v="2"/>
    <x v="0"/>
    <s v="Sliced Ham, Pineapple, Mozzarella Cheese"/>
    <x v="0"/>
  </r>
  <r>
    <n v="17119"/>
    <n v="7530"/>
    <n v="0.5"/>
    <s v="sicilian_s"/>
    <n v="1"/>
    <x v="54"/>
    <x v="1"/>
    <x v="1541"/>
    <n v="12.25"/>
    <n v="12.25"/>
    <x v="1"/>
    <x v="2"/>
    <s v="Coarse Sicilian Salami, Tomatoes, Green Olives, Luganega Sausage, Onions, Garlic"/>
    <x v="7"/>
  </r>
  <r>
    <n v="17122"/>
    <n v="7532"/>
    <n v="1"/>
    <s v="napolitana_l"/>
    <n v="1"/>
    <x v="54"/>
    <x v="1"/>
    <x v="1542"/>
    <n v="20.5"/>
    <n v="20.5"/>
    <x v="2"/>
    <x v="0"/>
    <s v="Tomatoes, Anchovies, Green Olives, Red Onions, Garlic"/>
    <x v="5"/>
  </r>
  <r>
    <n v="17123"/>
    <n v="7533"/>
    <n v="0.33333333333333331"/>
    <s v="big_meat_s"/>
    <n v="1"/>
    <x v="54"/>
    <x v="1"/>
    <x v="1543"/>
    <n v="12"/>
    <n v="12"/>
    <x v="1"/>
    <x v="0"/>
    <s v="Bacon, Pepperoni, Italian Sausage, Chorizo Sausage"/>
    <x v="4"/>
  </r>
  <r>
    <n v="17124"/>
    <n v="7533"/>
    <n v="0.33333333333333331"/>
    <s v="calabrese_m"/>
    <n v="1"/>
    <x v="54"/>
    <x v="1"/>
    <x v="1543"/>
    <n v="16.25"/>
    <n v="16.25"/>
    <x v="0"/>
    <x v="2"/>
    <s v="?duja Salami, Pancetta, Tomatoes, Red Onions, Friggitello Peppers, Garlic"/>
    <x v="6"/>
  </r>
  <r>
    <n v="17130"/>
    <n v="7533"/>
    <n v="0.33333333333333331"/>
    <s v="pepperoni_s"/>
    <n v="1"/>
    <x v="54"/>
    <x v="1"/>
    <x v="1543"/>
    <n v="9.75"/>
    <n v="9.75"/>
    <x v="1"/>
    <x v="0"/>
    <s v="Mozzarella Cheese, Pepperoni"/>
    <x v="3"/>
  </r>
  <r>
    <n v="17139"/>
    <n v="7537"/>
    <n v="1"/>
    <s v="mexicana_l"/>
    <n v="1"/>
    <x v="54"/>
    <x v="1"/>
    <x v="1544"/>
    <n v="20.25"/>
    <n v="20.25"/>
    <x v="2"/>
    <x v="1"/>
    <s v="Tomatoes, Red Peppers, Jalapeno Peppers, Red Onions, Cilantro, Corn, Chipotle Sauce, Garlic"/>
    <x v="1"/>
  </r>
  <r>
    <n v="17156"/>
    <n v="7548"/>
    <n v="1"/>
    <s v="napolitana_m"/>
    <n v="1"/>
    <x v="54"/>
    <x v="1"/>
    <x v="1545"/>
    <n v="16"/>
    <n v="16"/>
    <x v="0"/>
    <x v="0"/>
    <s v="Tomatoes, Anchovies, Green Olives, Red Onions, Garlic"/>
    <x v="5"/>
  </r>
  <r>
    <n v="17158"/>
    <n v="7549"/>
    <n v="0.5"/>
    <s v="mexicana_l"/>
    <n v="1"/>
    <x v="54"/>
    <x v="1"/>
    <x v="1546"/>
    <n v="20.25"/>
    <n v="20.25"/>
    <x v="2"/>
    <x v="1"/>
    <s v="Tomatoes, Red Peppers, Jalapeno Peppers, Red Onions, Cilantro, Corn, Chipotle Sauce, Garlic"/>
    <x v="1"/>
  </r>
  <r>
    <n v="17159"/>
    <n v="7549"/>
    <n v="0.5"/>
    <s v="napolitana_m"/>
    <n v="1"/>
    <x v="54"/>
    <x v="1"/>
    <x v="1546"/>
    <n v="16"/>
    <n v="16"/>
    <x v="0"/>
    <x v="0"/>
    <s v="Tomatoes, Anchovies, Green Olives, Red Onions, Garlic"/>
    <x v="5"/>
  </r>
  <r>
    <n v="17160"/>
    <n v="7550"/>
    <n v="0.5"/>
    <s v="brie_carre_s"/>
    <n v="2"/>
    <x v="54"/>
    <x v="1"/>
    <x v="1547"/>
    <n v="23.65"/>
    <n v="47.3"/>
    <x v="1"/>
    <x v="2"/>
    <s v="Brie Carre Cheese, Prosciutto, Caramelized Onions, Pears, Thyme, Garlic"/>
    <x v="8"/>
  </r>
  <r>
    <n v="17161"/>
    <n v="7550"/>
    <n v="0.5"/>
    <s v="sicilian_s"/>
    <n v="1"/>
    <x v="54"/>
    <x v="1"/>
    <x v="1547"/>
    <n v="12.25"/>
    <n v="12.25"/>
    <x v="1"/>
    <x v="2"/>
    <s v="Coarse Sicilian Salami, Tomatoes, Green Olives, Luganega Sausage, Onions, Garlic"/>
    <x v="7"/>
  </r>
  <r>
    <n v="17163"/>
    <n v="7551"/>
    <n v="1"/>
    <s v="mexicana_m"/>
    <n v="1"/>
    <x v="54"/>
    <x v="1"/>
    <x v="1548"/>
    <n v="16"/>
    <n v="16"/>
    <x v="0"/>
    <x v="1"/>
    <s v="Tomatoes, Red Peppers, Jalapeno Peppers, Red Onions, Cilantro, Corn, Chipotle Sauce, Garlic"/>
    <x v="1"/>
  </r>
  <r>
    <n v="17164"/>
    <n v="7552"/>
    <n v="1"/>
    <s v="hawaiian_l"/>
    <n v="1"/>
    <x v="54"/>
    <x v="1"/>
    <x v="1549"/>
    <n v="16.5"/>
    <n v="16.5"/>
    <x v="2"/>
    <x v="0"/>
    <s v="Sliced Ham, Pineapple, Mozzarella Cheese"/>
    <x v="0"/>
  </r>
  <r>
    <n v="17172"/>
    <n v="7555"/>
    <n v="1"/>
    <s v="pepperoni_s"/>
    <n v="1"/>
    <x v="54"/>
    <x v="1"/>
    <x v="1550"/>
    <n v="9.75"/>
    <n v="9.75"/>
    <x v="1"/>
    <x v="0"/>
    <s v="Mozzarella Cheese, Pepperoni"/>
    <x v="3"/>
  </r>
  <r>
    <n v="17173"/>
    <n v="7556"/>
    <n v="0.5"/>
    <s v="calabrese_l"/>
    <n v="1"/>
    <x v="54"/>
    <x v="1"/>
    <x v="1551"/>
    <n v="20.25"/>
    <n v="20.25"/>
    <x v="2"/>
    <x v="2"/>
    <s v="?duja Salami, Pancetta, Tomatoes, Red Onions, Friggitello Peppers, Garlic"/>
    <x v="6"/>
  </r>
  <r>
    <n v="17174"/>
    <n v="7556"/>
    <n v="0.5"/>
    <s v="napolitana_s"/>
    <n v="1"/>
    <x v="54"/>
    <x v="1"/>
    <x v="1551"/>
    <n v="12"/>
    <n v="12"/>
    <x v="1"/>
    <x v="0"/>
    <s v="Tomatoes, Anchovies, Green Olives, Red Onions, Garlic"/>
    <x v="5"/>
  </r>
  <r>
    <n v="17178"/>
    <n v="7557"/>
    <n v="1"/>
    <s v="pepperoni_m"/>
    <n v="1"/>
    <x v="54"/>
    <x v="1"/>
    <x v="1552"/>
    <n v="12.5"/>
    <n v="12.5"/>
    <x v="0"/>
    <x v="0"/>
    <s v="Mozzarella Cheese, Pepperoni"/>
    <x v="3"/>
  </r>
  <r>
    <n v="17182"/>
    <n v="7558"/>
    <n v="1"/>
    <s v="big_meat_s"/>
    <n v="1"/>
    <x v="54"/>
    <x v="1"/>
    <x v="1553"/>
    <n v="12"/>
    <n v="12"/>
    <x v="1"/>
    <x v="0"/>
    <s v="Bacon, Pepperoni, Italian Sausage, Chorizo Sausage"/>
    <x v="4"/>
  </r>
  <r>
    <n v="17184"/>
    <n v="7559"/>
    <n v="0.5"/>
    <s v="hawaiian_m"/>
    <n v="1"/>
    <x v="54"/>
    <x v="1"/>
    <x v="1554"/>
    <n v="13.25"/>
    <n v="13.25"/>
    <x v="0"/>
    <x v="0"/>
    <s v="Sliced Ham, Pineapple, Mozzarella Cheese"/>
    <x v="0"/>
  </r>
  <r>
    <n v="17185"/>
    <n v="7559"/>
    <n v="0.5"/>
    <s v="mexicana_s"/>
    <n v="1"/>
    <x v="54"/>
    <x v="1"/>
    <x v="1554"/>
    <n v="12"/>
    <n v="12"/>
    <x v="1"/>
    <x v="1"/>
    <s v="Tomatoes, Red Peppers, Jalapeno Peppers, Red Onions, Cilantro, Corn, Chipotle Sauce, Garlic"/>
    <x v="1"/>
  </r>
  <r>
    <n v="17187"/>
    <n v="7560"/>
    <n v="1"/>
    <s v="big_meat_s"/>
    <n v="1"/>
    <x v="54"/>
    <x v="1"/>
    <x v="1555"/>
    <n v="12"/>
    <n v="12"/>
    <x v="1"/>
    <x v="0"/>
    <s v="Bacon, Pepperoni, Italian Sausage, Chorizo Sausage"/>
    <x v="4"/>
  </r>
  <r>
    <n v="17193"/>
    <n v="7562"/>
    <n v="1"/>
    <s v="napolitana_s"/>
    <n v="1"/>
    <x v="54"/>
    <x v="1"/>
    <x v="1556"/>
    <n v="12"/>
    <n v="12"/>
    <x v="1"/>
    <x v="0"/>
    <s v="Tomatoes, Anchovies, Green Olives, Red Onions, Garlic"/>
    <x v="5"/>
  </r>
  <r>
    <n v="17195"/>
    <n v="7563"/>
    <n v="1"/>
    <s v="calabrese_m"/>
    <n v="1"/>
    <x v="54"/>
    <x v="1"/>
    <x v="1557"/>
    <n v="16.25"/>
    <n v="16.25"/>
    <x v="0"/>
    <x v="2"/>
    <s v="?duja Salami, Pancetta, Tomatoes, Red Onions, Friggitello Peppers, Garlic"/>
    <x v="6"/>
  </r>
  <r>
    <n v="17199"/>
    <n v="7567"/>
    <n v="0.5"/>
    <s v="pepperoni_s"/>
    <n v="1"/>
    <x v="54"/>
    <x v="1"/>
    <x v="1558"/>
    <n v="9.75"/>
    <n v="9.75"/>
    <x v="1"/>
    <x v="0"/>
    <s v="Mozzarella Cheese, Pepperoni"/>
    <x v="3"/>
  </r>
  <r>
    <n v="17200"/>
    <n v="7567"/>
    <n v="0.5"/>
    <s v="the_greek_xl"/>
    <n v="1"/>
    <x v="54"/>
    <x v="1"/>
    <x v="1558"/>
    <n v="25.5"/>
    <n v="25.5"/>
    <x v="3"/>
    <x v="0"/>
    <s v="Kalamata Olives, Feta Cheese, Tomatoes, Garlic, Beef Chuck Roast, Red Onions"/>
    <x v="2"/>
  </r>
  <r>
    <n v="17201"/>
    <n v="7568"/>
    <n v="1"/>
    <s v="calabrese_l"/>
    <n v="1"/>
    <x v="54"/>
    <x v="1"/>
    <x v="1559"/>
    <n v="20.25"/>
    <n v="20.25"/>
    <x v="2"/>
    <x v="2"/>
    <s v="?duja Salami, Pancetta, Tomatoes, Red Onions, Friggitello Peppers, Garlic"/>
    <x v="6"/>
  </r>
  <r>
    <n v="17205"/>
    <n v="7569"/>
    <n v="1"/>
    <s v="hawaiian_s"/>
    <n v="1"/>
    <x v="54"/>
    <x v="1"/>
    <x v="1560"/>
    <n v="10.5"/>
    <n v="10.5"/>
    <x v="1"/>
    <x v="0"/>
    <s v="Sliced Ham, Pineapple, Mozzarella Cheese"/>
    <x v="0"/>
  </r>
  <r>
    <n v="17209"/>
    <n v="7571"/>
    <n v="1"/>
    <s v="sicilian_l"/>
    <n v="1"/>
    <x v="54"/>
    <x v="1"/>
    <x v="1561"/>
    <n v="20.25"/>
    <n v="20.25"/>
    <x v="2"/>
    <x v="2"/>
    <s v="Coarse Sicilian Salami, Tomatoes, Green Olives, Luganega Sausage, Onions, Garlic"/>
    <x v="7"/>
  </r>
  <r>
    <n v="17211"/>
    <n v="7573"/>
    <n v="0.5"/>
    <s v="brie_carre_s"/>
    <n v="1"/>
    <x v="54"/>
    <x v="1"/>
    <x v="1562"/>
    <n v="23.65"/>
    <n v="23.65"/>
    <x v="1"/>
    <x v="2"/>
    <s v="Brie Carre Cheese, Prosciutto, Caramelized Onions, Pears, Thyme, Garlic"/>
    <x v="8"/>
  </r>
  <r>
    <n v="17212"/>
    <n v="7573"/>
    <n v="0.5"/>
    <s v="hawaiian_s"/>
    <n v="1"/>
    <x v="54"/>
    <x v="1"/>
    <x v="1562"/>
    <n v="10.5"/>
    <n v="10.5"/>
    <x v="1"/>
    <x v="0"/>
    <s v="Sliced Ham, Pineapple, Mozzarella Cheese"/>
    <x v="0"/>
  </r>
  <r>
    <n v="17214"/>
    <n v="7574"/>
    <n v="1"/>
    <s v="sicilian_m"/>
    <n v="1"/>
    <x v="54"/>
    <x v="1"/>
    <x v="616"/>
    <n v="16.25"/>
    <n v="16.25"/>
    <x v="0"/>
    <x v="2"/>
    <s v="Coarse Sicilian Salami, Tomatoes, Green Olives, Luganega Sausage, Onions, Garlic"/>
    <x v="7"/>
  </r>
  <r>
    <n v="17217"/>
    <n v="7576"/>
    <n v="1"/>
    <s v="big_meat_s"/>
    <n v="1"/>
    <x v="54"/>
    <x v="1"/>
    <x v="1563"/>
    <n v="12"/>
    <n v="12"/>
    <x v="1"/>
    <x v="0"/>
    <s v="Bacon, Pepperoni, Italian Sausage, Chorizo Sausage"/>
    <x v="4"/>
  </r>
  <r>
    <n v="17220"/>
    <n v="7577"/>
    <n v="1"/>
    <s v="pepperoni_l"/>
    <n v="1"/>
    <x v="54"/>
    <x v="1"/>
    <x v="1564"/>
    <n v="15.25"/>
    <n v="15.25"/>
    <x v="2"/>
    <x v="0"/>
    <s v="Mozzarella Cheese, Pepperoni"/>
    <x v="3"/>
  </r>
  <r>
    <n v="17221"/>
    <n v="7578"/>
    <n v="1"/>
    <s v="mexicana_l"/>
    <n v="1"/>
    <x v="54"/>
    <x v="1"/>
    <x v="1565"/>
    <n v="20.25"/>
    <n v="20.25"/>
    <x v="2"/>
    <x v="1"/>
    <s v="Tomatoes, Red Peppers, Jalapeno Peppers, Red Onions, Cilantro, Corn, Chipotle Sauce, Garlic"/>
    <x v="1"/>
  </r>
  <r>
    <n v="17222"/>
    <n v="7579"/>
    <n v="1"/>
    <s v="hawaiian_l"/>
    <n v="1"/>
    <x v="55"/>
    <x v="2"/>
    <x v="1566"/>
    <n v="16.5"/>
    <n v="16.5"/>
    <x v="2"/>
    <x v="0"/>
    <s v="Sliced Ham, Pineapple, Mozzarella Cheese"/>
    <x v="0"/>
  </r>
  <r>
    <n v="17223"/>
    <n v="7580"/>
    <n v="1"/>
    <s v="mexicana_l"/>
    <n v="1"/>
    <x v="55"/>
    <x v="2"/>
    <x v="1567"/>
    <n v="20.25"/>
    <n v="20.25"/>
    <x v="2"/>
    <x v="1"/>
    <s v="Tomatoes, Red Peppers, Jalapeno Peppers, Red Onions, Cilantro, Corn, Chipotle Sauce, Garlic"/>
    <x v="1"/>
  </r>
  <r>
    <n v="17230"/>
    <n v="7583"/>
    <n v="1"/>
    <s v="big_meat_s"/>
    <n v="2"/>
    <x v="55"/>
    <x v="2"/>
    <x v="1568"/>
    <n v="12"/>
    <n v="24"/>
    <x v="1"/>
    <x v="0"/>
    <s v="Bacon, Pepperoni, Italian Sausage, Chorizo Sausage"/>
    <x v="4"/>
  </r>
  <r>
    <n v="17236"/>
    <n v="7586"/>
    <n v="1"/>
    <s v="napolitana_s"/>
    <n v="1"/>
    <x v="55"/>
    <x v="2"/>
    <x v="1569"/>
    <n v="12"/>
    <n v="12"/>
    <x v="1"/>
    <x v="0"/>
    <s v="Tomatoes, Anchovies, Green Olives, Red Onions, Garlic"/>
    <x v="5"/>
  </r>
  <r>
    <n v="17243"/>
    <n v="7589"/>
    <n v="0.5"/>
    <s v="napolitana_l"/>
    <n v="1"/>
    <x v="55"/>
    <x v="2"/>
    <x v="1570"/>
    <n v="20.5"/>
    <n v="20.5"/>
    <x v="2"/>
    <x v="0"/>
    <s v="Tomatoes, Anchovies, Green Olives, Red Onions, Garlic"/>
    <x v="5"/>
  </r>
  <r>
    <n v="17244"/>
    <n v="7589"/>
    <n v="0.5"/>
    <s v="pepperoni_m"/>
    <n v="1"/>
    <x v="55"/>
    <x v="2"/>
    <x v="1570"/>
    <n v="12.5"/>
    <n v="12.5"/>
    <x v="0"/>
    <x v="0"/>
    <s v="Mozzarella Cheese, Pepperoni"/>
    <x v="3"/>
  </r>
  <r>
    <n v="17249"/>
    <n v="7590"/>
    <n v="0.2"/>
    <s v="hawaiian_l"/>
    <n v="1"/>
    <x v="55"/>
    <x v="2"/>
    <x v="1571"/>
    <n v="16.5"/>
    <n v="16.5"/>
    <x v="2"/>
    <x v="0"/>
    <s v="Sliced Ham, Pineapple, Mozzarella Cheese"/>
    <x v="0"/>
  </r>
  <r>
    <n v="17250"/>
    <n v="7590"/>
    <n v="0.2"/>
    <s v="hawaiian_s"/>
    <n v="1"/>
    <x v="55"/>
    <x v="2"/>
    <x v="1571"/>
    <n v="10.5"/>
    <n v="10.5"/>
    <x v="1"/>
    <x v="0"/>
    <s v="Sliced Ham, Pineapple, Mozzarella Cheese"/>
    <x v="0"/>
  </r>
  <r>
    <n v="17251"/>
    <n v="7590"/>
    <n v="0.2"/>
    <s v="mexicana_m"/>
    <n v="1"/>
    <x v="55"/>
    <x v="2"/>
    <x v="1571"/>
    <n v="16"/>
    <n v="16"/>
    <x v="0"/>
    <x v="1"/>
    <s v="Tomatoes, Red Peppers, Jalapeno Peppers, Red Onions, Cilantro, Corn, Chipotle Sauce, Garlic"/>
    <x v="1"/>
  </r>
  <r>
    <n v="17252"/>
    <n v="7590"/>
    <n v="0.2"/>
    <s v="napolitana_s"/>
    <n v="1"/>
    <x v="55"/>
    <x v="2"/>
    <x v="1571"/>
    <n v="12"/>
    <n v="12"/>
    <x v="1"/>
    <x v="0"/>
    <s v="Tomatoes, Anchovies, Green Olives, Red Onions, Garlic"/>
    <x v="5"/>
  </r>
  <r>
    <n v="17253"/>
    <n v="7590"/>
    <n v="0.2"/>
    <s v="pepperoni_s"/>
    <n v="1"/>
    <x v="55"/>
    <x v="2"/>
    <x v="1571"/>
    <n v="9.75"/>
    <n v="9.75"/>
    <x v="1"/>
    <x v="0"/>
    <s v="Mozzarella Cheese, Pepperoni"/>
    <x v="3"/>
  </r>
  <r>
    <n v="17256"/>
    <n v="7591"/>
    <n v="0.33333333333333331"/>
    <s v="big_meat_s"/>
    <n v="1"/>
    <x v="55"/>
    <x v="2"/>
    <x v="1572"/>
    <n v="12"/>
    <n v="12"/>
    <x v="1"/>
    <x v="0"/>
    <s v="Bacon, Pepperoni, Italian Sausage, Chorizo Sausage"/>
    <x v="4"/>
  </r>
  <r>
    <n v="17261"/>
    <n v="7591"/>
    <n v="0.33333333333333331"/>
    <s v="pepperoni_l"/>
    <n v="1"/>
    <x v="55"/>
    <x v="2"/>
    <x v="1572"/>
    <n v="15.25"/>
    <n v="15.25"/>
    <x v="2"/>
    <x v="0"/>
    <s v="Mozzarella Cheese, Pepperoni"/>
    <x v="3"/>
  </r>
  <r>
    <n v="17264"/>
    <n v="7591"/>
    <n v="0.33333333333333331"/>
    <s v="sicilian_m"/>
    <n v="1"/>
    <x v="55"/>
    <x v="2"/>
    <x v="1572"/>
    <n v="16.25"/>
    <n v="16.25"/>
    <x v="0"/>
    <x v="2"/>
    <s v="Coarse Sicilian Salami, Tomatoes, Green Olives, Luganega Sausage, Onions, Garlic"/>
    <x v="7"/>
  </r>
  <r>
    <n v="17273"/>
    <n v="7595"/>
    <n v="1"/>
    <s v="big_meat_s"/>
    <n v="1"/>
    <x v="55"/>
    <x v="2"/>
    <x v="1573"/>
    <n v="12"/>
    <n v="12"/>
    <x v="1"/>
    <x v="0"/>
    <s v="Bacon, Pepperoni, Italian Sausage, Chorizo Sausage"/>
    <x v="4"/>
  </r>
  <r>
    <n v="17275"/>
    <n v="7596"/>
    <n v="1"/>
    <s v="the_greek_l"/>
    <n v="1"/>
    <x v="55"/>
    <x v="2"/>
    <x v="1574"/>
    <n v="20.5"/>
    <n v="20.5"/>
    <x v="2"/>
    <x v="0"/>
    <s v="Kalamata Olives, Feta Cheese, Tomatoes, Garlic, Beef Chuck Roast, Red Onions"/>
    <x v="2"/>
  </r>
  <r>
    <n v="17278"/>
    <n v="7598"/>
    <n v="1"/>
    <s v="sicilian_s"/>
    <n v="1"/>
    <x v="55"/>
    <x v="2"/>
    <x v="1575"/>
    <n v="12.25"/>
    <n v="12.25"/>
    <x v="1"/>
    <x v="2"/>
    <s v="Coarse Sicilian Salami, Tomatoes, Green Olives, Luganega Sausage, Onions, Garlic"/>
    <x v="7"/>
  </r>
  <r>
    <n v="17281"/>
    <n v="7600"/>
    <n v="1"/>
    <s v="pepperoni_m"/>
    <n v="1"/>
    <x v="55"/>
    <x v="2"/>
    <x v="1576"/>
    <n v="12.5"/>
    <n v="12.5"/>
    <x v="0"/>
    <x v="0"/>
    <s v="Mozzarella Cheese, Pepperoni"/>
    <x v="3"/>
  </r>
  <r>
    <n v="17288"/>
    <n v="7603"/>
    <n v="1"/>
    <s v="the_greek_xl"/>
    <n v="1"/>
    <x v="55"/>
    <x v="2"/>
    <x v="1577"/>
    <n v="25.5"/>
    <n v="25.5"/>
    <x v="3"/>
    <x v="0"/>
    <s v="Kalamata Olives, Feta Cheese, Tomatoes, Garlic, Beef Chuck Roast, Red Onions"/>
    <x v="2"/>
  </r>
  <r>
    <n v="17290"/>
    <n v="7605"/>
    <n v="1"/>
    <s v="big_meat_s"/>
    <n v="1"/>
    <x v="55"/>
    <x v="2"/>
    <x v="1578"/>
    <n v="12"/>
    <n v="12"/>
    <x v="1"/>
    <x v="0"/>
    <s v="Bacon, Pepperoni, Italian Sausage, Chorizo Sausage"/>
    <x v="4"/>
  </r>
  <r>
    <n v="17294"/>
    <n v="7606"/>
    <n v="1"/>
    <s v="sicilian_m"/>
    <n v="1"/>
    <x v="55"/>
    <x v="2"/>
    <x v="1579"/>
    <n v="16.25"/>
    <n v="16.25"/>
    <x v="0"/>
    <x v="2"/>
    <s v="Coarse Sicilian Salami, Tomatoes, Green Olives, Luganega Sausage, Onions, Garlic"/>
    <x v="7"/>
  </r>
  <r>
    <n v="17295"/>
    <n v="7607"/>
    <n v="1"/>
    <s v="mexicana_l"/>
    <n v="1"/>
    <x v="55"/>
    <x v="2"/>
    <x v="1580"/>
    <n v="20.25"/>
    <n v="20.25"/>
    <x v="2"/>
    <x v="1"/>
    <s v="Tomatoes, Red Peppers, Jalapeno Peppers, Red Onions, Cilantro, Corn, Chipotle Sauce, Garlic"/>
    <x v="1"/>
  </r>
  <r>
    <n v="17297"/>
    <n v="7608"/>
    <n v="1"/>
    <s v="napolitana_l"/>
    <n v="1"/>
    <x v="55"/>
    <x v="2"/>
    <x v="1581"/>
    <n v="20.5"/>
    <n v="20.5"/>
    <x v="2"/>
    <x v="0"/>
    <s v="Tomatoes, Anchovies, Green Olives, Red Onions, Garlic"/>
    <x v="5"/>
  </r>
  <r>
    <n v="17299"/>
    <n v="7610"/>
    <n v="1"/>
    <s v="mexicana_l"/>
    <n v="1"/>
    <x v="55"/>
    <x v="2"/>
    <x v="1582"/>
    <n v="20.25"/>
    <n v="20.25"/>
    <x v="2"/>
    <x v="1"/>
    <s v="Tomatoes, Red Peppers, Jalapeno Peppers, Red Onions, Cilantro, Corn, Chipotle Sauce, Garlic"/>
    <x v="1"/>
  </r>
  <r>
    <n v="17302"/>
    <n v="7612"/>
    <n v="0.5"/>
    <s v="big_meat_s"/>
    <n v="1"/>
    <x v="55"/>
    <x v="2"/>
    <x v="1583"/>
    <n v="12"/>
    <n v="12"/>
    <x v="1"/>
    <x v="0"/>
    <s v="Bacon, Pepperoni, Italian Sausage, Chorizo Sausage"/>
    <x v="4"/>
  </r>
  <r>
    <n v="17304"/>
    <n v="7612"/>
    <n v="0.5"/>
    <s v="pepperoni_l"/>
    <n v="1"/>
    <x v="55"/>
    <x v="2"/>
    <x v="1583"/>
    <n v="15.25"/>
    <n v="15.25"/>
    <x v="2"/>
    <x v="0"/>
    <s v="Mozzarella Cheese, Pepperoni"/>
    <x v="3"/>
  </r>
  <r>
    <n v="17307"/>
    <n v="7613"/>
    <n v="1"/>
    <s v="napolitana_l"/>
    <n v="1"/>
    <x v="55"/>
    <x v="2"/>
    <x v="1584"/>
    <n v="20.5"/>
    <n v="20.5"/>
    <x v="2"/>
    <x v="0"/>
    <s v="Tomatoes, Anchovies, Green Olives, Red Onions, Garlic"/>
    <x v="5"/>
  </r>
  <r>
    <n v="17316"/>
    <n v="7617"/>
    <n v="1"/>
    <s v="pepperoni_s"/>
    <n v="1"/>
    <x v="55"/>
    <x v="2"/>
    <x v="1585"/>
    <n v="9.75"/>
    <n v="9.75"/>
    <x v="1"/>
    <x v="0"/>
    <s v="Mozzarella Cheese, Pepperoni"/>
    <x v="3"/>
  </r>
  <r>
    <n v="17319"/>
    <n v="7619"/>
    <n v="1"/>
    <s v="big_meat_s"/>
    <n v="1"/>
    <x v="55"/>
    <x v="2"/>
    <x v="1586"/>
    <n v="12"/>
    <n v="12"/>
    <x v="1"/>
    <x v="0"/>
    <s v="Bacon, Pepperoni, Italian Sausage, Chorizo Sausage"/>
    <x v="4"/>
  </r>
  <r>
    <n v="17323"/>
    <n v="7620"/>
    <n v="1"/>
    <s v="big_meat_s"/>
    <n v="1"/>
    <x v="55"/>
    <x v="2"/>
    <x v="1587"/>
    <n v="12"/>
    <n v="12"/>
    <x v="1"/>
    <x v="0"/>
    <s v="Bacon, Pepperoni, Italian Sausage, Chorizo Sausage"/>
    <x v="4"/>
  </r>
  <r>
    <n v="17325"/>
    <n v="7621"/>
    <n v="1"/>
    <s v="pepperoni_m"/>
    <n v="1"/>
    <x v="55"/>
    <x v="2"/>
    <x v="1588"/>
    <n v="12.5"/>
    <n v="12.5"/>
    <x v="0"/>
    <x v="0"/>
    <s v="Mozzarella Cheese, Pepperoni"/>
    <x v="3"/>
  </r>
  <r>
    <n v="17326"/>
    <n v="7622"/>
    <n v="1"/>
    <s v="napolitana_s"/>
    <n v="1"/>
    <x v="55"/>
    <x v="2"/>
    <x v="1589"/>
    <n v="12"/>
    <n v="12"/>
    <x v="1"/>
    <x v="0"/>
    <s v="Tomatoes, Anchovies, Green Olives, Red Onions, Garlic"/>
    <x v="5"/>
  </r>
  <r>
    <n v="17329"/>
    <n v="7623"/>
    <n v="0.5"/>
    <s v="hawaiian_l"/>
    <n v="1"/>
    <x v="55"/>
    <x v="2"/>
    <x v="1590"/>
    <n v="16.5"/>
    <n v="16.5"/>
    <x v="2"/>
    <x v="0"/>
    <s v="Sliced Ham, Pineapple, Mozzarella Cheese"/>
    <x v="0"/>
  </r>
  <r>
    <n v="17331"/>
    <n v="7623"/>
    <n v="0.5"/>
    <s v="the_greek_xl"/>
    <n v="1"/>
    <x v="55"/>
    <x v="2"/>
    <x v="1590"/>
    <n v="25.5"/>
    <n v="25.5"/>
    <x v="3"/>
    <x v="0"/>
    <s v="Kalamata Olives, Feta Cheese, Tomatoes, Garlic, Beef Chuck Roast, Red Onions"/>
    <x v="2"/>
  </r>
  <r>
    <n v="17333"/>
    <n v="7624"/>
    <n v="1"/>
    <s v="hawaiian_s"/>
    <n v="1"/>
    <x v="55"/>
    <x v="2"/>
    <x v="1591"/>
    <n v="10.5"/>
    <n v="10.5"/>
    <x v="1"/>
    <x v="0"/>
    <s v="Sliced Ham, Pineapple, Mozzarella Cheese"/>
    <x v="0"/>
  </r>
  <r>
    <n v="17337"/>
    <n v="7626"/>
    <n v="1"/>
    <s v="big_meat_s"/>
    <n v="1"/>
    <x v="55"/>
    <x v="2"/>
    <x v="1592"/>
    <n v="12"/>
    <n v="12"/>
    <x v="1"/>
    <x v="0"/>
    <s v="Bacon, Pepperoni, Italian Sausage, Chorizo Sausage"/>
    <x v="4"/>
  </r>
  <r>
    <n v="17343"/>
    <n v="7628"/>
    <n v="1"/>
    <s v="napolitana_s"/>
    <n v="1"/>
    <x v="55"/>
    <x v="2"/>
    <x v="1593"/>
    <n v="12"/>
    <n v="12"/>
    <x v="1"/>
    <x v="0"/>
    <s v="Tomatoes, Anchovies, Green Olives, Red Onions, Garlic"/>
    <x v="5"/>
  </r>
  <r>
    <n v="17354"/>
    <n v="7632"/>
    <n v="1"/>
    <s v="mexicana_l"/>
    <n v="1"/>
    <x v="55"/>
    <x v="2"/>
    <x v="1594"/>
    <n v="20.25"/>
    <n v="20.25"/>
    <x v="2"/>
    <x v="1"/>
    <s v="Tomatoes, Red Peppers, Jalapeno Peppers, Red Onions, Cilantro, Corn, Chipotle Sauce, Garlic"/>
    <x v="1"/>
  </r>
  <r>
    <n v="17357"/>
    <n v="7633"/>
    <n v="1"/>
    <s v="pepperoni_m"/>
    <n v="1"/>
    <x v="55"/>
    <x v="2"/>
    <x v="1595"/>
    <n v="12.5"/>
    <n v="12.5"/>
    <x v="0"/>
    <x v="0"/>
    <s v="Mozzarella Cheese, Pepperoni"/>
    <x v="3"/>
  </r>
  <r>
    <n v="17361"/>
    <n v="7635"/>
    <n v="1"/>
    <s v="pepperoni_m"/>
    <n v="1"/>
    <x v="55"/>
    <x v="2"/>
    <x v="1596"/>
    <n v="12.5"/>
    <n v="12.5"/>
    <x v="0"/>
    <x v="0"/>
    <s v="Mozzarella Cheese, Pepperoni"/>
    <x v="3"/>
  </r>
  <r>
    <n v="17362"/>
    <n v="7636"/>
    <n v="0.5"/>
    <s v="big_meat_s"/>
    <n v="1"/>
    <x v="55"/>
    <x v="2"/>
    <x v="1597"/>
    <n v="12"/>
    <n v="12"/>
    <x v="1"/>
    <x v="0"/>
    <s v="Bacon, Pepperoni, Italian Sausage, Chorizo Sausage"/>
    <x v="4"/>
  </r>
  <r>
    <n v="17363"/>
    <n v="7636"/>
    <n v="0.5"/>
    <s v="pepperoni_l"/>
    <n v="1"/>
    <x v="55"/>
    <x v="2"/>
    <x v="1597"/>
    <n v="15.25"/>
    <n v="15.25"/>
    <x v="2"/>
    <x v="0"/>
    <s v="Mozzarella Cheese, Pepperoni"/>
    <x v="3"/>
  </r>
  <r>
    <n v="17366"/>
    <n v="7639"/>
    <n v="1"/>
    <s v="sicilian_s"/>
    <n v="1"/>
    <x v="55"/>
    <x v="2"/>
    <x v="1598"/>
    <n v="12.25"/>
    <n v="12.25"/>
    <x v="1"/>
    <x v="2"/>
    <s v="Coarse Sicilian Salami, Tomatoes, Green Olives, Luganega Sausage, Onions, Garlic"/>
    <x v="7"/>
  </r>
  <r>
    <n v="17367"/>
    <n v="7640"/>
    <n v="0.5"/>
    <s v="calabrese_s"/>
    <n v="1"/>
    <x v="55"/>
    <x v="2"/>
    <x v="1599"/>
    <n v="12.25"/>
    <n v="12.25"/>
    <x v="1"/>
    <x v="2"/>
    <s v="?duja Salami, Pancetta, Tomatoes, Red Onions, Friggitello Peppers, Garlic"/>
    <x v="6"/>
  </r>
  <r>
    <n v="17369"/>
    <n v="7640"/>
    <n v="0.5"/>
    <s v="the_greek_l"/>
    <n v="1"/>
    <x v="55"/>
    <x v="2"/>
    <x v="1599"/>
    <n v="20.5"/>
    <n v="20.5"/>
    <x v="2"/>
    <x v="0"/>
    <s v="Kalamata Olives, Feta Cheese, Tomatoes, Garlic, Beef Chuck Roast, Red Onions"/>
    <x v="2"/>
  </r>
  <r>
    <n v="17372"/>
    <n v="7641"/>
    <n v="1"/>
    <s v="sicilian_l"/>
    <n v="1"/>
    <x v="55"/>
    <x v="2"/>
    <x v="1600"/>
    <n v="20.25"/>
    <n v="20.25"/>
    <x v="2"/>
    <x v="2"/>
    <s v="Coarse Sicilian Salami, Tomatoes, Green Olives, Luganega Sausage, Onions, Garlic"/>
    <x v="7"/>
  </r>
  <r>
    <n v="17375"/>
    <n v="7642"/>
    <n v="1"/>
    <s v="pepperoni_l"/>
    <n v="1"/>
    <x v="55"/>
    <x v="2"/>
    <x v="1601"/>
    <n v="15.25"/>
    <n v="15.25"/>
    <x v="2"/>
    <x v="0"/>
    <s v="Mozzarella Cheese, Pepperoni"/>
    <x v="3"/>
  </r>
  <r>
    <n v="17379"/>
    <n v="7644"/>
    <n v="0.5"/>
    <s v="calabrese_s"/>
    <n v="1"/>
    <x v="55"/>
    <x v="2"/>
    <x v="1602"/>
    <n v="12.25"/>
    <n v="12.25"/>
    <x v="1"/>
    <x v="2"/>
    <s v="?duja Salami, Pancetta, Tomatoes, Red Onions, Friggitello Peppers, Garlic"/>
    <x v="6"/>
  </r>
  <r>
    <n v="17380"/>
    <n v="7644"/>
    <n v="0.5"/>
    <s v="mexicana_l"/>
    <n v="1"/>
    <x v="55"/>
    <x v="2"/>
    <x v="1602"/>
    <n v="20.25"/>
    <n v="20.25"/>
    <x v="2"/>
    <x v="1"/>
    <s v="Tomatoes, Red Peppers, Jalapeno Peppers, Red Onions, Cilantro, Corn, Chipotle Sauce, Garlic"/>
    <x v="1"/>
  </r>
  <r>
    <n v="17382"/>
    <n v="7645"/>
    <n v="1"/>
    <s v="calabrese_s"/>
    <n v="1"/>
    <x v="55"/>
    <x v="2"/>
    <x v="1603"/>
    <n v="12.25"/>
    <n v="12.25"/>
    <x v="1"/>
    <x v="2"/>
    <s v="?duja Salami, Pancetta, Tomatoes, Red Onions, Friggitello Peppers, Garlic"/>
    <x v="6"/>
  </r>
  <r>
    <n v="17388"/>
    <n v="7646"/>
    <n v="1"/>
    <s v="mexicana_l"/>
    <n v="1"/>
    <x v="55"/>
    <x v="2"/>
    <x v="1604"/>
    <n v="20.25"/>
    <n v="20.25"/>
    <x v="2"/>
    <x v="1"/>
    <s v="Tomatoes, Red Peppers, Jalapeno Peppers, Red Onions, Cilantro, Corn, Chipotle Sauce, Garlic"/>
    <x v="1"/>
  </r>
  <r>
    <n v="17391"/>
    <n v="7647"/>
    <n v="0.5"/>
    <s v="sicilian_l"/>
    <n v="1"/>
    <x v="55"/>
    <x v="2"/>
    <x v="1605"/>
    <n v="20.25"/>
    <n v="20.25"/>
    <x v="2"/>
    <x v="2"/>
    <s v="Coarse Sicilian Salami, Tomatoes, Green Olives, Luganega Sausage, Onions, Garlic"/>
    <x v="7"/>
  </r>
  <r>
    <n v="17393"/>
    <n v="7647"/>
    <n v="0.5"/>
    <s v="the_greek_xl"/>
    <n v="1"/>
    <x v="55"/>
    <x v="2"/>
    <x v="1605"/>
    <n v="25.5"/>
    <n v="25.5"/>
    <x v="3"/>
    <x v="0"/>
    <s v="Kalamata Olives, Feta Cheese, Tomatoes, Garlic, Beef Chuck Roast, Red Onions"/>
    <x v="2"/>
  </r>
  <r>
    <n v="17394"/>
    <n v="7648"/>
    <n v="1"/>
    <s v="the_greek_s"/>
    <n v="1"/>
    <x v="55"/>
    <x v="2"/>
    <x v="1606"/>
    <n v="12"/>
    <n v="12"/>
    <x v="1"/>
    <x v="0"/>
    <s v="Kalamata Olives, Feta Cheese, Tomatoes, Garlic, Beef Chuck Roast, Red Onions"/>
    <x v="2"/>
  </r>
  <r>
    <n v="17397"/>
    <n v="7649"/>
    <n v="0.5"/>
    <s v="mexicana_l"/>
    <n v="1"/>
    <x v="55"/>
    <x v="2"/>
    <x v="1607"/>
    <n v="20.25"/>
    <n v="20.25"/>
    <x v="2"/>
    <x v="1"/>
    <s v="Tomatoes, Red Peppers, Jalapeno Peppers, Red Onions, Cilantro, Corn, Chipotle Sauce, Garlic"/>
    <x v="1"/>
  </r>
  <r>
    <n v="17398"/>
    <n v="7649"/>
    <n v="0.5"/>
    <s v="the_greek_m"/>
    <n v="1"/>
    <x v="55"/>
    <x v="2"/>
    <x v="1607"/>
    <n v="16"/>
    <n v="16"/>
    <x v="0"/>
    <x v="0"/>
    <s v="Kalamata Olives, Feta Cheese, Tomatoes, Garlic, Beef Chuck Roast, Red Onions"/>
    <x v="2"/>
  </r>
  <r>
    <n v="17401"/>
    <n v="7651"/>
    <n v="0.5"/>
    <s v="big_meat_s"/>
    <n v="1"/>
    <x v="56"/>
    <x v="5"/>
    <x v="1608"/>
    <n v="12"/>
    <n v="12"/>
    <x v="1"/>
    <x v="0"/>
    <s v="Bacon, Pepperoni, Italian Sausage, Chorizo Sausage"/>
    <x v="4"/>
  </r>
  <r>
    <n v="17402"/>
    <n v="7651"/>
    <n v="0.5"/>
    <s v="sicilian_m"/>
    <n v="1"/>
    <x v="56"/>
    <x v="5"/>
    <x v="1608"/>
    <n v="16.25"/>
    <n v="16.25"/>
    <x v="0"/>
    <x v="2"/>
    <s v="Coarse Sicilian Salami, Tomatoes, Green Olives, Luganega Sausage, Onions, Garlic"/>
    <x v="7"/>
  </r>
  <r>
    <n v="17405"/>
    <n v="7652"/>
    <n v="1"/>
    <s v="mexicana_l"/>
    <n v="1"/>
    <x v="56"/>
    <x v="5"/>
    <x v="1609"/>
    <n v="20.25"/>
    <n v="20.25"/>
    <x v="2"/>
    <x v="1"/>
    <s v="Tomatoes, Red Peppers, Jalapeno Peppers, Red Onions, Cilantro, Corn, Chipotle Sauce, Garlic"/>
    <x v="1"/>
  </r>
  <r>
    <n v="17406"/>
    <n v="7653"/>
    <n v="0.5"/>
    <s v="calabrese_l"/>
    <n v="1"/>
    <x v="56"/>
    <x v="5"/>
    <x v="1610"/>
    <n v="20.25"/>
    <n v="20.25"/>
    <x v="2"/>
    <x v="2"/>
    <s v="?duja Salami, Pancetta, Tomatoes, Red Onions, Friggitello Peppers, Garlic"/>
    <x v="6"/>
  </r>
  <r>
    <n v="17407"/>
    <n v="7653"/>
    <n v="0.5"/>
    <s v="the_greek_xl"/>
    <n v="1"/>
    <x v="56"/>
    <x v="5"/>
    <x v="1610"/>
    <n v="25.5"/>
    <n v="25.5"/>
    <x v="3"/>
    <x v="0"/>
    <s v="Kalamata Olives, Feta Cheese, Tomatoes, Garlic, Beef Chuck Roast, Red Onions"/>
    <x v="2"/>
  </r>
  <r>
    <n v="17417"/>
    <n v="7656"/>
    <n v="0.25"/>
    <s v="hawaiian_s"/>
    <n v="1"/>
    <x v="56"/>
    <x v="5"/>
    <x v="1611"/>
    <n v="10.5"/>
    <n v="10.5"/>
    <x v="1"/>
    <x v="0"/>
    <s v="Sliced Ham, Pineapple, Mozzarella Cheese"/>
    <x v="0"/>
  </r>
  <r>
    <n v="17419"/>
    <n v="7656"/>
    <n v="0.25"/>
    <s v="pepperoni_l"/>
    <n v="2"/>
    <x v="56"/>
    <x v="5"/>
    <x v="1611"/>
    <n v="15.25"/>
    <n v="30.5"/>
    <x v="2"/>
    <x v="0"/>
    <s v="Mozzarella Cheese, Pepperoni"/>
    <x v="3"/>
  </r>
  <r>
    <n v="17420"/>
    <n v="7656"/>
    <n v="0.25"/>
    <s v="sicilian_m"/>
    <n v="1"/>
    <x v="56"/>
    <x v="5"/>
    <x v="1611"/>
    <n v="16.25"/>
    <n v="16.25"/>
    <x v="0"/>
    <x v="2"/>
    <s v="Coarse Sicilian Salami, Tomatoes, Green Olives, Luganega Sausage, Onions, Garlic"/>
    <x v="7"/>
  </r>
  <r>
    <n v="17422"/>
    <n v="7656"/>
    <n v="0.25"/>
    <s v="the_greek_xl"/>
    <n v="1"/>
    <x v="56"/>
    <x v="5"/>
    <x v="1611"/>
    <n v="25.5"/>
    <n v="25.5"/>
    <x v="3"/>
    <x v="0"/>
    <s v="Kalamata Olives, Feta Cheese, Tomatoes, Garlic, Beef Chuck Roast, Red Onions"/>
    <x v="2"/>
  </r>
  <r>
    <n v="17423"/>
    <n v="7657"/>
    <n v="1"/>
    <s v="pepperoni_l"/>
    <n v="1"/>
    <x v="56"/>
    <x v="5"/>
    <x v="1612"/>
    <n v="15.25"/>
    <n v="15.25"/>
    <x v="2"/>
    <x v="0"/>
    <s v="Mozzarella Cheese, Pepperoni"/>
    <x v="3"/>
  </r>
  <r>
    <n v="17428"/>
    <n v="7658"/>
    <n v="0.33333333333333331"/>
    <s v="pepperoni_m"/>
    <n v="1"/>
    <x v="56"/>
    <x v="5"/>
    <x v="1613"/>
    <n v="12.5"/>
    <n v="12.5"/>
    <x v="0"/>
    <x v="0"/>
    <s v="Mozzarella Cheese, Pepperoni"/>
    <x v="3"/>
  </r>
  <r>
    <n v="17430"/>
    <n v="7658"/>
    <n v="0.33333333333333331"/>
    <s v="sicilian_l"/>
    <n v="1"/>
    <x v="56"/>
    <x v="5"/>
    <x v="1613"/>
    <n v="20.25"/>
    <n v="20.25"/>
    <x v="2"/>
    <x v="2"/>
    <s v="Coarse Sicilian Salami, Tomatoes, Green Olives, Luganega Sausage, Onions, Garlic"/>
    <x v="7"/>
  </r>
  <r>
    <n v="17433"/>
    <n v="7658"/>
    <n v="0.33333333333333331"/>
    <s v="the_greek_l"/>
    <n v="1"/>
    <x v="56"/>
    <x v="5"/>
    <x v="1613"/>
    <n v="20.5"/>
    <n v="20.5"/>
    <x v="2"/>
    <x v="0"/>
    <s v="Kalamata Olives, Feta Cheese, Tomatoes, Garlic, Beef Chuck Roast, Red Onions"/>
    <x v="2"/>
  </r>
  <r>
    <n v="17449"/>
    <n v="7667"/>
    <n v="1"/>
    <s v="napolitana_m"/>
    <n v="1"/>
    <x v="56"/>
    <x v="5"/>
    <x v="1614"/>
    <n v="16"/>
    <n v="16"/>
    <x v="0"/>
    <x v="0"/>
    <s v="Tomatoes, Anchovies, Green Olives, Red Onions, Garlic"/>
    <x v="5"/>
  </r>
  <r>
    <n v="17452"/>
    <n v="7669"/>
    <n v="1"/>
    <s v="hawaiian_l"/>
    <n v="1"/>
    <x v="56"/>
    <x v="5"/>
    <x v="1615"/>
    <n v="16.5"/>
    <n v="16.5"/>
    <x v="2"/>
    <x v="0"/>
    <s v="Sliced Ham, Pineapple, Mozzarella Cheese"/>
    <x v="0"/>
  </r>
  <r>
    <n v="17456"/>
    <n v="7671"/>
    <n v="0.5"/>
    <s v="hawaiian_l"/>
    <n v="1"/>
    <x v="56"/>
    <x v="5"/>
    <x v="1616"/>
    <n v="16.5"/>
    <n v="16.5"/>
    <x v="2"/>
    <x v="0"/>
    <s v="Sliced Ham, Pineapple, Mozzarella Cheese"/>
    <x v="0"/>
  </r>
  <r>
    <n v="17457"/>
    <n v="7671"/>
    <n v="0.5"/>
    <s v="pepperoni_l"/>
    <n v="1"/>
    <x v="56"/>
    <x v="5"/>
    <x v="1616"/>
    <n v="15.25"/>
    <n v="15.25"/>
    <x v="2"/>
    <x v="0"/>
    <s v="Mozzarella Cheese, Pepperoni"/>
    <x v="3"/>
  </r>
  <r>
    <n v="17461"/>
    <n v="7673"/>
    <n v="1"/>
    <s v="pepperoni_s"/>
    <n v="1"/>
    <x v="56"/>
    <x v="5"/>
    <x v="1617"/>
    <n v="9.75"/>
    <n v="9.75"/>
    <x v="1"/>
    <x v="0"/>
    <s v="Mozzarella Cheese, Pepperoni"/>
    <x v="3"/>
  </r>
  <r>
    <n v="17467"/>
    <n v="7675"/>
    <n v="0.5"/>
    <s v="mexicana_m"/>
    <n v="1"/>
    <x v="56"/>
    <x v="5"/>
    <x v="1618"/>
    <n v="16"/>
    <n v="16"/>
    <x v="0"/>
    <x v="1"/>
    <s v="Tomatoes, Red Peppers, Jalapeno Peppers, Red Onions, Cilantro, Corn, Chipotle Sauce, Garlic"/>
    <x v="1"/>
  </r>
  <r>
    <n v="17470"/>
    <n v="7675"/>
    <n v="0.5"/>
    <s v="the_greek_s"/>
    <n v="1"/>
    <x v="56"/>
    <x v="5"/>
    <x v="1618"/>
    <n v="12"/>
    <n v="12"/>
    <x v="1"/>
    <x v="0"/>
    <s v="Kalamata Olives, Feta Cheese, Tomatoes, Garlic, Beef Chuck Roast, Red Onions"/>
    <x v="2"/>
  </r>
  <r>
    <n v="17471"/>
    <n v="7676"/>
    <n v="0.5"/>
    <s v="big_meat_s"/>
    <n v="1"/>
    <x v="56"/>
    <x v="5"/>
    <x v="1619"/>
    <n v="12"/>
    <n v="12"/>
    <x v="1"/>
    <x v="0"/>
    <s v="Bacon, Pepperoni, Italian Sausage, Chorizo Sausage"/>
    <x v="4"/>
  </r>
  <r>
    <n v="17472"/>
    <n v="7676"/>
    <n v="0.5"/>
    <s v="pepperoni_s"/>
    <n v="1"/>
    <x v="56"/>
    <x v="5"/>
    <x v="1619"/>
    <n v="9.75"/>
    <n v="9.75"/>
    <x v="1"/>
    <x v="0"/>
    <s v="Mozzarella Cheese, Pepperoni"/>
    <x v="3"/>
  </r>
  <r>
    <n v="17478"/>
    <n v="7679"/>
    <n v="1"/>
    <s v="brie_carre_s"/>
    <n v="1"/>
    <x v="56"/>
    <x v="5"/>
    <x v="1620"/>
    <n v="23.65"/>
    <n v="23.65"/>
    <x v="1"/>
    <x v="2"/>
    <s v="Brie Carre Cheese, Prosciutto, Caramelized Onions, Pears, Thyme, Garlic"/>
    <x v="8"/>
  </r>
  <r>
    <n v="17483"/>
    <n v="7681"/>
    <n v="0.5"/>
    <s v="big_meat_s"/>
    <n v="1"/>
    <x v="56"/>
    <x v="5"/>
    <x v="1621"/>
    <n v="12"/>
    <n v="12"/>
    <x v="1"/>
    <x v="0"/>
    <s v="Bacon, Pepperoni, Italian Sausage, Chorizo Sausage"/>
    <x v="4"/>
  </r>
  <r>
    <n v="17484"/>
    <n v="7681"/>
    <n v="0.5"/>
    <s v="hawaiian_m"/>
    <n v="1"/>
    <x v="56"/>
    <x v="5"/>
    <x v="1621"/>
    <n v="13.25"/>
    <n v="13.25"/>
    <x v="0"/>
    <x v="0"/>
    <s v="Sliced Ham, Pineapple, Mozzarella Cheese"/>
    <x v="0"/>
  </r>
  <r>
    <n v="17488"/>
    <n v="7684"/>
    <n v="1"/>
    <s v="big_meat_s"/>
    <n v="1"/>
    <x v="56"/>
    <x v="5"/>
    <x v="1622"/>
    <n v="12"/>
    <n v="12"/>
    <x v="1"/>
    <x v="0"/>
    <s v="Bacon, Pepperoni, Italian Sausage, Chorizo Sausage"/>
    <x v="4"/>
  </r>
  <r>
    <n v="17493"/>
    <n v="7685"/>
    <n v="1"/>
    <s v="sicilian_l"/>
    <n v="1"/>
    <x v="56"/>
    <x v="5"/>
    <x v="1623"/>
    <n v="20.25"/>
    <n v="20.25"/>
    <x v="2"/>
    <x v="2"/>
    <s v="Coarse Sicilian Salami, Tomatoes, Green Olives, Luganega Sausage, Onions, Garlic"/>
    <x v="7"/>
  </r>
  <r>
    <n v="17495"/>
    <n v="7687"/>
    <n v="0.5"/>
    <s v="big_meat_s"/>
    <n v="1"/>
    <x v="56"/>
    <x v="5"/>
    <x v="1624"/>
    <n v="12"/>
    <n v="12"/>
    <x v="1"/>
    <x v="0"/>
    <s v="Bacon, Pepperoni, Italian Sausage, Chorizo Sausage"/>
    <x v="4"/>
  </r>
  <r>
    <n v="17498"/>
    <n v="7687"/>
    <n v="0.5"/>
    <s v="hawaiian_l"/>
    <n v="1"/>
    <x v="56"/>
    <x v="5"/>
    <x v="1624"/>
    <n v="16.5"/>
    <n v="16.5"/>
    <x v="2"/>
    <x v="0"/>
    <s v="Sliced Ham, Pineapple, Mozzarella Cheese"/>
    <x v="0"/>
  </r>
  <r>
    <n v="17503"/>
    <n v="7690"/>
    <n v="1"/>
    <s v="the_greek_xl"/>
    <n v="1"/>
    <x v="56"/>
    <x v="5"/>
    <x v="1625"/>
    <n v="25.5"/>
    <n v="25.5"/>
    <x v="3"/>
    <x v="0"/>
    <s v="Kalamata Olives, Feta Cheese, Tomatoes, Garlic, Beef Chuck Roast, Red Onions"/>
    <x v="2"/>
  </r>
  <r>
    <n v="17505"/>
    <n v="7691"/>
    <n v="0.5"/>
    <s v="pepperoni_l"/>
    <n v="1"/>
    <x v="56"/>
    <x v="5"/>
    <x v="1626"/>
    <n v="15.25"/>
    <n v="15.25"/>
    <x v="2"/>
    <x v="0"/>
    <s v="Mozzarella Cheese, Pepperoni"/>
    <x v="3"/>
  </r>
  <r>
    <n v="17506"/>
    <n v="7691"/>
    <n v="0.5"/>
    <s v="sicilian_s"/>
    <n v="1"/>
    <x v="56"/>
    <x v="5"/>
    <x v="1626"/>
    <n v="12.25"/>
    <n v="12.25"/>
    <x v="1"/>
    <x v="2"/>
    <s v="Coarse Sicilian Salami, Tomatoes, Green Olives, Luganega Sausage, Onions, Garlic"/>
    <x v="7"/>
  </r>
  <r>
    <n v="17510"/>
    <n v="7693"/>
    <n v="1"/>
    <s v="pepperoni_m"/>
    <n v="1"/>
    <x v="56"/>
    <x v="5"/>
    <x v="1627"/>
    <n v="12.5"/>
    <n v="12.5"/>
    <x v="0"/>
    <x v="0"/>
    <s v="Mozzarella Cheese, Pepperoni"/>
    <x v="3"/>
  </r>
  <r>
    <n v="17512"/>
    <n v="7694"/>
    <n v="1"/>
    <s v="sicilian_l"/>
    <n v="1"/>
    <x v="56"/>
    <x v="5"/>
    <x v="1628"/>
    <n v="20.25"/>
    <n v="20.25"/>
    <x v="2"/>
    <x v="2"/>
    <s v="Coarse Sicilian Salami, Tomatoes, Green Olives, Luganega Sausage, Onions, Garlic"/>
    <x v="7"/>
  </r>
  <r>
    <n v="17516"/>
    <n v="7695"/>
    <n v="1"/>
    <s v="big_meat_s"/>
    <n v="1"/>
    <x v="56"/>
    <x v="5"/>
    <x v="1629"/>
    <n v="12"/>
    <n v="12"/>
    <x v="1"/>
    <x v="0"/>
    <s v="Bacon, Pepperoni, Italian Sausage, Chorizo Sausage"/>
    <x v="4"/>
  </r>
  <r>
    <n v="17520"/>
    <n v="7696"/>
    <n v="1"/>
    <s v="pepperoni_s"/>
    <n v="1"/>
    <x v="56"/>
    <x v="5"/>
    <x v="1630"/>
    <n v="9.75"/>
    <n v="9.75"/>
    <x v="1"/>
    <x v="0"/>
    <s v="Mozzarella Cheese, Pepperoni"/>
    <x v="3"/>
  </r>
  <r>
    <n v="17521"/>
    <n v="7697"/>
    <n v="1"/>
    <s v="napolitana_l"/>
    <n v="1"/>
    <x v="56"/>
    <x v="5"/>
    <x v="1631"/>
    <n v="20.5"/>
    <n v="20.5"/>
    <x v="2"/>
    <x v="0"/>
    <s v="Tomatoes, Anchovies, Green Olives, Red Onions, Garlic"/>
    <x v="5"/>
  </r>
  <r>
    <n v="17522"/>
    <n v="7698"/>
    <n v="0.5"/>
    <s v="pepperoni_m"/>
    <n v="1"/>
    <x v="56"/>
    <x v="5"/>
    <x v="1632"/>
    <n v="12.5"/>
    <n v="12.5"/>
    <x v="0"/>
    <x v="0"/>
    <s v="Mozzarella Cheese, Pepperoni"/>
    <x v="3"/>
  </r>
  <r>
    <n v="17523"/>
    <n v="7698"/>
    <n v="0.5"/>
    <s v="the_greek_m"/>
    <n v="1"/>
    <x v="56"/>
    <x v="5"/>
    <x v="1632"/>
    <n v="16"/>
    <n v="16"/>
    <x v="0"/>
    <x v="0"/>
    <s v="Kalamata Olives, Feta Cheese, Tomatoes, Garlic, Beef Chuck Roast, Red Onions"/>
    <x v="2"/>
  </r>
  <r>
    <n v="17526"/>
    <n v="7699"/>
    <n v="1"/>
    <s v="hawaiian_m"/>
    <n v="1"/>
    <x v="56"/>
    <x v="5"/>
    <x v="1633"/>
    <n v="13.25"/>
    <n v="13.25"/>
    <x v="0"/>
    <x v="0"/>
    <s v="Sliced Ham, Pineapple, Mozzarella Cheese"/>
    <x v="0"/>
  </r>
  <r>
    <n v="17529"/>
    <n v="7700"/>
    <n v="1"/>
    <s v="pepperoni_l"/>
    <n v="1"/>
    <x v="56"/>
    <x v="5"/>
    <x v="1634"/>
    <n v="15.25"/>
    <n v="15.25"/>
    <x v="2"/>
    <x v="0"/>
    <s v="Mozzarella Cheese, Pepperoni"/>
    <x v="3"/>
  </r>
  <r>
    <n v="17531"/>
    <n v="7701"/>
    <n v="1"/>
    <s v="the_greek_xl"/>
    <n v="1"/>
    <x v="56"/>
    <x v="5"/>
    <x v="1635"/>
    <n v="25.5"/>
    <n v="25.5"/>
    <x v="3"/>
    <x v="0"/>
    <s v="Kalamata Olives, Feta Cheese, Tomatoes, Garlic, Beef Chuck Roast, Red Onions"/>
    <x v="2"/>
  </r>
  <r>
    <n v="17538"/>
    <n v="7705"/>
    <n v="1"/>
    <s v="the_greek_xl"/>
    <n v="1"/>
    <x v="56"/>
    <x v="5"/>
    <x v="1636"/>
    <n v="25.5"/>
    <n v="25.5"/>
    <x v="3"/>
    <x v="0"/>
    <s v="Kalamata Olives, Feta Cheese, Tomatoes, Garlic, Beef Chuck Roast, Red Onions"/>
    <x v="2"/>
  </r>
  <r>
    <n v="17541"/>
    <n v="7706"/>
    <n v="1"/>
    <s v="sicilian_l"/>
    <n v="1"/>
    <x v="57"/>
    <x v="4"/>
    <x v="1637"/>
    <n v="20.25"/>
    <n v="20.25"/>
    <x v="2"/>
    <x v="2"/>
    <s v="Coarse Sicilian Salami, Tomatoes, Green Olives, Luganega Sausage, Onions, Garlic"/>
    <x v="7"/>
  </r>
  <r>
    <n v="17542"/>
    <n v="7707"/>
    <n v="1"/>
    <s v="calabrese_m"/>
    <n v="1"/>
    <x v="57"/>
    <x v="4"/>
    <x v="1638"/>
    <n v="16.25"/>
    <n v="16.25"/>
    <x v="0"/>
    <x v="2"/>
    <s v="?duja Salami, Pancetta, Tomatoes, Red Onions, Friggitello Peppers, Garlic"/>
    <x v="6"/>
  </r>
  <r>
    <n v="17554"/>
    <n v="7712"/>
    <n v="0.25"/>
    <s v="hawaiian_l"/>
    <n v="1"/>
    <x v="57"/>
    <x v="4"/>
    <x v="1639"/>
    <n v="16.5"/>
    <n v="16.5"/>
    <x v="2"/>
    <x v="0"/>
    <s v="Sliced Ham, Pineapple, Mozzarella Cheese"/>
    <x v="0"/>
  </r>
  <r>
    <n v="17555"/>
    <n v="7712"/>
    <n v="0.25"/>
    <s v="mexicana_l"/>
    <n v="1"/>
    <x v="57"/>
    <x v="4"/>
    <x v="1639"/>
    <n v="20.25"/>
    <n v="20.25"/>
    <x v="2"/>
    <x v="1"/>
    <s v="Tomatoes, Red Peppers, Jalapeno Peppers, Red Onions, Cilantro, Corn, Chipotle Sauce, Garlic"/>
    <x v="1"/>
  </r>
  <r>
    <n v="17556"/>
    <n v="7712"/>
    <n v="0.25"/>
    <s v="pepperoni_m"/>
    <n v="1"/>
    <x v="57"/>
    <x v="4"/>
    <x v="1639"/>
    <n v="12.5"/>
    <n v="12.5"/>
    <x v="0"/>
    <x v="0"/>
    <s v="Mozzarella Cheese, Pepperoni"/>
    <x v="3"/>
  </r>
  <r>
    <n v="17560"/>
    <n v="7712"/>
    <n v="0.25"/>
    <s v="the_greek_s"/>
    <n v="1"/>
    <x v="57"/>
    <x v="4"/>
    <x v="1639"/>
    <n v="12"/>
    <n v="12"/>
    <x v="1"/>
    <x v="0"/>
    <s v="Kalamata Olives, Feta Cheese, Tomatoes, Garlic, Beef Chuck Roast, Red Onions"/>
    <x v="2"/>
  </r>
  <r>
    <n v="17561"/>
    <n v="7713"/>
    <n v="0.33333333333333331"/>
    <s v="big_meat_s"/>
    <n v="1"/>
    <x v="57"/>
    <x v="4"/>
    <x v="1640"/>
    <n v="12"/>
    <n v="12"/>
    <x v="1"/>
    <x v="0"/>
    <s v="Bacon, Pepperoni, Italian Sausage, Chorizo Sausage"/>
    <x v="4"/>
  </r>
  <r>
    <n v="17562"/>
    <n v="7713"/>
    <n v="0.33333333333333331"/>
    <s v="calabrese_l"/>
    <n v="1"/>
    <x v="57"/>
    <x v="4"/>
    <x v="1640"/>
    <n v="20.25"/>
    <n v="20.25"/>
    <x v="2"/>
    <x v="2"/>
    <s v="?duja Salami, Pancetta, Tomatoes, Red Onions, Friggitello Peppers, Garlic"/>
    <x v="6"/>
  </r>
  <r>
    <n v="17566"/>
    <n v="7713"/>
    <n v="0.33333333333333331"/>
    <s v="napolitana_s"/>
    <n v="1"/>
    <x v="57"/>
    <x v="4"/>
    <x v="1640"/>
    <n v="12"/>
    <n v="12"/>
    <x v="1"/>
    <x v="0"/>
    <s v="Tomatoes, Anchovies, Green Olives, Red Onions, Garlic"/>
    <x v="5"/>
  </r>
  <r>
    <n v="17571"/>
    <n v="7714"/>
    <n v="1"/>
    <s v="big_meat_s"/>
    <n v="1"/>
    <x v="57"/>
    <x v="4"/>
    <x v="1641"/>
    <n v="12"/>
    <n v="12"/>
    <x v="1"/>
    <x v="0"/>
    <s v="Bacon, Pepperoni, Italian Sausage, Chorizo Sausage"/>
    <x v="4"/>
  </r>
  <r>
    <n v="17572"/>
    <n v="7715"/>
    <n v="1"/>
    <s v="pepperoni_m"/>
    <n v="1"/>
    <x v="57"/>
    <x v="4"/>
    <x v="1642"/>
    <n v="12.5"/>
    <n v="12.5"/>
    <x v="0"/>
    <x v="0"/>
    <s v="Mozzarella Cheese, Pepperoni"/>
    <x v="3"/>
  </r>
  <r>
    <n v="17573"/>
    <n v="7716"/>
    <n v="0.5"/>
    <s v="calabrese_m"/>
    <n v="1"/>
    <x v="57"/>
    <x v="4"/>
    <x v="1643"/>
    <n v="16.25"/>
    <n v="16.25"/>
    <x v="0"/>
    <x v="2"/>
    <s v="?duja Salami, Pancetta, Tomatoes, Red Onions, Friggitello Peppers, Garlic"/>
    <x v="6"/>
  </r>
  <r>
    <n v="17574"/>
    <n v="7716"/>
    <n v="0.5"/>
    <s v="mexicana_l"/>
    <n v="1"/>
    <x v="57"/>
    <x v="4"/>
    <x v="1643"/>
    <n v="20.25"/>
    <n v="20.25"/>
    <x v="2"/>
    <x v="1"/>
    <s v="Tomatoes, Red Peppers, Jalapeno Peppers, Red Onions, Cilantro, Corn, Chipotle Sauce, Garlic"/>
    <x v="1"/>
  </r>
  <r>
    <n v="17575"/>
    <n v="7717"/>
    <n v="0.5"/>
    <s v="hawaiian_l"/>
    <n v="1"/>
    <x v="57"/>
    <x v="4"/>
    <x v="1644"/>
    <n v="16.5"/>
    <n v="16.5"/>
    <x v="2"/>
    <x v="0"/>
    <s v="Sliced Ham, Pineapple, Mozzarella Cheese"/>
    <x v="0"/>
  </r>
  <r>
    <n v="17577"/>
    <n v="7717"/>
    <n v="0.5"/>
    <s v="sicilian_l"/>
    <n v="1"/>
    <x v="57"/>
    <x v="4"/>
    <x v="1644"/>
    <n v="20.25"/>
    <n v="20.25"/>
    <x v="2"/>
    <x v="2"/>
    <s v="Coarse Sicilian Salami, Tomatoes, Green Olives, Luganega Sausage, Onions, Garlic"/>
    <x v="7"/>
  </r>
  <r>
    <n v="17583"/>
    <n v="7720"/>
    <n v="1"/>
    <s v="sicilian_m"/>
    <n v="1"/>
    <x v="57"/>
    <x v="4"/>
    <x v="1645"/>
    <n v="16.25"/>
    <n v="16.25"/>
    <x v="0"/>
    <x v="2"/>
    <s v="Coarse Sicilian Salami, Tomatoes, Green Olives, Luganega Sausage, Onions, Garlic"/>
    <x v="7"/>
  </r>
  <r>
    <n v="17584"/>
    <n v="7721"/>
    <n v="0.33333333333333331"/>
    <s v="brie_carre_s"/>
    <n v="1"/>
    <x v="57"/>
    <x v="4"/>
    <x v="1646"/>
    <n v="23.65"/>
    <n v="23.65"/>
    <x v="1"/>
    <x v="2"/>
    <s v="Brie Carre Cheese, Prosciutto, Caramelized Onions, Pears, Thyme, Garlic"/>
    <x v="8"/>
  </r>
  <r>
    <n v="17585"/>
    <n v="7721"/>
    <n v="0.33333333333333331"/>
    <s v="calabrese_l"/>
    <n v="1"/>
    <x v="57"/>
    <x v="4"/>
    <x v="1646"/>
    <n v="20.25"/>
    <n v="20.25"/>
    <x v="2"/>
    <x v="2"/>
    <s v="?duja Salami, Pancetta, Tomatoes, Red Onions, Friggitello Peppers, Garlic"/>
    <x v="6"/>
  </r>
  <r>
    <n v="17587"/>
    <n v="7721"/>
    <n v="0.33333333333333331"/>
    <s v="sicilian_s"/>
    <n v="1"/>
    <x v="57"/>
    <x v="4"/>
    <x v="1646"/>
    <n v="12.25"/>
    <n v="12.25"/>
    <x v="1"/>
    <x v="2"/>
    <s v="Coarse Sicilian Salami, Tomatoes, Green Olives, Luganega Sausage, Onions, Garlic"/>
    <x v="7"/>
  </r>
  <r>
    <n v="17588"/>
    <n v="7722"/>
    <n v="0.33333333333333331"/>
    <s v="big_meat_s"/>
    <n v="1"/>
    <x v="57"/>
    <x v="4"/>
    <x v="1647"/>
    <n v="12"/>
    <n v="12"/>
    <x v="1"/>
    <x v="0"/>
    <s v="Bacon, Pepperoni, Italian Sausage, Chorizo Sausage"/>
    <x v="4"/>
  </r>
  <r>
    <n v="17590"/>
    <n v="7722"/>
    <n v="0.33333333333333331"/>
    <s v="hawaiian_m"/>
    <n v="1"/>
    <x v="57"/>
    <x v="4"/>
    <x v="1647"/>
    <n v="13.25"/>
    <n v="13.25"/>
    <x v="0"/>
    <x v="0"/>
    <s v="Sliced Ham, Pineapple, Mozzarella Cheese"/>
    <x v="0"/>
  </r>
  <r>
    <n v="17591"/>
    <n v="7722"/>
    <n v="0.33333333333333331"/>
    <s v="pepperoni_m"/>
    <n v="1"/>
    <x v="57"/>
    <x v="4"/>
    <x v="1647"/>
    <n v="12.5"/>
    <n v="12.5"/>
    <x v="0"/>
    <x v="0"/>
    <s v="Mozzarella Cheese, Pepperoni"/>
    <x v="3"/>
  </r>
  <r>
    <n v="17595"/>
    <n v="7725"/>
    <n v="0.5"/>
    <s v="big_meat_s"/>
    <n v="1"/>
    <x v="57"/>
    <x v="4"/>
    <x v="1648"/>
    <n v="12"/>
    <n v="12"/>
    <x v="1"/>
    <x v="0"/>
    <s v="Bacon, Pepperoni, Italian Sausage, Chorizo Sausage"/>
    <x v="4"/>
  </r>
  <r>
    <n v="17596"/>
    <n v="7725"/>
    <n v="0.5"/>
    <s v="pepperoni_s"/>
    <n v="1"/>
    <x v="57"/>
    <x v="4"/>
    <x v="1648"/>
    <n v="9.75"/>
    <n v="9.75"/>
    <x v="1"/>
    <x v="0"/>
    <s v="Mozzarella Cheese, Pepperoni"/>
    <x v="3"/>
  </r>
  <r>
    <n v="17600"/>
    <n v="7726"/>
    <n v="0.5"/>
    <s v="hawaiian_l"/>
    <n v="1"/>
    <x v="57"/>
    <x v="4"/>
    <x v="1649"/>
    <n v="16.5"/>
    <n v="16.5"/>
    <x v="2"/>
    <x v="0"/>
    <s v="Sliced Ham, Pineapple, Mozzarella Cheese"/>
    <x v="0"/>
  </r>
  <r>
    <n v="17601"/>
    <n v="7726"/>
    <n v="0.5"/>
    <s v="pepperoni_s"/>
    <n v="1"/>
    <x v="57"/>
    <x v="4"/>
    <x v="1649"/>
    <n v="9.75"/>
    <n v="9.75"/>
    <x v="1"/>
    <x v="0"/>
    <s v="Mozzarella Cheese, Pepperoni"/>
    <x v="3"/>
  </r>
  <r>
    <n v="17608"/>
    <n v="7729"/>
    <n v="1"/>
    <s v="the_greek_m"/>
    <n v="1"/>
    <x v="57"/>
    <x v="4"/>
    <x v="1650"/>
    <n v="16"/>
    <n v="16"/>
    <x v="0"/>
    <x v="0"/>
    <s v="Kalamata Olives, Feta Cheese, Tomatoes, Garlic, Beef Chuck Roast, Red Onions"/>
    <x v="2"/>
  </r>
  <r>
    <n v="17611"/>
    <n v="7731"/>
    <n v="1"/>
    <s v="calabrese_m"/>
    <n v="1"/>
    <x v="57"/>
    <x v="4"/>
    <x v="1651"/>
    <n v="16.25"/>
    <n v="16.25"/>
    <x v="0"/>
    <x v="2"/>
    <s v="?duja Salami, Pancetta, Tomatoes, Red Onions, Friggitello Peppers, Garlic"/>
    <x v="6"/>
  </r>
  <r>
    <n v="17614"/>
    <n v="7732"/>
    <n v="1"/>
    <s v="hawaiian_m"/>
    <n v="1"/>
    <x v="57"/>
    <x v="4"/>
    <x v="1652"/>
    <n v="13.25"/>
    <n v="13.25"/>
    <x v="0"/>
    <x v="0"/>
    <s v="Sliced Ham, Pineapple, Mozzarella Cheese"/>
    <x v="0"/>
  </r>
  <r>
    <n v="17617"/>
    <n v="7733"/>
    <n v="1"/>
    <s v="hawaiian_l"/>
    <n v="1"/>
    <x v="57"/>
    <x v="4"/>
    <x v="1653"/>
    <n v="16.5"/>
    <n v="16.5"/>
    <x v="2"/>
    <x v="0"/>
    <s v="Sliced Ham, Pineapple, Mozzarella Cheese"/>
    <x v="0"/>
  </r>
  <r>
    <n v="17618"/>
    <n v="7734"/>
    <n v="0.5"/>
    <s v="calabrese_m"/>
    <n v="1"/>
    <x v="57"/>
    <x v="4"/>
    <x v="1654"/>
    <n v="16.25"/>
    <n v="16.25"/>
    <x v="0"/>
    <x v="2"/>
    <s v="?duja Salami, Pancetta, Tomatoes, Red Onions, Friggitello Peppers, Garlic"/>
    <x v="6"/>
  </r>
  <r>
    <n v="17621"/>
    <n v="7734"/>
    <n v="0.5"/>
    <s v="sicilian_l"/>
    <n v="1"/>
    <x v="57"/>
    <x v="4"/>
    <x v="1654"/>
    <n v="20.25"/>
    <n v="20.25"/>
    <x v="2"/>
    <x v="2"/>
    <s v="Coarse Sicilian Salami, Tomatoes, Green Olives, Luganega Sausage, Onions, Garlic"/>
    <x v="7"/>
  </r>
  <r>
    <n v="17623"/>
    <n v="7735"/>
    <n v="0.5"/>
    <s v="the_greek_m"/>
    <n v="1"/>
    <x v="57"/>
    <x v="4"/>
    <x v="1655"/>
    <n v="16"/>
    <n v="16"/>
    <x v="0"/>
    <x v="0"/>
    <s v="Kalamata Olives, Feta Cheese, Tomatoes, Garlic, Beef Chuck Roast, Red Onions"/>
    <x v="2"/>
  </r>
  <r>
    <n v="17624"/>
    <n v="7735"/>
    <n v="0.5"/>
    <s v="the_greek_xl"/>
    <n v="1"/>
    <x v="57"/>
    <x v="4"/>
    <x v="1655"/>
    <n v="25.5"/>
    <n v="25.5"/>
    <x v="3"/>
    <x v="0"/>
    <s v="Kalamata Olives, Feta Cheese, Tomatoes, Garlic, Beef Chuck Roast, Red Onions"/>
    <x v="2"/>
  </r>
  <r>
    <n v="17625"/>
    <n v="7736"/>
    <n v="1"/>
    <s v="hawaiian_s"/>
    <n v="1"/>
    <x v="57"/>
    <x v="4"/>
    <x v="1656"/>
    <n v="10.5"/>
    <n v="10.5"/>
    <x v="1"/>
    <x v="0"/>
    <s v="Sliced Ham, Pineapple, Mozzarella Cheese"/>
    <x v="0"/>
  </r>
  <r>
    <n v="17628"/>
    <n v="7737"/>
    <n v="0.5"/>
    <s v="mexicana_m"/>
    <n v="1"/>
    <x v="57"/>
    <x v="4"/>
    <x v="1657"/>
    <n v="16"/>
    <n v="16"/>
    <x v="0"/>
    <x v="1"/>
    <s v="Tomatoes, Red Peppers, Jalapeno Peppers, Red Onions, Cilantro, Corn, Chipotle Sauce, Garlic"/>
    <x v="1"/>
  </r>
  <r>
    <n v="17630"/>
    <n v="7737"/>
    <n v="0.5"/>
    <s v="the_greek_xl"/>
    <n v="1"/>
    <x v="57"/>
    <x v="4"/>
    <x v="1657"/>
    <n v="25.5"/>
    <n v="25.5"/>
    <x v="3"/>
    <x v="0"/>
    <s v="Kalamata Olives, Feta Cheese, Tomatoes, Garlic, Beef Chuck Roast, Red Onions"/>
    <x v="2"/>
  </r>
  <r>
    <n v="17631"/>
    <n v="7738"/>
    <n v="0.5"/>
    <s v="brie_carre_s"/>
    <n v="1"/>
    <x v="57"/>
    <x v="4"/>
    <x v="1658"/>
    <n v="23.65"/>
    <n v="23.65"/>
    <x v="1"/>
    <x v="2"/>
    <s v="Brie Carre Cheese, Prosciutto, Caramelized Onions, Pears, Thyme, Garlic"/>
    <x v="8"/>
  </r>
  <r>
    <n v="17633"/>
    <n v="7738"/>
    <n v="0.5"/>
    <s v="pepperoni_s"/>
    <n v="1"/>
    <x v="57"/>
    <x v="4"/>
    <x v="1658"/>
    <n v="9.75"/>
    <n v="9.75"/>
    <x v="1"/>
    <x v="0"/>
    <s v="Mozzarella Cheese, Pepperoni"/>
    <x v="3"/>
  </r>
  <r>
    <n v="17637"/>
    <n v="7739"/>
    <n v="0.5"/>
    <s v="pepperoni_m"/>
    <n v="1"/>
    <x v="57"/>
    <x v="4"/>
    <x v="1659"/>
    <n v="12.5"/>
    <n v="12.5"/>
    <x v="0"/>
    <x v="0"/>
    <s v="Mozzarella Cheese, Pepperoni"/>
    <x v="3"/>
  </r>
  <r>
    <n v="17638"/>
    <n v="7739"/>
    <n v="0.5"/>
    <s v="the_greek_xl"/>
    <n v="1"/>
    <x v="57"/>
    <x v="4"/>
    <x v="1659"/>
    <n v="25.5"/>
    <n v="25.5"/>
    <x v="3"/>
    <x v="0"/>
    <s v="Kalamata Olives, Feta Cheese, Tomatoes, Garlic, Beef Chuck Roast, Red Onions"/>
    <x v="2"/>
  </r>
  <r>
    <n v="17639"/>
    <n v="7740"/>
    <n v="1"/>
    <s v="big_meat_s"/>
    <n v="1"/>
    <x v="57"/>
    <x v="4"/>
    <x v="1660"/>
    <n v="12"/>
    <n v="12"/>
    <x v="1"/>
    <x v="0"/>
    <s v="Bacon, Pepperoni, Italian Sausage, Chorizo Sausage"/>
    <x v="4"/>
  </r>
  <r>
    <n v="17645"/>
    <n v="7744"/>
    <n v="0.5"/>
    <s v="pepperoni_l"/>
    <n v="1"/>
    <x v="57"/>
    <x v="4"/>
    <x v="1661"/>
    <n v="15.25"/>
    <n v="15.25"/>
    <x v="2"/>
    <x v="0"/>
    <s v="Mozzarella Cheese, Pepperoni"/>
    <x v="3"/>
  </r>
  <r>
    <n v="17646"/>
    <n v="7744"/>
    <n v="0.5"/>
    <s v="pepperoni_s"/>
    <n v="1"/>
    <x v="57"/>
    <x v="4"/>
    <x v="1661"/>
    <n v="9.75"/>
    <n v="9.75"/>
    <x v="1"/>
    <x v="0"/>
    <s v="Mozzarella Cheese, Pepperoni"/>
    <x v="3"/>
  </r>
  <r>
    <n v="17650"/>
    <n v="7747"/>
    <n v="1"/>
    <s v="hawaiian_l"/>
    <n v="1"/>
    <x v="57"/>
    <x v="4"/>
    <x v="1662"/>
    <n v="16.5"/>
    <n v="16.5"/>
    <x v="2"/>
    <x v="0"/>
    <s v="Sliced Ham, Pineapple, Mozzarella Cheese"/>
    <x v="0"/>
  </r>
  <r>
    <n v="17655"/>
    <n v="7749"/>
    <n v="0.5"/>
    <s v="big_meat_s"/>
    <n v="1"/>
    <x v="57"/>
    <x v="4"/>
    <x v="1663"/>
    <n v="12"/>
    <n v="12"/>
    <x v="1"/>
    <x v="0"/>
    <s v="Bacon, Pepperoni, Italian Sausage, Chorizo Sausage"/>
    <x v="4"/>
  </r>
  <r>
    <n v="17656"/>
    <n v="7749"/>
    <n v="0.5"/>
    <s v="calabrese_m"/>
    <n v="1"/>
    <x v="57"/>
    <x v="4"/>
    <x v="1663"/>
    <n v="16.25"/>
    <n v="16.25"/>
    <x v="0"/>
    <x v="2"/>
    <s v="?duja Salami, Pancetta, Tomatoes, Red Onions, Friggitello Peppers, Garlic"/>
    <x v="6"/>
  </r>
  <r>
    <n v="17663"/>
    <n v="7751"/>
    <n v="1"/>
    <s v="pepperoni_s"/>
    <n v="1"/>
    <x v="57"/>
    <x v="4"/>
    <x v="1664"/>
    <n v="9.75"/>
    <n v="9.75"/>
    <x v="1"/>
    <x v="0"/>
    <s v="Mozzarella Cheese, Pepperoni"/>
    <x v="3"/>
  </r>
  <r>
    <n v="17666"/>
    <n v="7753"/>
    <n v="1"/>
    <s v="napolitana_l"/>
    <n v="1"/>
    <x v="57"/>
    <x v="4"/>
    <x v="1513"/>
    <n v="20.5"/>
    <n v="20.5"/>
    <x v="2"/>
    <x v="0"/>
    <s v="Tomatoes, Anchovies, Green Olives, Red Onions, Garlic"/>
    <x v="5"/>
  </r>
  <r>
    <n v="17668"/>
    <n v="7755"/>
    <n v="1"/>
    <s v="mexicana_l"/>
    <n v="1"/>
    <x v="57"/>
    <x v="4"/>
    <x v="1665"/>
    <n v="20.25"/>
    <n v="20.25"/>
    <x v="2"/>
    <x v="1"/>
    <s v="Tomatoes, Red Peppers, Jalapeno Peppers, Red Onions, Cilantro, Corn, Chipotle Sauce, Garlic"/>
    <x v="1"/>
  </r>
  <r>
    <n v="17673"/>
    <n v="7758"/>
    <n v="1"/>
    <s v="mexicana_l"/>
    <n v="1"/>
    <x v="57"/>
    <x v="4"/>
    <x v="1666"/>
    <n v="20.25"/>
    <n v="20.25"/>
    <x v="2"/>
    <x v="1"/>
    <s v="Tomatoes, Red Peppers, Jalapeno Peppers, Red Onions, Cilantro, Corn, Chipotle Sauce, Garlic"/>
    <x v="1"/>
  </r>
  <r>
    <n v="17674"/>
    <n v="7759"/>
    <n v="1"/>
    <s v="napolitana_l"/>
    <n v="1"/>
    <x v="57"/>
    <x v="4"/>
    <x v="1667"/>
    <n v="20.5"/>
    <n v="20.5"/>
    <x v="2"/>
    <x v="0"/>
    <s v="Tomatoes, Anchovies, Green Olives, Red Onions, Garlic"/>
    <x v="5"/>
  </r>
  <r>
    <n v="17676"/>
    <n v="7760"/>
    <n v="1"/>
    <s v="sicilian_s"/>
    <n v="1"/>
    <x v="57"/>
    <x v="4"/>
    <x v="1668"/>
    <n v="12.25"/>
    <n v="12.25"/>
    <x v="1"/>
    <x v="2"/>
    <s v="Coarse Sicilian Salami, Tomatoes, Green Olives, Luganega Sausage, Onions, Garlic"/>
    <x v="7"/>
  </r>
  <r>
    <n v="17693"/>
    <n v="7769"/>
    <n v="0.5"/>
    <s v="big_meat_s"/>
    <n v="1"/>
    <x v="58"/>
    <x v="0"/>
    <x v="1669"/>
    <n v="12"/>
    <n v="12"/>
    <x v="1"/>
    <x v="0"/>
    <s v="Bacon, Pepperoni, Italian Sausage, Chorizo Sausage"/>
    <x v="4"/>
  </r>
  <r>
    <n v="17694"/>
    <n v="7769"/>
    <n v="0.5"/>
    <s v="calabrese_l"/>
    <n v="1"/>
    <x v="58"/>
    <x v="0"/>
    <x v="1669"/>
    <n v="20.25"/>
    <n v="20.25"/>
    <x v="2"/>
    <x v="2"/>
    <s v="?duja Salami, Pancetta, Tomatoes, Red Onions, Friggitello Peppers, Garlic"/>
    <x v="6"/>
  </r>
  <r>
    <n v="17711"/>
    <n v="7776"/>
    <n v="1"/>
    <s v="big_meat_s"/>
    <n v="1"/>
    <x v="58"/>
    <x v="0"/>
    <x v="1670"/>
    <n v="12"/>
    <n v="12"/>
    <x v="1"/>
    <x v="0"/>
    <s v="Bacon, Pepperoni, Italian Sausage, Chorizo Sausage"/>
    <x v="4"/>
  </r>
  <r>
    <n v="17713"/>
    <n v="7778"/>
    <n v="1"/>
    <s v="hawaiian_s"/>
    <n v="1"/>
    <x v="58"/>
    <x v="0"/>
    <x v="1671"/>
    <n v="10.5"/>
    <n v="10.5"/>
    <x v="1"/>
    <x v="0"/>
    <s v="Sliced Ham, Pineapple, Mozzarella Cheese"/>
    <x v="0"/>
  </r>
  <r>
    <n v="17721"/>
    <n v="7782"/>
    <n v="1"/>
    <s v="sicilian_l"/>
    <n v="1"/>
    <x v="58"/>
    <x v="0"/>
    <x v="1672"/>
    <n v="20.25"/>
    <n v="20.25"/>
    <x v="2"/>
    <x v="2"/>
    <s v="Coarse Sicilian Salami, Tomatoes, Green Olives, Luganega Sausage, Onions, Garlic"/>
    <x v="7"/>
  </r>
  <r>
    <n v="17725"/>
    <n v="7783"/>
    <n v="1"/>
    <s v="napolitana_s"/>
    <n v="1"/>
    <x v="58"/>
    <x v="0"/>
    <x v="1673"/>
    <n v="12"/>
    <n v="12"/>
    <x v="1"/>
    <x v="0"/>
    <s v="Tomatoes, Anchovies, Green Olives, Red Onions, Garlic"/>
    <x v="5"/>
  </r>
  <r>
    <n v="17727"/>
    <n v="7784"/>
    <n v="1"/>
    <s v="big_meat_s"/>
    <n v="1"/>
    <x v="58"/>
    <x v="0"/>
    <x v="1674"/>
    <n v="12"/>
    <n v="12"/>
    <x v="1"/>
    <x v="0"/>
    <s v="Bacon, Pepperoni, Italian Sausage, Chorizo Sausage"/>
    <x v="4"/>
  </r>
  <r>
    <n v="17736"/>
    <n v="7786"/>
    <n v="1"/>
    <s v="napolitana_l"/>
    <n v="1"/>
    <x v="58"/>
    <x v="0"/>
    <x v="1675"/>
    <n v="20.5"/>
    <n v="20.5"/>
    <x v="2"/>
    <x v="0"/>
    <s v="Tomatoes, Anchovies, Green Olives, Red Onions, Garlic"/>
    <x v="5"/>
  </r>
  <r>
    <n v="17738"/>
    <n v="7787"/>
    <n v="1"/>
    <s v="the_greek_s"/>
    <n v="1"/>
    <x v="58"/>
    <x v="0"/>
    <x v="1676"/>
    <n v="12"/>
    <n v="12"/>
    <x v="1"/>
    <x v="0"/>
    <s v="Kalamata Olives, Feta Cheese, Tomatoes, Garlic, Beef Chuck Roast, Red Onions"/>
    <x v="2"/>
  </r>
  <r>
    <n v="17740"/>
    <n v="7788"/>
    <n v="1"/>
    <s v="brie_carre_s"/>
    <n v="1"/>
    <x v="58"/>
    <x v="0"/>
    <x v="1677"/>
    <n v="23.65"/>
    <n v="23.65"/>
    <x v="1"/>
    <x v="2"/>
    <s v="Brie Carre Cheese, Prosciutto, Caramelized Onions, Pears, Thyme, Garlic"/>
    <x v="8"/>
  </r>
  <r>
    <n v="17746"/>
    <n v="7790"/>
    <n v="1"/>
    <s v="brie_carre_s"/>
    <n v="1"/>
    <x v="58"/>
    <x v="0"/>
    <x v="1678"/>
    <n v="23.65"/>
    <n v="23.65"/>
    <x v="1"/>
    <x v="2"/>
    <s v="Brie Carre Cheese, Prosciutto, Caramelized Onions, Pears, Thyme, Garlic"/>
    <x v="8"/>
  </r>
  <r>
    <n v="17759"/>
    <n v="7794"/>
    <n v="1"/>
    <s v="sicilian_m"/>
    <n v="1"/>
    <x v="58"/>
    <x v="0"/>
    <x v="1679"/>
    <n v="16.25"/>
    <n v="16.25"/>
    <x v="0"/>
    <x v="2"/>
    <s v="Coarse Sicilian Salami, Tomatoes, Green Olives, Luganega Sausage, Onions, Garlic"/>
    <x v="7"/>
  </r>
  <r>
    <n v="17762"/>
    <n v="7796"/>
    <n v="1"/>
    <s v="sicilian_m"/>
    <n v="1"/>
    <x v="58"/>
    <x v="0"/>
    <x v="1680"/>
    <n v="16.25"/>
    <n v="16.25"/>
    <x v="0"/>
    <x v="2"/>
    <s v="Coarse Sicilian Salami, Tomatoes, Green Olives, Luganega Sausage, Onions, Garlic"/>
    <x v="7"/>
  </r>
  <r>
    <n v="17766"/>
    <n v="7797"/>
    <n v="1"/>
    <s v="the_greek_xl"/>
    <n v="1"/>
    <x v="58"/>
    <x v="0"/>
    <x v="1681"/>
    <n v="25.5"/>
    <n v="25.5"/>
    <x v="3"/>
    <x v="0"/>
    <s v="Kalamata Olives, Feta Cheese, Tomatoes, Garlic, Beef Chuck Roast, Red Onions"/>
    <x v="2"/>
  </r>
  <r>
    <n v="17767"/>
    <n v="7798"/>
    <n v="1"/>
    <s v="calabrese_m"/>
    <n v="1"/>
    <x v="58"/>
    <x v="0"/>
    <x v="1682"/>
    <n v="16.25"/>
    <n v="16.25"/>
    <x v="0"/>
    <x v="2"/>
    <s v="?duja Salami, Pancetta, Tomatoes, Red Onions, Friggitello Peppers, Garlic"/>
    <x v="6"/>
  </r>
  <r>
    <n v="17771"/>
    <n v="7799"/>
    <n v="0.5"/>
    <s v="big_meat_s"/>
    <n v="1"/>
    <x v="58"/>
    <x v="0"/>
    <x v="1683"/>
    <n v="12"/>
    <n v="12"/>
    <x v="1"/>
    <x v="0"/>
    <s v="Bacon, Pepperoni, Italian Sausage, Chorizo Sausage"/>
    <x v="4"/>
  </r>
  <r>
    <n v="17772"/>
    <n v="7799"/>
    <n v="0.5"/>
    <s v="brie_carre_s"/>
    <n v="1"/>
    <x v="58"/>
    <x v="0"/>
    <x v="1683"/>
    <n v="23.65"/>
    <n v="23.65"/>
    <x v="1"/>
    <x v="2"/>
    <s v="Brie Carre Cheese, Prosciutto, Caramelized Onions, Pears, Thyme, Garlic"/>
    <x v="8"/>
  </r>
  <r>
    <n v="17779"/>
    <n v="7801"/>
    <n v="0.5"/>
    <s v="napolitana_s"/>
    <n v="1"/>
    <x v="58"/>
    <x v="0"/>
    <x v="1684"/>
    <n v="12"/>
    <n v="12"/>
    <x v="1"/>
    <x v="0"/>
    <s v="Tomatoes, Anchovies, Green Olives, Red Onions, Garlic"/>
    <x v="5"/>
  </r>
  <r>
    <n v="17780"/>
    <n v="7801"/>
    <n v="0.5"/>
    <s v="sicilian_s"/>
    <n v="1"/>
    <x v="58"/>
    <x v="0"/>
    <x v="1684"/>
    <n v="12.25"/>
    <n v="12.25"/>
    <x v="1"/>
    <x v="2"/>
    <s v="Coarse Sicilian Salami, Tomatoes, Green Olives, Luganega Sausage, Onions, Garlic"/>
    <x v="7"/>
  </r>
  <r>
    <n v="17785"/>
    <n v="7803"/>
    <n v="1"/>
    <s v="sicilian_l"/>
    <n v="1"/>
    <x v="58"/>
    <x v="0"/>
    <x v="1685"/>
    <n v="20.25"/>
    <n v="20.25"/>
    <x v="2"/>
    <x v="2"/>
    <s v="Coarse Sicilian Salami, Tomatoes, Green Olives, Luganega Sausage, Onions, Garlic"/>
    <x v="7"/>
  </r>
  <r>
    <n v="17788"/>
    <n v="7805"/>
    <n v="1"/>
    <s v="big_meat_s"/>
    <n v="1"/>
    <x v="58"/>
    <x v="0"/>
    <x v="1686"/>
    <n v="12"/>
    <n v="12"/>
    <x v="1"/>
    <x v="0"/>
    <s v="Bacon, Pepperoni, Italian Sausage, Chorizo Sausage"/>
    <x v="4"/>
  </r>
  <r>
    <n v="17790"/>
    <n v="7806"/>
    <n v="1"/>
    <s v="hawaiian_s"/>
    <n v="1"/>
    <x v="58"/>
    <x v="0"/>
    <x v="1687"/>
    <n v="10.5"/>
    <n v="10.5"/>
    <x v="1"/>
    <x v="0"/>
    <s v="Sliced Ham, Pineapple, Mozzarella Cheese"/>
    <x v="0"/>
  </r>
  <r>
    <n v="17792"/>
    <n v="7807"/>
    <n v="1"/>
    <s v="pepperoni_s"/>
    <n v="1"/>
    <x v="58"/>
    <x v="0"/>
    <x v="1688"/>
    <n v="9.75"/>
    <n v="9.75"/>
    <x v="1"/>
    <x v="0"/>
    <s v="Mozzarella Cheese, Pepperoni"/>
    <x v="3"/>
  </r>
  <r>
    <n v="17796"/>
    <n v="7809"/>
    <n v="1"/>
    <s v="big_meat_s"/>
    <n v="1"/>
    <x v="58"/>
    <x v="0"/>
    <x v="1689"/>
    <n v="12"/>
    <n v="12"/>
    <x v="1"/>
    <x v="0"/>
    <s v="Bacon, Pepperoni, Italian Sausage, Chorizo Sausage"/>
    <x v="4"/>
  </r>
  <r>
    <n v="17800"/>
    <n v="7811"/>
    <n v="1"/>
    <s v="big_meat_s"/>
    <n v="1"/>
    <x v="58"/>
    <x v="0"/>
    <x v="1690"/>
    <n v="12"/>
    <n v="12"/>
    <x v="1"/>
    <x v="0"/>
    <s v="Bacon, Pepperoni, Italian Sausage, Chorizo Sausage"/>
    <x v="4"/>
  </r>
  <r>
    <n v="17802"/>
    <n v="7812"/>
    <n v="0.5"/>
    <s v="big_meat_s"/>
    <n v="1"/>
    <x v="58"/>
    <x v="0"/>
    <x v="1691"/>
    <n v="12"/>
    <n v="12"/>
    <x v="1"/>
    <x v="0"/>
    <s v="Bacon, Pepperoni, Italian Sausage, Chorizo Sausage"/>
    <x v="4"/>
  </r>
  <r>
    <n v="17803"/>
    <n v="7812"/>
    <n v="0.5"/>
    <s v="hawaiian_s"/>
    <n v="1"/>
    <x v="58"/>
    <x v="0"/>
    <x v="1691"/>
    <n v="10.5"/>
    <n v="10.5"/>
    <x v="1"/>
    <x v="0"/>
    <s v="Sliced Ham, Pineapple, Mozzarella Cheese"/>
    <x v="0"/>
  </r>
  <r>
    <n v="17807"/>
    <n v="7813"/>
    <n v="1"/>
    <s v="pepperoni_m"/>
    <n v="1"/>
    <x v="58"/>
    <x v="0"/>
    <x v="1692"/>
    <n v="12.5"/>
    <n v="12.5"/>
    <x v="0"/>
    <x v="0"/>
    <s v="Mozzarella Cheese, Pepperoni"/>
    <x v="3"/>
  </r>
  <r>
    <n v="17809"/>
    <n v="7814"/>
    <n v="1"/>
    <s v="pepperoni_l"/>
    <n v="1"/>
    <x v="58"/>
    <x v="0"/>
    <x v="1693"/>
    <n v="15.25"/>
    <n v="15.25"/>
    <x v="2"/>
    <x v="0"/>
    <s v="Mozzarella Cheese, Pepperoni"/>
    <x v="3"/>
  </r>
  <r>
    <n v="17812"/>
    <n v="7815"/>
    <n v="1"/>
    <s v="hawaiian_m"/>
    <n v="1"/>
    <x v="58"/>
    <x v="0"/>
    <x v="1694"/>
    <n v="13.25"/>
    <n v="13.25"/>
    <x v="0"/>
    <x v="0"/>
    <s v="Sliced Ham, Pineapple, Mozzarella Cheese"/>
    <x v="0"/>
  </r>
  <r>
    <n v="17819"/>
    <n v="7820"/>
    <n v="1"/>
    <s v="the_greek_m"/>
    <n v="1"/>
    <x v="58"/>
    <x v="0"/>
    <x v="1695"/>
    <n v="16"/>
    <n v="16"/>
    <x v="0"/>
    <x v="0"/>
    <s v="Kalamata Olives, Feta Cheese, Tomatoes, Garlic, Beef Chuck Roast, Red Onions"/>
    <x v="2"/>
  </r>
  <r>
    <n v="17820"/>
    <n v="7821"/>
    <n v="1"/>
    <s v="calabrese_m"/>
    <n v="1"/>
    <x v="59"/>
    <x v="5"/>
    <x v="1696"/>
    <n v="16.25"/>
    <n v="16.25"/>
    <x v="0"/>
    <x v="2"/>
    <s v="?duja Salami, Pancetta, Tomatoes, Red Onions, Friggitello Peppers, Garlic"/>
    <x v="6"/>
  </r>
  <r>
    <n v="17824"/>
    <n v="7822"/>
    <n v="0.2"/>
    <s v="hawaiian_s"/>
    <n v="1"/>
    <x v="59"/>
    <x v="5"/>
    <x v="1697"/>
    <n v="10.5"/>
    <n v="10.5"/>
    <x v="1"/>
    <x v="0"/>
    <s v="Sliced Ham, Pineapple, Mozzarella Cheese"/>
    <x v="0"/>
  </r>
  <r>
    <n v="17825"/>
    <n v="7822"/>
    <n v="0.2"/>
    <s v="napolitana_s"/>
    <n v="1"/>
    <x v="59"/>
    <x v="5"/>
    <x v="1697"/>
    <n v="12"/>
    <n v="12"/>
    <x v="1"/>
    <x v="0"/>
    <s v="Tomatoes, Anchovies, Green Olives, Red Onions, Garlic"/>
    <x v="5"/>
  </r>
  <r>
    <n v="17826"/>
    <n v="7822"/>
    <n v="0.2"/>
    <s v="pepperoni_l"/>
    <n v="1"/>
    <x v="59"/>
    <x v="5"/>
    <x v="1697"/>
    <n v="15.25"/>
    <n v="15.25"/>
    <x v="2"/>
    <x v="0"/>
    <s v="Mozzarella Cheese, Pepperoni"/>
    <x v="3"/>
  </r>
  <r>
    <n v="17827"/>
    <n v="7822"/>
    <n v="0.2"/>
    <s v="pepperoni_s"/>
    <n v="1"/>
    <x v="59"/>
    <x v="5"/>
    <x v="1697"/>
    <n v="9.75"/>
    <n v="9.75"/>
    <x v="1"/>
    <x v="0"/>
    <s v="Mozzarella Cheese, Pepperoni"/>
    <x v="3"/>
  </r>
  <r>
    <n v="17831"/>
    <n v="7822"/>
    <n v="0.2"/>
    <s v="the_greek_xl"/>
    <n v="1"/>
    <x v="59"/>
    <x v="5"/>
    <x v="1697"/>
    <n v="25.5"/>
    <n v="25.5"/>
    <x v="3"/>
    <x v="0"/>
    <s v="Kalamata Olives, Feta Cheese, Tomatoes, Garlic, Beef Chuck Roast, Red Onions"/>
    <x v="2"/>
  </r>
  <r>
    <n v="17834"/>
    <n v="7824"/>
    <n v="0.5"/>
    <s v="brie_carre_s"/>
    <n v="1"/>
    <x v="59"/>
    <x v="5"/>
    <x v="1698"/>
    <n v="23.65"/>
    <n v="23.65"/>
    <x v="1"/>
    <x v="2"/>
    <s v="Brie Carre Cheese, Prosciutto, Caramelized Onions, Pears, Thyme, Garlic"/>
    <x v="8"/>
  </r>
  <r>
    <n v="17836"/>
    <n v="7824"/>
    <n v="0.5"/>
    <s v="pepperoni_m"/>
    <n v="1"/>
    <x v="59"/>
    <x v="5"/>
    <x v="1698"/>
    <n v="12.5"/>
    <n v="12.5"/>
    <x v="0"/>
    <x v="0"/>
    <s v="Mozzarella Cheese, Pepperoni"/>
    <x v="3"/>
  </r>
  <r>
    <n v="17839"/>
    <n v="7826"/>
    <n v="0.33333333333333331"/>
    <s v="big_meat_s"/>
    <n v="1"/>
    <x v="59"/>
    <x v="5"/>
    <x v="1699"/>
    <n v="12"/>
    <n v="12"/>
    <x v="1"/>
    <x v="0"/>
    <s v="Bacon, Pepperoni, Italian Sausage, Chorizo Sausage"/>
    <x v="4"/>
  </r>
  <r>
    <n v="17840"/>
    <n v="7826"/>
    <n v="0.33333333333333331"/>
    <s v="hawaiian_l"/>
    <n v="1"/>
    <x v="59"/>
    <x v="5"/>
    <x v="1699"/>
    <n v="16.5"/>
    <n v="16.5"/>
    <x v="2"/>
    <x v="0"/>
    <s v="Sliced Ham, Pineapple, Mozzarella Cheese"/>
    <x v="0"/>
  </r>
  <r>
    <n v="17841"/>
    <n v="7826"/>
    <n v="0.33333333333333331"/>
    <s v="napolitana_s"/>
    <n v="1"/>
    <x v="59"/>
    <x v="5"/>
    <x v="1699"/>
    <n v="12"/>
    <n v="12"/>
    <x v="1"/>
    <x v="0"/>
    <s v="Tomatoes, Anchovies, Green Olives, Red Onions, Garlic"/>
    <x v="5"/>
  </r>
  <r>
    <n v="17844"/>
    <n v="7827"/>
    <n v="1"/>
    <s v="hawaiian_s"/>
    <n v="1"/>
    <x v="59"/>
    <x v="5"/>
    <x v="1700"/>
    <n v="10.5"/>
    <n v="10.5"/>
    <x v="1"/>
    <x v="0"/>
    <s v="Sliced Ham, Pineapple, Mozzarella Cheese"/>
    <x v="0"/>
  </r>
  <r>
    <n v="17851"/>
    <n v="7829"/>
    <n v="1"/>
    <s v="hawaiian_l"/>
    <n v="1"/>
    <x v="59"/>
    <x v="5"/>
    <x v="1701"/>
    <n v="16.5"/>
    <n v="16.5"/>
    <x v="2"/>
    <x v="0"/>
    <s v="Sliced Ham, Pineapple, Mozzarella Cheese"/>
    <x v="0"/>
  </r>
  <r>
    <n v="17854"/>
    <n v="7830"/>
    <n v="1"/>
    <s v="napolitana_m"/>
    <n v="1"/>
    <x v="59"/>
    <x v="5"/>
    <x v="1702"/>
    <n v="16"/>
    <n v="16"/>
    <x v="0"/>
    <x v="0"/>
    <s v="Tomatoes, Anchovies, Green Olives, Red Onions, Garlic"/>
    <x v="5"/>
  </r>
  <r>
    <n v="17857"/>
    <n v="7833"/>
    <n v="1"/>
    <s v="big_meat_s"/>
    <n v="1"/>
    <x v="59"/>
    <x v="5"/>
    <x v="1703"/>
    <n v="12"/>
    <n v="12"/>
    <x v="1"/>
    <x v="0"/>
    <s v="Bacon, Pepperoni, Italian Sausage, Chorizo Sausage"/>
    <x v="4"/>
  </r>
  <r>
    <n v="17858"/>
    <n v="7834"/>
    <n v="0.5"/>
    <s v="hawaiian_s"/>
    <n v="1"/>
    <x v="59"/>
    <x v="5"/>
    <x v="1704"/>
    <n v="10.5"/>
    <n v="10.5"/>
    <x v="1"/>
    <x v="0"/>
    <s v="Sliced Ham, Pineapple, Mozzarella Cheese"/>
    <x v="0"/>
  </r>
  <r>
    <n v="17859"/>
    <n v="7834"/>
    <n v="0.5"/>
    <s v="pepperoni_s"/>
    <n v="1"/>
    <x v="59"/>
    <x v="5"/>
    <x v="1704"/>
    <n v="9.75"/>
    <n v="9.75"/>
    <x v="1"/>
    <x v="0"/>
    <s v="Mozzarella Cheese, Pepperoni"/>
    <x v="3"/>
  </r>
  <r>
    <n v="17864"/>
    <n v="7837"/>
    <n v="1"/>
    <s v="pepperoni_l"/>
    <n v="1"/>
    <x v="59"/>
    <x v="5"/>
    <x v="1705"/>
    <n v="15.25"/>
    <n v="15.25"/>
    <x v="2"/>
    <x v="0"/>
    <s v="Mozzarella Cheese, Pepperoni"/>
    <x v="3"/>
  </r>
  <r>
    <n v="17868"/>
    <n v="7840"/>
    <n v="1"/>
    <s v="sicilian_l"/>
    <n v="1"/>
    <x v="59"/>
    <x v="5"/>
    <x v="1706"/>
    <n v="20.25"/>
    <n v="20.25"/>
    <x v="2"/>
    <x v="2"/>
    <s v="Coarse Sicilian Salami, Tomatoes, Green Olives, Luganega Sausage, Onions, Garlic"/>
    <x v="7"/>
  </r>
  <r>
    <n v="17869"/>
    <n v="7841"/>
    <n v="1"/>
    <s v="sicilian_l"/>
    <n v="1"/>
    <x v="59"/>
    <x v="5"/>
    <x v="1707"/>
    <n v="20.25"/>
    <n v="20.25"/>
    <x v="2"/>
    <x v="2"/>
    <s v="Coarse Sicilian Salami, Tomatoes, Green Olives, Luganega Sausage, Onions, Garlic"/>
    <x v="7"/>
  </r>
  <r>
    <n v="17873"/>
    <n v="7842"/>
    <n v="1"/>
    <s v="pepperoni_s"/>
    <n v="1"/>
    <x v="59"/>
    <x v="5"/>
    <x v="1708"/>
    <n v="9.75"/>
    <n v="9.75"/>
    <x v="1"/>
    <x v="0"/>
    <s v="Mozzarella Cheese, Pepperoni"/>
    <x v="3"/>
  </r>
  <r>
    <n v="17874"/>
    <n v="7843"/>
    <n v="1"/>
    <s v="the_greek_s"/>
    <n v="1"/>
    <x v="59"/>
    <x v="5"/>
    <x v="1709"/>
    <n v="12"/>
    <n v="12"/>
    <x v="1"/>
    <x v="0"/>
    <s v="Kalamata Olives, Feta Cheese, Tomatoes, Garlic, Beef Chuck Roast, Red Onions"/>
    <x v="2"/>
  </r>
  <r>
    <n v="17875"/>
    <n v="7844"/>
    <n v="0.25"/>
    <s v="big_meat_s"/>
    <n v="1"/>
    <x v="59"/>
    <x v="5"/>
    <x v="1710"/>
    <n v="12"/>
    <n v="12"/>
    <x v="1"/>
    <x v="0"/>
    <s v="Bacon, Pepperoni, Italian Sausage, Chorizo Sausage"/>
    <x v="4"/>
  </r>
  <r>
    <n v="17880"/>
    <n v="7844"/>
    <n v="0.25"/>
    <s v="napolitana_m"/>
    <n v="2"/>
    <x v="59"/>
    <x v="5"/>
    <x v="1710"/>
    <n v="16"/>
    <n v="32"/>
    <x v="0"/>
    <x v="0"/>
    <s v="Tomatoes, Anchovies, Green Olives, Red Onions, Garlic"/>
    <x v="5"/>
  </r>
  <r>
    <n v="17882"/>
    <n v="7844"/>
    <n v="0.25"/>
    <s v="sicilian_m"/>
    <n v="1"/>
    <x v="59"/>
    <x v="5"/>
    <x v="1710"/>
    <n v="16.25"/>
    <n v="16.25"/>
    <x v="0"/>
    <x v="2"/>
    <s v="Coarse Sicilian Salami, Tomatoes, Green Olives, Luganega Sausage, Onions, Garlic"/>
    <x v="7"/>
  </r>
  <r>
    <n v="17885"/>
    <n v="7844"/>
    <n v="0.25"/>
    <s v="the_greek_xl"/>
    <n v="1"/>
    <x v="59"/>
    <x v="5"/>
    <x v="1710"/>
    <n v="25.5"/>
    <n v="25.5"/>
    <x v="3"/>
    <x v="0"/>
    <s v="Kalamata Olives, Feta Cheese, Tomatoes, Garlic, Beef Chuck Roast, Red Onions"/>
    <x v="2"/>
  </r>
  <r>
    <n v="17887"/>
    <n v="7845"/>
    <n v="1"/>
    <s v="big_meat_s"/>
    <n v="1"/>
    <x v="59"/>
    <x v="5"/>
    <x v="1711"/>
    <n v="12"/>
    <n v="12"/>
    <x v="1"/>
    <x v="0"/>
    <s v="Bacon, Pepperoni, Italian Sausage, Chorizo Sausage"/>
    <x v="4"/>
  </r>
  <r>
    <n v="17892"/>
    <n v="7846"/>
    <n v="1"/>
    <s v="the_greek_xl"/>
    <n v="1"/>
    <x v="59"/>
    <x v="5"/>
    <x v="1712"/>
    <n v="25.5"/>
    <n v="25.5"/>
    <x v="3"/>
    <x v="0"/>
    <s v="Kalamata Olives, Feta Cheese, Tomatoes, Garlic, Beef Chuck Roast, Red Onions"/>
    <x v="2"/>
  </r>
  <r>
    <n v="17896"/>
    <n v="7849"/>
    <n v="1"/>
    <s v="pepperoni_m"/>
    <n v="1"/>
    <x v="59"/>
    <x v="5"/>
    <x v="1713"/>
    <n v="12.5"/>
    <n v="12.5"/>
    <x v="0"/>
    <x v="0"/>
    <s v="Mozzarella Cheese, Pepperoni"/>
    <x v="3"/>
  </r>
  <r>
    <n v="17899"/>
    <n v="7851"/>
    <n v="1"/>
    <s v="sicilian_l"/>
    <n v="1"/>
    <x v="59"/>
    <x v="5"/>
    <x v="1714"/>
    <n v="20.25"/>
    <n v="20.25"/>
    <x v="2"/>
    <x v="2"/>
    <s v="Coarse Sicilian Salami, Tomatoes, Green Olives, Luganega Sausage, Onions, Garlic"/>
    <x v="7"/>
  </r>
  <r>
    <n v="17905"/>
    <n v="7855"/>
    <n v="1"/>
    <s v="pepperoni_m"/>
    <n v="1"/>
    <x v="59"/>
    <x v="5"/>
    <x v="1715"/>
    <n v="12.5"/>
    <n v="12.5"/>
    <x v="0"/>
    <x v="0"/>
    <s v="Mozzarella Cheese, Pepperoni"/>
    <x v="3"/>
  </r>
  <r>
    <n v="17906"/>
    <n v="7856"/>
    <n v="0.5"/>
    <s v="pepperoni_l"/>
    <n v="1"/>
    <x v="59"/>
    <x v="5"/>
    <x v="1716"/>
    <n v="15.25"/>
    <n v="15.25"/>
    <x v="2"/>
    <x v="0"/>
    <s v="Mozzarella Cheese, Pepperoni"/>
    <x v="3"/>
  </r>
  <r>
    <n v="17907"/>
    <n v="7856"/>
    <n v="0.5"/>
    <s v="pepperoni_m"/>
    <n v="1"/>
    <x v="59"/>
    <x v="5"/>
    <x v="1716"/>
    <n v="12.5"/>
    <n v="12.5"/>
    <x v="0"/>
    <x v="0"/>
    <s v="Mozzarella Cheese, Pepperoni"/>
    <x v="3"/>
  </r>
  <r>
    <n v="17913"/>
    <n v="7858"/>
    <n v="1"/>
    <s v="the_greek_l"/>
    <n v="1"/>
    <x v="59"/>
    <x v="5"/>
    <x v="1717"/>
    <n v="20.5"/>
    <n v="20.5"/>
    <x v="2"/>
    <x v="0"/>
    <s v="Kalamata Olives, Feta Cheese, Tomatoes, Garlic, Beef Chuck Roast, Red Onions"/>
    <x v="2"/>
  </r>
  <r>
    <n v="17914"/>
    <n v="7859"/>
    <n v="1"/>
    <s v="sicilian_s"/>
    <n v="1"/>
    <x v="59"/>
    <x v="5"/>
    <x v="1718"/>
    <n v="12.25"/>
    <n v="12.25"/>
    <x v="1"/>
    <x v="2"/>
    <s v="Coarse Sicilian Salami, Tomatoes, Green Olives, Luganega Sausage, Onions, Garlic"/>
    <x v="7"/>
  </r>
  <r>
    <n v="17915"/>
    <n v="7860"/>
    <n v="0.33333333333333331"/>
    <s v="calabrese_s"/>
    <n v="1"/>
    <x v="59"/>
    <x v="5"/>
    <x v="1719"/>
    <n v="12.25"/>
    <n v="12.25"/>
    <x v="1"/>
    <x v="2"/>
    <s v="?duja Salami, Pancetta, Tomatoes, Red Onions, Friggitello Peppers, Garlic"/>
    <x v="6"/>
  </r>
  <r>
    <n v="17917"/>
    <n v="7860"/>
    <n v="0.33333333333333331"/>
    <s v="mexicana_l"/>
    <n v="1"/>
    <x v="59"/>
    <x v="5"/>
    <x v="1719"/>
    <n v="20.25"/>
    <n v="20.25"/>
    <x v="2"/>
    <x v="1"/>
    <s v="Tomatoes, Red Peppers, Jalapeno Peppers, Red Onions, Cilantro, Corn, Chipotle Sauce, Garlic"/>
    <x v="1"/>
  </r>
  <r>
    <n v="17918"/>
    <n v="7860"/>
    <n v="0.33333333333333331"/>
    <s v="the_greek_m"/>
    <n v="1"/>
    <x v="59"/>
    <x v="5"/>
    <x v="1719"/>
    <n v="16"/>
    <n v="16"/>
    <x v="0"/>
    <x v="0"/>
    <s v="Kalamata Olives, Feta Cheese, Tomatoes, Garlic, Beef Chuck Roast, Red Onions"/>
    <x v="2"/>
  </r>
  <r>
    <n v="17919"/>
    <n v="7861"/>
    <n v="1"/>
    <s v="brie_carre_s"/>
    <n v="1"/>
    <x v="59"/>
    <x v="5"/>
    <x v="1720"/>
    <n v="23.65"/>
    <n v="23.65"/>
    <x v="1"/>
    <x v="2"/>
    <s v="Brie Carre Cheese, Prosciutto, Caramelized Onions, Pears, Thyme, Garlic"/>
    <x v="8"/>
  </r>
  <r>
    <n v="17921"/>
    <n v="7862"/>
    <n v="1"/>
    <s v="calabrese_s"/>
    <n v="1"/>
    <x v="59"/>
    <x v="5"/>
    <x v="1721"/>
    <n v="12.25"/>
    <n v="12.25"/>
    <x v="1"/>
    <x v="2"/>
    <s v="?duja Salami, Pancetta, Tomatoes, Red Onions, Friggitello Peppers, Garlic"/>
    <x v="6"/>
  </r>
  <r>
    <n v="17924"/>
    <n v="7863"/>
    <n v="1"/>
    <s v="pepperoni_s"/>
    <n v="1"/>
    <x v="59"/>
    <x v="5"/>
    <x v="50"/>
    <n v="9.75"/>
    <n v="9.75"/>
    <x v="1"/>
    <x v="0"/>
    <s v="Mozzarella Cheese, Pepperoni"/>
    <x v="3"/>
  </r>
  <r>
    <n v="17925"/>
    <n v="7864"/>
    <n v="1"/>
    <s v="pepperoni_s"/>
    <n v="1"/>
    <x v="59"/>
    <x v="5"/>
    <x v="1722"/>
    <n v="9.75"/>
    <n v="9.75"/>
    <x v="1"/>
    <x v="0"/>
    <s v="Mozzarella Cheese, Pepperoni"/>
    <x v="3"/>
  </r>
  <r>
    <n v="17928"/>
    <n v="7865"/>
    <n v="1"/>
    <s v="hawaiian_l"/>
    <n v="1"/>
    <x v="59"/>
    <x v="5"/>
    <x v="558"/>
    <n v="16.5"/>
    <n v="16.5"/>
    <x v="2"/>
    <x v="0"/>
    <s v="Sliced Ham, Pineapple, Mozzarella Cheese"/>
    <x v="0"/>
  </r>
  <r>
    <n v="17939"/>
    <n v="7871"/>
    <n v="1"/>
    <s v="sicilian_m"/>
    <n v="1"/>
    <x v="59"/>
    <x v="5"/>
    <x v="1723"/>
    <n v="16.25"/>
    <n v="16.25"/>
    <x v="0"/>
    <x v="2"/>
    <s v="Coarse Sicilian Salami, Tomatoes, Green Olives, Luganega Sausage, Onions, Garlic"/>
    <x v="7"/>
  </r>
  <r>
    <n v="17954"/>
    <n v="7878"/>
    <n v="1"/>
    <s v="mexicana_l"/>
    <n v="1"/>
    <x v="59"/>
    <x v="5"/>
    <x v="1724"/>
    <n v="20.25"/>
    <n v="20.25"/>
    <x v="2"/>
    <x v="1"/>
    <s v="Tomatoes, Red Peppers, Jalapeno Peppers, Red Onions, Cilantro, Corn, Chipotle Sauce, Garlic"/>
    <x v="1"/>
  </r>
  <r>
    <n v="17955"/>
    <n v="7879"/>
    <n v="1"/>
    <s v="the_greek_s"/>
    <n v="1"/>
    <x v="59"/>
    <x v="5"/>
    <x v="1725"/>
    <n v="12"/>
    <n v="12"/>
    <x v="1"/>
    <x v="0"/>
    <s v="Kalamata Olives, Feta Cheese, Tomatoes, Garlic, Beef Chuck Roast, Red Onions"/>
    <x v="2"/>
  </r>
  <r>
    <n v="17956"/>
    <n v="7880"/>
    <n v="1"/>
    <s v="the_greek_l"/>
    <n v="1"/>
    <x v="59"/>
    <x v="5"/>
    <x v="1726"/>
    <n v="20.5"/>
    <n v="20.5"/>
    <x v="2"/>
    <x v="0"/>
    <s v="Kalamata Olives, Feta Cheese, Tomatoes, Garlic, Beef Chuck Roast, Red Onions"/>
    <x v="2"/>
  </r>
  <r>
    <n v="17959"/>
    <n v="7882"/>
    <n v="1"/>
    <s v="napolitana_l"/>
    <n v="1"/>
    <x v="59"/>
    <x v="5"/>
    <x v="1727"/>
    <n v="20.5"/>
    <n v="20.5"/>
    <x v="2"/>
    <x v="0"/>
    <s v="Tomatoes, Anchovies, Green Olives, Red Onions, Garlic"/>
    <x v="5"/>
  </r>
  <r>
    <n v="20545"/>
    <n v="9026"/>
    <n v="1"/>
    <s v="pepperoni_s"/>
    <n v="1"/>
    <x v="60"/>
    <x v="6"/>
    <x v="1728"/>
    <n v="9.75"/>
    <n v="9.75"/>
    <x v="1"/>
    <x v="0"/>
    <s v="Mozzarella Cheese, Pepperoni"/>
    <x v="3"/>
  </r>
  <r>
    <n v="20546"/>
    <n v="9027"/>
    <n v="1"/>
    <s v="calabrese_l"/>
    <n v="1"/>
    <x v="60"/>
    <x v="6"/>
    <x v="1729"/>
    <n v="20.25"/>
    <n v="20.25"/>
    <x v="2"/>
    <x v="2"/>
    <s v="?duja Salami, Pancetta, Tomatoes, Red Onions, Friggitello Peppers, Garlic"/>
    <x v="6"/>
  </r>
  <r>
    <n v="20548"/>
    <n v="9029"/>
    <n v="1"/>
    <s v="big_meat_s"/>
    <n v="1"/>
    <x v="60"/>
    <x v="6"/>
    <x v="1730"/>
    <n v="12"/>
    <n v="12"/>
    <x v="1"/>
    <x v="0"/>
    <s v="Bacon, Pepperoni, Italian Sausage, Chorizo Sausage"/>
    <x v="4"/>
  </r>
  <r>
    <n v="20549"/>
    <n v="9030"/>
    <n v="1"/>
    <s v="the_greek_xl"/>
    <n v="1"/>
    <x v="60"/>
    <x v="6"/>
    <x v="1731"/>
    <n v="25.5"/>
    <n v="25.5"/>
    <x v="3"/>
    <x v="0"/>
    <s v="Kalamata Olives, Feta Cheese, Tomatoes, Garlic, Beef Chuck Roast, Red Onions"/>
    <x v="2"/>
  </r>
  <r>
    <n v="20553"/>
    <n v="9033"/>
    <n v="0.5"/>
    <s v="calabrese_s"/>
    <n v="1"/>
    <x v="60"/>
    <x v="6"/>
    <x v="1732"/>
    <n v="12.25"/>
    <n v="12.25"/>
    <x v="1"/>
    <x v="2"/>
    <s v="?duja Salami, Pancetta, Tomatoes, Red Onions, Friggitello Peppers, Garlic"/>
    <x v="6"/>
  </r>
  <r>
    <n v="20554"/>
    <n v="9033"/>
    <n v="0.5"/>
    <s v="sicilian_s"/>
    <n v="1"/>
    <x v="60"/>
    <x v="6"/>
    <x v="1732"/>
    <n v="12.25"/>
    <n v="12.25"/>
    <x v="1"/>
    <x v="2"/>
    <s v="Coarse Sicilian Salami, Tomatoes, Green Olives, Luganega Sausage, Onions, Garlic"/>
    <x v="7"/>
  </r>
  <r>
    <n v="20557"/>
    <n v="9034"/>
    <n v="0.5"/>
    <s v="big_meat_s"/>
    <n v="1"/>
    <x v="60"/>
    <x v="6"/>
    <x v="1733"/>
    <n v="12"/>
    <n v="12"/>
    <x v="1"/>
    <x v="0"/>
    <s v="Bacon, Pepperoni, Italian Sausage, Chorizo Sausage"/>
    <x v="4"/>
  </r>
  <r>
    <n v="20558"/>
    <n v="9034"/>
    <n v="0.5"/>
    <s v="sicilian_m"/>
    <n v="1"/>
    <x v="60"/>
    <x v="6"/>
    <x v="1733"/>
    <n v="16.25"/>
    <n v="16.25"/>
    <x v="0"/>
    <x v="2"/>
    <s v="Coarse Sicilian Salami, Tomatoes, Green Olives, Luganega Sausage, Onions, Garlic"/>
    <x v="7"/>
  </r>
  <r>
    <n v="20562"/>
    <n v="9036"/>
    <n v="0.5"/>
    <s v="mexicana_l"/>
    <n v="1"/>
    <x v="60"/>
    <x v="6"/>
    <x v="1734"/>
    <n v="20.25"/>
    <n v="20.25"/>
    <x v="2"/>
    <x v="1"/>
    <s v="Tomatoes, Red Peppers, Jalapeno Peppers, Red Onions, Cilantro, Corn, Chipotle Sauce, Garlic"/>
    <x v="1"/>
  </r>
  <r>
    <n v="20563"/>
    <n v="9036"/>
    <n v="0.5"/>
    <s v="napolitana_s"/>
    <n v="1"/>
    <x v="60"/>
    <x v="6"/>
    <x v="1734"/>
    <n v="12"/>
    <n v="12"/>
    <x v="1"/>
    <x v="0"/>
    <s v="Tomatoes, Anchovies, Green Olives, Red Onions, Garlic"/>
    <x v="5"/>
  </r>
  <r>
    <n v="20570"/>
    <n v="9037"/>
    <n v="0.33333333333333331"/>
    <s v="napolitana_s"/>
    <n v="1"/>
    <x v="60"/>
    <x v="6"/>
    <x v="1735"/>
    <n v="12"/>
    <n v="12"/>
    <x v="1"/>
    <x v="0"/>
    <s v="Tomatoes, Anchovies, Green Olives, Red Onions, Garlic"/>
    <x v="5"/>
  </r>
  <r>
    <n v="20572"/>
    <n v="9037"/>
    <n v="0.33333333333333331"/>
    <s v="sicilian_m"/>
    <n v="1"/>
    <x v="60"/>
    <x v="6"/>
    <x v="1735"/>
    <n v="16.25"/>
    <n v="16.25"/>
    <x v="0"/>
    <x v="2"/>
    <s v="Coarse Sicilian Salami, Tomatoes, Green Olives, Luganega Sausage, Onions, Garlic"/>
    <x v="7"/>
  </r>
  <r>
    <n v="20576"/>
    <n v="9037"/>
    <n v="0.33333333333333331"/>
    <s v="the_greek_l"/>
    <n v="1"/>
    <x v="60"/>
    <x v="6"/>
    <x v="1735"/>
    <n v="20.5"/>
    <n v="20.5"/>
    <x v="2"/>
    <x v="0"/>
    <s v="Kalamata Olives, Feta Cheese, Tomatoes, Garlic, Beef Chuck Roast, Red Onions"/>
    <x v="2"/>
  </r>
  <r>
    <n v="20578"/>
    <n v="9038"/>
    <n v="1"/>
    <s v="calabrese_m"/>
    <n v="1"/>
    <x v="60"/>
    <x v="6"/>
    <x v="1736"/>
    <n v="16.25"/>
    <n v="16.25"/>
    <x v="0"/>
    <x v="2"/>
    <s v="?duja Salami, Pancetta, Tomatoes, Red Onions, Friggitello Peppers, Garlic"/>
    <x v="6"/>
  </r>
  <r>
    <n v="20584"/>
    <n v="9040"/>
    <n v="1"/>
    <s v="the_greek_xl"/>
    <n v="1"/>
    <x v="60"/>
    <x v="6"/>
    <x v="1737"/>
    <n v="25.5"/>
    <n v="25.5"/>
    <x v="3"/>
    <x v="0"/>
    <s v="Kalamata Olives, Feta Cheese, Tomatoes, Garlic, Beef Chuck Roast, Red Onions"/>
    <x v="2"/>
  </r>
  <r>
    <n v="20586"/>
    <n v="9042"/>
    <n v="0.2"/>
    <s v="big_meat_s"/>
    <n v="1"/>
    <x v="60"/>
    <x v="6"/>
    <x v="1738"/>
    <n v="12"/>
    <n v="12"/>
    <x v="1"/>
    <x v="0"/>
    <s v="Bacon, Pepperoni, Italian Sausage, Chorizo Sausage"/>
    <x v="4"/>
  </r>
  <r>
    <n v="20590"/>
    <n v="9042"/>
    <n v="0.2"/>
    <s v="mexicana_l"/>
    <n v="2"/>
    <x v="60"/>
    <x v="6"/>
    <x v="1738"/>
    <n v="20.25"/>
    <n v="40.5"/>
    <x v="2"/>
    <x v="1"/>
    <s v="Tomatoes, Red Peppers, Jalapeno Peppers, Red Onions, Cilantro, Corn, Chipotle Sauce, Garlic"/>
    <x v="1"/>
  </r>
  <r>
    <n v="20591"/>
    <n v="9042"/>
    <n v="0.2"/>
    <s v="pepperoni_l"/>
    <n v="1"/>
    <x v="60"/>
    <x v="6"/>
    <x v="1738"/>
    <n v="15.25"/>
    <n v="15.25"/>
    <x v="2"/>
    <x v="0"/>
    <s v="Mozzarella Cheese, Pepperoni"/>
    <x v="3"/>
  </r>
  <r>
    <n v="20592"/>
    <n v="9042"/>
    <n v="0.2"/>
    <s v="pepperoni_m"/>
    <n v="2"/>
    <x v="60"/>
    <x v="6"/>
    <x v="1738"/>
    <n v="12.5"/>
    <n v="25"/>
    <x v="0"/>
    <x v="0"/>
    <s v="Mozzarella Cheese, Pepperoni"/>
    <x v="3"/>
  </r>
  <r>
    <n v="20593"/>
    <n v="9042"/>
    <n v="0.2"/>
    <s v="sicilian_l"/>
    <n v="1"/>
    <x v="60"/>
    <x v="6"/>
    <x v="1738"/>
    <n v="20.25"/>
    <n v="20.25"/>
    <x v="2"/>
    <x v="2"/>
    <s v="Coarse Sicilian Salami, Tomatoes, Green Olives, Luganega Sausage, Onions, Garlic"/>
    <x v="7"/>
  </r>
  <r>
    <n v="20612"/>
    <n v="9051"/>
    <n v="1"/>
    <s v="brie_carre_s"/>
    <n v="1"/>
    <x v="60"/>
    <x v="6"/>
    <x v="1739"/>
    <n v="23.65"/>
    <n v="23.65"/>
    <x v="1"/>
    <x v="2"/>
    <s v="Brie Carre Cheese, Prosciutto, Caramelized Onions, Pears, Thyme, Garlic"/>
    <x v="8"/>
  </r>
  <r>
    <n v="20615"/>
    <n v="9052"/>
    <n v="1"/>
    <s v="napolitana_m"/>
    <n v="1"/>
    <x v="60"/>
    <x v="6"/>
    <x v="1740"/>
    <n v="16"/>
    <n v="16"/>
    <x v="0"/>
    <x v="0"/>
    <s v="Tomatoes, Anchovies, Green Olives, Red Onions, Garlic"/>
    <x v="5"/>
  </r>
  <r>
    <n v="20618"/>
    <n v="9053"/>
    <n v="1"/>
    <s v="sicilian_s"/>
    <n v="1"/>
    <x v="60"/>
    <x v="6"/>
    <x v="1741"/>
    <n v="12.25"/>
    <n v="12.25"/>
    <x v="1"/>
    <x v="2"/>
    <s v="Coarse Sicilian Salami, Tomatoes, Green Olives, Luganega Sausage, Onions, Garlic"/>
    <x v="7"/>
  </r>
  <r>
    <n v="20619"/>
    <n v="9054"/>
    <n v="1"/>
    <s v="brie_carre_s"/>
    <n v="1"/>
    <x v="60"/>
    <x v="6"/>
    <x v="1068"/>
    <n v="23.65"/>
    <n v="23.65"/>
    <x v="1"/>
    <x v="2"/>
    <s v="Brie Carre Cheese, Prosciutto, Caramelized Onions, Pears, Thyme, Garlic"/>
    <x v="8"/>
  </r>
  <r>
    <n v="20624"/>
    <n v="9056"/>
    <n v="0.5"/>
    <s v="calabrese_m"/>
    <n v="1"/>
    <x v="60"/>
    <x v="6"/>
    <x v="1742"/>
    <n v="16.25"/>
    <n v="16.25"/>
    <x v="0"/>
    <x v="2"/>
    <s v="?duja Salami, Pancetta, Tomatoes, Red Onions, Friggitello Peppers, Garlic"/>
    <x v="6"/>
  </r>
  <r>
    <n v="20626"/>
    <n v="9056"/>
    <n v="0.5"/>
    <s v="mexicana_l"/>
    <n v="1"/>
    <x v="60"/>
    <x v="6"/>
    <x v="1742"/>
    <n v="20.25"/>
    <n v="20.25"/>
    <x v="2"/>
    <x v="1"/>
    <s v="Tomatoes, Red Peppers, Jalapeno Peppers, Red Onions, Cilantro, Corn, Chipotle Sauce, Garlic"/>
    <x v="1"/>
  </r>
  <r>
    <n v="20631"/>
    <n v="9057"/>
    <n v="1"/>
    <s v="napolitana_s"/>
    <n v="1"/>
    <x v="60"/>
    <x v="6"/>
    <x v="1743"/>
    <n v="12"/>
    <n v="12"/>
    <x v="1"/>
    <x v="0"/>
    <s v="Tomatoes, Anchovies, Green Olives, Red Onions, Garlic"/>
    <x v="5"/>
  </r>
  <r>
    <n v="20636"/>
    <n v="9059"/>
    <n v="1"/>
    <s v="the_greek_xl"/>
    <n v="1"/>
    <x v="60"/>
    <x v="6"/>
    <x v="1744"/>
    <n v="25.5"/>
    <n v="25.5"/>
    <x v="3"/>
    <x v="0"/>
    <s v="Kalamata Olives, Feta Cheese, Tomatoes, Garlic, Beef Chuck Roast, Red Onions"/>
    <x v="2"/>
  </r>
  <r>
    <n v="20637"/>
    <n v="9060"/>
    <n v="1"/>
    <s v="brie_carre_s"/>
    <n v="1"/>
    <x v="60"/>
    <x v="6"/>
    <x v="1745"/>
    <n v="23.65"/>
    <n v="23.65"/>
    <x v="1"/>
    <x v="2"/>
    <s v="Brie Carre Cheese, Prosciutto, Caramelized Onions, Pears, Thyme, Garlic"/>
    <x v="8"/>
  </r>
  <r>
    <n v="20644"/>
    <n v="9063"/>
    <n v="1"/>
    <s v="hawaiian_s"/>
    <n v="1"/>
    <x v="60"/>
    <x v="6"/>
    <x v="1746"/>
    <n v="10.5"/>
    <n v="10.5"/>
    <x v="1"/>
    <x v="0"/>
    <s v="Sliced Ham, Pineapple, Mozzarella Cheese"/>
    <x v="0"/>
  </r>
  <r>
    <n v="20648"/>
    <n v="9065"/>
    <n v="1"/>
    <s v="hawaiian_s"/>
    <n v="1"/>
    <x v="60"/>
    <x v="6"/>
    <x v="1747"/>
    <n v="10.5"/>
    <n v="10.5"/>
    <x v="1"/>
    <x v="0"/>
    <s v="Sliced Ham, Pineapple, Mozzarella Cheese"/>
    <x v="0"/>
  </r>
  <r>
    <n v="20649"/>
    <n v="9066"/>
    <n v="1"/>
    <s v="sicilian_s"/>
    <n v="1"/>
    <x v="60"/>
    <x v="6"/>
    <x v="1748"/>
    <n v="12.25"/>
    <n v="12.25"/>
    <x v="1"/>
    <x v="2"/>
    <s v="Coarse Sicilian Salami, Tomatoes, Green Olives, Luganega Sausage, Onions, Garlic"/>
    <x v="7"/>
  </r>
  <r>
    <n v="20650"/>
    <n v="9067"/>
    <n v="1"/>
    <s v="big_meat_s"/>
    <n v="1"/>
    <x v="60"/>
    <x v="6"/>
    <x v="1749"/>
    <n v="12"/>
    <n v="12"/>
    <x v="1"/>
    <x v="0"/>
    <s v="Bacon, Pepperoni, Italian Sausage, Chorizo Sausage"/>
    <x v="4"/>
  </r>
  <r>
    <n v="20655"/>
    <n v="9070"/>
    <n v="1"/>
    <s v="calabrese_m"/>
    <n v="1"/>
    <x v="60"/>
    <x v="6"/>
    <x v="1750"/>
    <n v="16.25"/>
    <n v="16.25"/>
    <x v="0"/>
    <x v="2"/>
    <s v="?duja Salami, Pancetta, Tomatoes, Red Onions, Friggitello Peppers, Garlic"/>
    <x v="6"/>
  </r>
  <r>
    <n v="20666"/>
    <n v="9073"/>
    <n v="1"/>
    <s v="pepperoni_s"/>
    <n v="1"/>
    <x v="60"/>
    <x v="6"/>
    <x v="1751"/>
    <n v="9.75"/>
    <n v="9.75"/>
    <x v="1"/>
    <x v="0"/>
    <s v="Mozzarella Cheese, Pepperoni"/>
    <x v="3"/>
  </r>
  <r>
    <n v="20669"/>
    <n v="9074"/>
    <n v="1"/>
    <s v="sicilian_l"/>
    <n v="1"/>
    <x v="60"/>
    <x v="6"/>
    <x v="1752"/>
    <n v="20.25"/>
    <n v="20.25"/>
    <x v="2"/>
    <x v="2"/>
    <s v="Coarse Sicilian Salami, Tomatoes, Green Olives, Luganega Sausage, Onions, Garlic"/>
    <x v="7"/>
  </r>
  <r>
    <n v="20674"/>
    <n v="9076"/>
    <n v="1"/>
    <s v="hawaiian_m"/>
    <n v="1"/>
    <x v="60"/>
    <x v="6"/>
    <x v="1753"/>
    <n v="13.25"/>
    <n v="13.25"/>
    <x v="0"/>
    <x v="0"/>
    <s v="Sliced Ham, Pineapple, Mozzarella Cheese"/>
    <x v="0"/>
  </r>
  <r>
    <n v="20681"/>
    <n v="9079"/>
    <n v="0.33333333333333331"/>
    <s v="hawaiian_s"/>
    <n v="1"/>
    <x v="60"/>
    <x v="6"/>
    <x v="1754"/>
    <n v="10.5"/>
    <n v="10.5"/>
    <x v="1"/>
    <x v="0"/>
    <s v="Sliced Ham, Pineapple, Mozzarella Cheese"/>
    <x v="0"/>
  </r>
  <r>
    <n v="20683"/>
    <n v="9079"/>
    <n v="0.33333333333333331"/>
    <s v="mexicana_m"/>
    <n v="1"/>
    <x v="60"/>
    <x v="6"/>
    <x v="1754"/>
    <n v="16"/>
    <n v="16"/>
    <x v="0"/>
    <x v="1"/>
    <s v="Tomatoes, Red Peppers, Jalapeno Peppers, Red Onions, Cilantro, Corn, Chipotle Sauce, Garlic"/>
    <x v="1"/>
  </r>
  <r>
    <n v="20684"/>
    <n v="9079"/>
    <n v="0.33333333333333331"/>
    <s v="sicilian_l"/>
    <n v="1"/>
    <x v="60"/>
    <x v="6"/>
    <x v="1754"/>
    <n v="20.25"/>
    <n v="20.25"/>
    <x v="2"/>
    <x v="2"/>
    <s v="Coarse Sicilian Salami, Tomatoes, Green Olives, Luganega Sausage, Onions, Garlic"/>
    <x v="7"/>
  </r>
  <r>
    <n v="20693"/>
    <n v="9082"/>
    <n v="1"/>
    <s v="calabrese_l"/>
    <n v="1"/>
    <x v="60"/>
    <x v="6"/>
    <x v="1755"/>
    <n v="20.25"/>
    <n v="20.25"/>
    <x v="2"/>
    <x v="2"/>
    <s v="?duja Salami, Pancetta, Tomatoes, Red Onions, Friggitello Peppers, Garlic"/>
    <x v="6"/>
  </r>
  <r>
    <n v="20695"/>
    <n v="9083"/>
    <n v="0.5"/>
    <s v="brie_carre_s"/>
    <n v="1"/>
    <x v="60"/>
    <x v="6"/>
    <x v="1756"/>
    <n v="23.65"/>
    <n v="23.65"/>
    <x v="1"/>
    <x v="2"/>
    <s v="Brie Carre Cheese, Prosciutto, Caramelized Onions, Pears, Thyme, Garlic"/>
    <x v="8"/>
  </r>
  <r>
    <n v="20696"/>
    <n v="9083"/>
    <n v="0.5"/>
    <s v="the_greek_xl"/>
    <n v="1"/>
    <x v="60"/>
    <x v="6"/>
    <x v="1756"/>
    <n v="25.5"/>
    <n v="25.5"/>
    <x v="3"/>
    <x v="0"/>
    <s v="Kalamata Olives, Feta Cheese, Tomatoes, Garlic, Beef Chuck Roast, Red Onions"/>
    <x v="2"/>
  </r>
  <r>
    <n v="20702"/>
    <n v="9086"/>
    <n v="1"/>
    <s v="mexicana_l"/>
    <n v="1"/>
    <x v="60"/>
    <x v="6"/>
    <x v="1757"/>
    <n v="20.25"/>
    <n v="20.25"/>
    <x v="2"/>
    <x v="1"/>
    <s v="Tomatoes, Red Peppers, Jalapeno Peppers, Red Onions, Cilantro, Corn, Chipotle Sauce, Garlic"/>
    <x v="1"/>
  </r>
  <r>
    <n v="20713"/>
    <n v="9092"/>
    <n v="1"/>
    <s v="hawaiian_s"/>
    <n v="1"/>
    <x v="60"/>
    <x v="6"/>
    <x v="928"/>
    <n v="10.5"/>
    <n v="10.5"/>
    <x v="1"/>
    <x v="0"/>
    <s v="Sliced Ham, Pineapple, Mozzarella Cheese"/>
    <x v="0"/>
  </r>
  <r>
    <n v="20725"/>
    <n v="9096"/>
    <n v="1"/>
    <s v="sicilian_m"/>
    <n v="1"/>
    <x v="61"/>
    <x v="3"/>
    <x v="1758"/>
    <n v="16.25"/>
    <n v="16.25"/>
    <x v="0"/>
    <x v="2"/>
    <s v="Coarse Sicilian Salami, Tomatoes, Green Olives, Luganega Sausage, Onions, Garlic"/>
    <x v="7"/>
  </r>
  <r>
    <n v="20729"/>
    <n v="9099"/>
    <n v="1"/>
    <s v="pepperoni_l"/>
    <n v="1"/>
    <x v="61"/>
    <x v="3"/>
    <x v="1759"/>
    <n v="15.25"/>
    <n v="15.25"/>
    <x v="2"/>
    <x v="0"/>
    <s v="Mozzarella Cheese, Pepperoni"/>
    <x v="3"/>
  </r>
  <r>
    <n v="20734"/>
    <n v="9100"/>
    <n v="1"/>
    <s v="sicilian_s"/>
    <n v="1"/>
    <x v="61"/>
    <x v="3"/>
    <x v="1760"/>
    <n v="12.25"/>
    <n v="12.25"/>
    <x v="1"/>
    <x v="2"/>
    <s v="Coarse Sicilian Salami, Tomatoes, Green Olives, Luganega Sausage, Onions, Garlic"/>
    <x v="7"/>
  </r>
  <r>
    <n v="20738"/>
    <n v="9101"/>
    <n v="0.33333333333333331"/>
    <s v="hawaiian_m"/>
    <n v="1"/>
    <x v="61"/>
    <x v="3"/>
    <x v="1761"/>
    <n v="13.25"/>
    <n v="13.25"/>
    <x v="0"/>
    <x v="0"/>
    <s v="Sliced Ham, Pineapple, Mozzarella Cheese"/>
    <x v="0"/>
  </r>
  <r>
    <n v="20739"/>
    <n v="9101"/>
    <n v="0.33333333333333331"/>
    <s v="hawaiian_s"/>
    <n v="1"/>
    <x v="61"/>
    <x v="3"/>
    <x v="1761"/>
    <n v="10.5"/>
    <n v="10.5"/>
    <x v="1"/>
    <x v="0"/>
    <s v="Sliced Ham, Pineapple, Mozzarella Cheese"/>
    <x v="0"/>
  </r>
  <r>
    <n v="20740"/>
    <n v="9101"/>
    <n v="0.33333333333333331"/>
    <s v="sicilian_m"/>
    <n v="1"/>
    <x v="61"/>
    <x v="3"/>
    <x v="1761"/>
    <n v="16.25"/>
    <n v="16.25"/>
    <x v="0"/>
    <x v="2"/>
    <s v="Coarse Sicilian Salami, Tomatoes, Green Olives, Luganega Sausage, Onions, Garlic"/>
    <x v="7"/>
  </r>
  <r>
    <n v="20743"/>
    <n v="9102"/>
    <n v="0.33333333333333331"/>
    <s v="mexicana_l"/>
    <n v="1"/>
    <x v="61"/>
    <x v="3"/>
    <x v="1762"/>
    <n v="20.25"/>
    <n v="20.25"/>
    <x v="2"/>
    <x v="1"/>
    <s v="Tomatoes, Red Peppers, Jalapeno Peppers, Red Onions, Cilantro, Corn, Chipotle Sauce, Garlic"/>
    <x v="1"/>
  </r>
  <r>
    <n v="20744"/>
    <n v="9102"/>
    <n v="0.33333333333333331"/>
    <s v="pepperoni_m"/>
    <n v="1"/>
    <x v="61"/>
    <x v="3"/>
    <x v="1762"/>
    <n v="12.5"/>
    <n v="12.5"/>
    <x v="0"/>
    <x v="0"/>
    <s v="Mozzarella Cheese, Pepperoni"/>
    <x v="3"/>
  </r>
  <r>
    <n v="20748"/>
    <n v="9102"/>
    <n v="0.33333333333333331"/>
    <s v="sicilian_l"/>
    <n v="2"/>
    <x v="61"/>
    <x v="3"/>
    <x v="1762"/>
    <n v="20.25"/>
    <n v="40.5"/>
    <x v="2"/>
    <x v="2"/>
    <s v="Coarse Sicilian Salami, Tomatoes, Green Olives, Luganega Sausage, Onions, Garlic"/>
    <x v="7"/>
  </r>
  <r>
    <n v="20750"/>
    <n v="9103"/>
    <n v="1"/>
    <s v="pepperoni_m"/>
    <n v="1"/>
    <x v="61"/>
    <x v="3"/>
    <x v="1763"/>
    <n v="12.5"/>
    <n v="12.5"/>
    <x v="0"/>
    <x v="0"/>
    <s v="Mozzarella Cheese, Pepperoni"/>
    <x v="3"/>
  </r>
  <r>
    <n v="20755"/>
    <n v="9104"/>
    <n v="1"/>
    <s v="pepperoni_m"/>
    <n v="1"/>
    <x v="61"/>
    <x v="3"/>
    <x v="1764"/>
    <n v="12.5"/>
    <n v="12.5"/>
    <x v="0"/>
    <x v="0"/>
    <s v="Mozzarella Cheese, Pepperoni"/>
    <x v="3"/>
  </r>
  <r>
    <n v="20757"/>
    <n v="9106"/>
    <n v="1"/>
    <s v="big_meat_s"/>
    <n v="1"/>
    <x v="61"/>
    <x v="3"/>
    <x v="804"/>
    <n v="12"/>
    <n v="12"/>
    <x v="1"/>
    <x v="0"/>
    <s v="Bacon, Pepperoni, Italian Sausage, Chorizo Sausage"/>
    <x v="4"/>
  </r>
  <r>
    <n v="20762"/>
    <n v="9108"/>
    <n v="1"/>
    <s v="sicilian_l"/>
    <n v="1"/>
    <x v="61"/>
    <x v="3"/>
    <x v="1765"/>
    <n v="20.25"/>
    <n v="20.25"/>
    <x v="2"/>
    <x v="2"/>
    <s v="Coarse Sicilian Salami, Tomatoes, Green Olives, Luganega Sausage, Onions, Garlic"/>
    <x v="7"/>
  </r>
  <r>
    <n v="20771"/>
    <n v="9111"/>
    <n v="1"/>
    <s v="the_greek_s"/>
    <n v="1"/>
    <x v="61"/>
    <x v="3"/>
    <x v="1766"/>
    <n v="12"/>
    <n v="12"/>
    <x v="1"/>
    <x v="0"/>
    <s v="Kalamata Olives, Feta Cheese, Tomatoes, Garlic, Beef Chuck Roast, Red Onions"/>
    <x v="2"/>
  </r>
  <r>
    <n v="20778"/>
    <n v="9115"/>
    <n v="1"/>
    <s v="sicilian_m"/>
    <n v="1"/>
    <x v="61"/>
    <x v="3"/>
    <x v="1767"/>
    <n v="16.25"/>
    <n v="16.25"/>
    <x v="0"/>
    <x v="2"/>
    <s v="Coarse Sicilian Salami, Tomatoes, Green Olives, Luganega Sausage, Onions, Garlic"/>
    <x v="7"/>
  </r>
  <r>
    <n v="20779"/>
    <n v="9116"/>
    <n v="1"/>
    <s v="mexicana_l"/>
    <n v="1"/>
    <x v="61"/>
    <x v="3"/>
    <x v="1768"/>
    <n v="20.25"/>
    <n v="20.25"/>
    <x v="2"/>
    <x v="1"/>
    <s v="Tomatoes, Red Peppers, Jalapeno Peppers, Red Onions, Cilantro, Corn, Chipotle Sauce, Garlic"/>
    <x v="1"/>
  </r>
  <r>
    <n v="20781"/>
    <n v="9117"/>
    <n v="1"/>
    <s v="big_meat_s"/>
    <n v="1"/>
    <x v="61"/>
    <x v="3"/>
    <x v="1769"/>
    <n v="12"/>
    <n v="12"/>
    <x v="1"/>
    <x v="0"/>
    <s v="Bacon, Pepperoni, Italian Sausage, Chorizo Sausage"/>
    <x v="4"/>
  </r>
  <r>
    <n v="20788"/>
    <n v="9120"/>
    <n v="0.5"/>
    <s v="big_meat_s"/>
    <n v="1"/>
    <x v="61"/>
    <x v="3"/>
    <x v="1770"/>
    <n v="12"/>
    <n v="12"/>
    <x v="1"/>
    <x v="0"/>
    <s v="Bacon, Pepperoni, Italian Sausage, Chorizo Sausage"/>
    <x v="4"/>
  </r>
  <r>
    <n v="20789"/>
    <n v="9120"/>
    <n v="0.5"/>
    <s v="brie_carre_s"/>
    <n v="1"/>
    <x v="61"/>
    <x v="3"/>
    <x v="1770"/>
    <n v="23.65"/>
    <n v="23.65"/>
    <x v="1"/>
    <x v="2"/>
    <s v="Brie Carre Cheese, Prosciutto, Caramelized Onions, Pears, Thyme, Garlic"/>
    <x v="8"/>
  </r>
  <r>
    <n v="20797"/>
    <n v="9124"/>
    <n v="1"/>
    <s v="the_greek_l"/>
    <n v="1"/>
    <x v="61"/>
    <x v="3"/>
    <x v="1771"/>
    <n v="20.5"/>
    <n v="20.5"/>
    <x v="2"/>
    <x v="0"/>
    <s v="Kalamata Olives, Feta Cheese, Tomatoes, Garlic, Beef Chuck Roast, Red Onions"/>
    <x v="2"/>
  </r>
  <r>
    <n v="20803"/>
    <n v="9127"/>
    <n v="1"/>
    <s v="mexicana_l"/>
    <n v="1"/>
    <x v="61"/>
    <x v="3"/>
    <x v="1772"/>
    <n v="20.25"/>
    <n v="20.25"/>
    <x v="2"/>
    <x v="1"/>
    <s v="Tomatoes, Red Peppers, Jalapeno Peppers, Red Onions, Cilantro, Corn, Chipotle Sauce, Garlic"/>
    <x v="1"/>
  </r>
  <r>
    <n v="20811"/>
    <n v="9130"/>
    <n v="1"/>
    <s v="mexicana_m"/>
    <n v="1"/>
    <x v="61"/>
    <x v="3"/>
    <x v="399"/>
    <n v="16"/>
    <n v="16"/>
    <x v="0"/>
    <x v="1"/>
    <s v="Tomatoes, Red Peppers, Jalapeno Peppers, Red Onions, Cilantro, Corn, Chipotle Sauce, Garlic"/>
    <x v="1"/>
  </r>
  <r>
    <n v="20820"/>
    <n v="9133"/>
    <n v="1"/>
    <s v="napolitana_m"/>
    <n v="1"/>
    <x v="61"/>
    <x v="3"/>
    <x v="1773"/>
    <n v="16"/>
    <n v="16"/>
    <x v="0"/>
    <x v="0"/>
    <s v="Tomatoes, Anchovies, Green Olives, Red Onions, Garlic"/>
    <x v="5"/>
  </r>
  <r>
    <n v="20825"/>
    <n v="9135"/>
    <n v="1"/>
    <s v="sicilian_m"/>
    <n v="1"/>
    <x v="61"/>
    <x v="3"/>
    <x v="1774"/>
    <n v="16.25"/>
    <n v="16.25"/>
    <x v="0"/>
    <x v="2"/>
    <s v="Coarse Sicilian Salami, Tomatoes, Green Olives, Luganega Sausage, Onions, Garlic"/>
    <x v="7"/>
  </r>
  <r>
    <n v="20827"/>
    <n v="9136"/>
    <n v="1"/>
    <s v="sicilian_m"/>
    <n v="1"/>
    <x v="61"/>
    <x v="3"/>
    <x v="1775"/>
    <n v="16.25"/>
    <n v="16.25"/>
    <x v="0"/>
    <x v="2"/>
    <s v="Coarse Sicilian Salami, Tomatoes, Green Olives, Luganega Sausage, Onions, Garlic"/>
    <x v="7"/>
  </r>
  <r>
    <n v="20828"/>
    <n v="9137"/>
    <n v="0.5"/>
    <s v="hawaiian_l"/>
    <n v="1"/>
    <x v="61"/>
    <x v="3"/>
    <x v="1776"/>
    <n v="16.5"/>
    <n v="16.5"/>
    <x v="2"/>
    <x v="0"/>
    <s v="Sliced Ham, Pineapple, Mozzarella Cheese"/>
    <x v="0"/>
  </r>
  <r>
    <n v="20829"/>
    <n v="9137"/>
    <n v="0.5"/>
    <s v="pepperoni_l"/>
    <n v="1"/>
    <x v="61"/>
    <x v="3"/>
    <x v="1776"/>
    <n v="15.25"/>
    <n v="15.25"/>
    <x v="2"/>
    <x v="0"/>
    <s v="Mozzarella Cheese, Pepperoni"/>
    <x v="3"/>
  </r>
  <r>
    <n v="20831"/>
    <n v="9138"/>
    <n v="1"/>
    <s v="big_meat_s"/>
    <n v="1"/>
    <x v="61"/>
    <x v="3"/>
    <x v="1777"/>
    <n v="12"/>
    <n v="12"/>
    <x v="1"/>
    <x v="0"/>
    <s v="Bacon, Pepperoni, Italian Sausage, Chorizo Sausage"/>
    <x v="4"/>
  </r>
  <r>
    <n v="20841"/>
    <n v="9143"/>
    <n v="1"/>
    <s v="the_greek_l"/>
    <n v="1"/>
    <x v="61"/>
    <x v="3"/>
    <x v="1778"/>
    <n v="20.5"/>
    <n v="20.5"/>
    <x v="2"/>
    <x v="0"/>
    <s v="Kalamata Olives, Feta Cheese, Tomatoes, Garlic, Beef Chuck Roast, Red Onions"/>
    <x v="2"/>
  </r>
  <r>
    <n v="20844"/>
    <n v="9145"/>
    <n v="1"/>
    <s v="mexicana_l"/>
    <n v="1"/>
    <x v="61"/>
    <x v="3"/>
    <x v="1779"/>
    <n v="20.25"/>
    <n v="20.25"/>
    <x v="2"/>
    <x v="1"/>
    <s v="Tomatoes, Red Peppers, Jalapeno Peppers, Red Onions, Cilantro, Corn, Chipotle Sauce, Garlic"/>
    <x v="1"/>
  </r>
  <r>
    <n v="20847"/>
    <n v="9146"/>
    <n v="0.5"/>
    <s v="calabrese_s"/>
    <n v="1"/>
    <x v="61"/>
    <x v="3"/>
    <x v="1780"/>
    <n v="12.25"/>
    <n v="12.25"/>
    <x v="1"/>
    <x v="2"/>
    <s v="?duja Salami, Pancetta, Tomatoes, Red Onions, Friggitello Peppers, Garlic"/>
    <x v="6"/>
  </r>
  <r>
    <n v="20849"/>
    <n v="9146"/>
    <n v="0.5"/>
    <s v="the_greek_l"/>
    <n v="1"/>
    <x v="61"/>
    <x v="3"/>
    <x v="1780"/>
    <n v="20.5"/>
    <n v="20.5"/>
    <x v="2"/>
    <x v="0"/>
    <s v="Kalamata Olives, Feta Cheese, Tomatoes, Garlic, Beef Chuck Roast, Red Onions"/>
    <x v="2"/>
  </r>
  <r>
    <n v="20850"/>
    <n v="9147"/>
    <n v="1"/>
    <s v="sicilian_s"/>
    <n v="1"/>
    <x v="61"/>
    <x v="3"/>
    <x v="1781"/>
    <n v="12.25"/>
    <n v="12.25"/>
    <x v="1"/>
    <x v="2"/>
    <s v="Coarse Sicilian Salami, Tomatoes, Green Olives, Luganega Sausage, Onions, Garlic"/>
    <x v="7"/>
  </r>
  <r>
    <n v="20854"/>
    <n v="9149"/>
    <n v="1"/>
    <s v="pepperoni_m"/>
    <n v="1"/>
    <x v="61"/>
    <x v="3"/>
    <x v="1782"/>
    <n v="12.5"/>
    <n v="12.5"/>
    <x v="0"/>
    <x v="0"/>
    <s v="Mozzarella Cheese, Pepperoni"/>
    <x v="3"/>
  </r>
  <r>
    <n v="20874"/>
    <n v="9158"/>
    <n v="1"/>
    <s v="big_meat_s"/>
    <n v="1"/>
    <x v="62"/>
    <x v="3"/>
    <x v="1783"/>
    <n v="12"/>
    <n v="12"/>
    <x v="1"/>
    <x v="0"/>
    <s v="Bacon, Pepperoni, Italian Sausage, Chorizo Sausage"/>
    <x v="4"/>
  </r>
  <r>
    <n v="20886"/>
    <n v="9163"/>
    <n v="0.25"/>
    <s v="hawaiian_l"/>
    <n v="1"/>
    <x v="62"/>
    <x v="3"/>
    <x v="1784"/>
    <n v="16.5"/>
    <n v="16.5"/>
    <x v="2"/>
    <x v="0"/>
    <s v="Sliced Ham, Pineapple, Mozzarella Cheese"/>
    <x v="0"/>
  </r>
  <r>
    <n v="20888"/>
    <n v="9163"/>
    <n v="0.25"/>
    <s v="mexicana_l"/>
    <n v="1"/>
    <x v="62"/>
    <x v="3"/>
    <x v="1784"/>
    <n v="20.25"/>
    <n v="20.25"/>
    <x v="2"/>
    <x v="1"/>
    <s v="Tomatoes, Red Peppers, Jalapeno Peppers, Red Onions, Cilantro, Corn, Chipotle Sauce, Garlic"/>
    <x v="1"/>
  </r>
  <r>
    <n v="20889"/>
    <n v="9163"/>
    <n v="0.25"/>
    <s v="pepperoni_l"/>
    <n v="1"/>
    <x v="62"/>
    <x v="3"/>
    <x v="1784"/>
    <n v="15.25"/>
    <n v="15.25"/>
    <x v="2"/>
    <x v="0"/>
    <s v="Mozzarella Cheese, Pepperoni"/>
    <x v="3"/>
  </r>
  <r>
    <n v="20891"/>
    <n v="9163"/>
    <n v="0.25"/>
    <s v="sicilian_m"/>
    <n v="1"/>
    <x v="62"/>
    <x v="3"/>
    <x v="1784"/>
    <n v="16.25"/>
    <n v="16.25"/>
    <x v="0"/>
    <x v="2"/>
    <s v="Coarse Sicilian Salami, Tomatoes, Green Olives, Luganega Sausage, Onions, Garlic"/>
    <x v="7"/>
  </r>
  <r>
    <n v="20895"/>
    <n v="9166"/>
    <n v="1"/>
    <s v="hawaiian_l"/>
    <n v="1"/>
    <x v="62"/>
    <x v="3"/>
    <x v="1785"/>
    <n v="16.5"/>
    <n v="16.5"/>
    <x v="2"/>
    <x v="0"/>
    <s v="Sliced Ham, Pineapple, Mozzarella Cheese"/>
    <x v="0"/>
  </r>
  <r>
    <n v="20897"/>
    <n v="9167"/>
    <n v="1"/>
    <s v="sicilian_l"/>
    <n v="1"/>
    <x v="62"/>
    <x v="3"/>
    <x v="1786"/>
    <n v="20.25"/>
    <n v="20.25"/>
    <x v="2"/>
    <x v="2"/>
    <s v="Coarse Sicilian Salami, Tomatoes, Green Olives, Luganega Sausage, Onions, Garlic"/>
    <x v="7"/>
  </r>
  <r>
    <n v="20905"/>
    <n v="9171"/>
    <n v="1"/>
    <s v="pepperoni_l"/>
    <n v="1"/>
    <x v="62"/>
    <x v="3"/>
    <x v="1787"/>
    <n v="15.25"/>
    <n v="15.25"/>
    <x v="2"/>
    <x v="0"/>
    <s v="Mozzarella Cheese, Pepperoni"/>
    <x v="3"/>
  </r>
  <r>
    <n v="20906"/>
    <n v="9172"/>
    <n v="1"/>
    <s v="sicilian_l"/>
    <n v="1"/>
    <x v="62"/>
    <x v="3"/>
    <x v="1788"/>
    <n v="20.25"/>
    <n v="20.25"/>
    <x v="2"/>
    <x v="2"/>
    <s v="Coarse Sicilian Salami, Tomatoes, Green Olives, Luganega Sausage, Onions, Garlic"/>
    <x v="7"/>
  </r>
  <r>
    <n v="20914"/>
    <n v="9176"/>
    <n v="1"/>
    <s v="sicilian_l"/>
    <n v="1"/>
    <x v="62"/>
    <x v="3"/>
    <x v="1789"/>
    <n v="20.25"/>
    <n v="20.25"/>
    <x v="2"/>
    <x v="2"/>
    <s v="Coarse Sicilian Salami, Tomatoes, Green Olives, Luganega Sausage, Onions, Garlic"/>
    <x v="7"/>
  </r>
  <r>
    <n v="20919"/>
    <n v="9178"/>
    <n v="1"/>
    <s v="pepperoni_s"/>
    <n v="1"/>
    <x v="62"/>
    <x v="3"/>
    <x v="1790"/>
    <n v="9.75"/>
    <n v="9.75"/>
    <x v="1"/>
    <x v="0"/>
    <s v="Mozzarella Cheese, Pepperoni"/>
    <x v="3"/>
  </r>
  <r>
    <n v="20923"/>
    <n v="9180"/>
    <n v="1"/>
    <s v="mexicana_l"/>
    <n v="1"/>
    <x v="62"/>
    <x v="3"/>
    <x v="1791"/>
    <n v="20.25"/>
    <n v="20.25"/>
    <x v="2"/>
    <x v="1"/>
    <s v="Tomatoes, Red Peppers, Jalapeno Peppers, Red Onions, Cilantro, Corn, Chipotle Sauce, Garlic"/>
    <x v="1"/>
  </r>
  <r>
    <n v="20926"/>
    <n v="9181"/>
    <n v="1"/>
    <s v="mexicana_l"/>
    <n v="1"/>
    <x v="62"/>
    <x v="3"/>
    <x v="1792"/>
    <n v="20.25"/>
    <n v="20.25"/>
    <x v="2"/>
    <x v="1"/>
    <s v="Tomatoes, Red Peppers, Jalapeno Peppers, Red Onions, Cilantro, Corn, Chipotle Sauce, Garlic"/>
    <x v="1"/>
  </r>
  <r>
    <n v="20932"/>
    <n v="9183"/>
    <n v="1"/>
    <s v="napolitana_l"/>
    <n v="1"/>
    <x v="62"/>
    <x v="3"/>
    <x v="1793"/>
    <n v="20.5"/>
    <n v="20.5"/>
    <x v="2"/>
    <x v="0"/>
    <s v="Tomatoes, Anchovies, Green Olives, Red Onions, Garlic"/>
    <x v="5"/>
  </r>
  <r>
    <n v="20935"/>
    <n v="9184"/>
    <n v="1"/>
    <s v="sicilian_m"/>
    <n v="1"/>
    <x v="62"/>
    <x v="3"/>
    <x v="1794"/>
    <n v="16.25"/>
    <n v="16.25"/>
    <x v="0"/>
    <x v="2"/>
    <s v="Coarse Sicilian Salami, Tomatoes, Green Olives, Luganega Sausage, Onions, Garlic"/>
    <x v="7"/>
  </r>
  <r>
    <n v="20937"/>
    <n v="9186"/>
    <n v="1"/>
    <s v="calabrese_m"/>
    <n v="1"/>
    <x v="62"/>
    <x v="3"/>
    <x v="1795"/>
    <n v="16.25"/>
    <n v="16.25"/>
    <x v="0"/>
    <x v="2"/>
    <s v="?duja Salami, Pancetta, Tomatoes, Red Onions, Friggitello Peppers, Garlic"/>
    <x v="6"/>
  </r>
  <r>
    <n v="20947"/>
    <n v="9191"/>
    <n v="1"/>
    <s v="hawaiian_s"/>
    <n v="1"/>
    <x v="62"/>
    <x v="3"/>
    <x v="1796"/>
    <n v="10.5"/>
    <n v="10.5"/>
    <x v="1"/>
    <x v="0"/>
    <s v="Sliced Ham, Pineapple, Mozzarella Cheese"/>
    <x v="0"/>
  </r>
  <r>
    <n v="20951"/>
    <n v="9192"/>
    <n v="0.33333333333333331"/>
    <s v="mexicana_l"/>
    <n v="1"/>
    <x v="62"/>
    <x v="3"/>
    <x v="1797"/>
    <n v="20.25"/>
    <n v="20.25"/>
    <x v="2"/>
    <x v="1"/>
    <s v="Tomatoes, Red Peppers, Jalapeno Peppers, Red Onions, Cilantro, Corn, Chipotle Sauce, Garlic"/>
    <x v="1"/>
  </r>
  <r>
    <n v="20952"/>
    <n v="9192"/>
    <n v="0.33333333333333331"/>
    <s v="napolitana_m"/>
    <n v="1"/>
    <x v="62"/>
    <x v="3"/>
    <x v="1797"/>
    <n v="16"/>
    <n v="16"/>
    <x v="0"/>
    <x v="0"/>
    <s v="Tomatoes, Anchovies, Green Olives, Red Onions, Garlic"/>
    <x v="5"/>
  </r>
  <r>
    <n v="20953"/>
    <n v="9192"/>
    <n v="0.33333333333333331"/>
    <s v="the_greek_s"/>
    <n v="1"/>
    <x v="62"/>
    <x v="3"/>
    <x v="1797"/>
    <n v="12"/>
    <n v="12"/>
    <x v="1"/>
    <x v="0"/>
    <s v="Kalamata Olives, Feta Cheese, Tomatoes, Garlic, Beef Chuck Roast, Red Onions"/>
    <x v="2"/>
  </r>
  <r>
    <n v="20962"/>
    <n v="9197"/>
    <n v="1"/>
    <s v="calabrese_l"/>
    <n v="1"/>
    <x v="62"/>
    <x v="3"/>
    <x v="1798"/>
    <n v="20.25"/>
    <n v="20.25"/>
    <x v="2"/>
    <x v="2"/>
    <s v="?duja Salami, Pancetta, Tomatoes, Red Onions, Friggitello Peppers, Garlic"/>
    <x v="6"/>
  </r>
  <r>
    <n v="20972"/>
    <n v="9201"/>
    <n v="0.5"/>
    <s v="sicilian_m"/>
    <n v="1"/>
    <x v="62"/>
    <x v="3"/>
    <x v="1799"/>
    <n v="16.25"/>
    <n v="16.25"/>
    <x v="0"/>
    <x v="2"/>
    <s v="Coarse Sicilian Salami, Tomatoes, Green Olives, Luganega Sausage, Onions, Garlic"/>
    <x v="7"/>
  </r>
  <r>
    <n v="20973"/>
    <n v="9201"/>
    <n v="0.5"/>
    <s v="sicilian_s"/>
    <n v="1"/>
    <x v="62"/>
    <x v="3"/>
    <x v="1799"/>
    <n v="12.25"/>
    <n v="12.25"/>
    <x v="1"/>
    <x v="2"/>
    <s v="Coarse Sicilian Salami, Tomatoes, Green Olives, Luganega Sausage, Onions, Garlic"/>
    <x v="7"/>
  </r>
  <r>
    <n v="20975"/>
    <n v="9202"/>
    <n v="1"/>
    <s v="napolitana_s"/>
    <n v="1"/>
    <x v="62"/>
    <x v="3"/>
    <x v="1800"/>
    <n v="12"/>
    <n v="12"/>
    <x v="1"/>
    <x v="0"/>
    <s v="Tomatoes, Anchovies, Green Olives, Red Onions, Garlic"/>
    <x v="5"/>
  </r>
  <r>
    <n v="20976"/>
    <n v="9203"/>
    <n v="1"/>
    <s v="mexicana_l"/>
    <n v="1"/>
    <x v="62"/>
    <x v="3"/>
    <x v="1801"/>
    <n v="20.25"/>
    <n v="20.25"/>
    <x v="2"/>
    <x v="1"/>
    <s v="Tomatoes, Red Peppers, Jalapeno Peppers, Red Onions, Cilantro, Corn, Chipotle Sauce, Garlic"/>
    <x v="1"/>
  </r>
  <r>
    <n v="20979"/>
    <n v="9205"/>
    <n v="1"/>
    <s v="pepperoni_s"/>
    <n v="1"/>
    <x v="63"/>
    <x v="4"/>
    <x v="1802"/>
    <n v="9.75"/>
    <n v="9.75"/>
    <x v="1"/>
    <x v="0"/>
    <s v="Mozzarella Cheese, Pepperoni"/>
    <x v="3"/>
  </r>
  <r>
    <n v="20983"/>
    <n v="9207"/>
    <n v="0.33333333333333331"/>
    <s v="brie_carre_s"/>
    <n v="1"/>
    <x v="63"/>
    <x v="4"/>
    <x v="1803"/>
    <n v="23.65"/>
    <n v="23.65"/>
    <x v="1"/>
    <x v="2"/>
    <s v="Brie Carre Cheese, Prosciutto, Caramelized Onions, Pears, Thyme, Garlic"/>
    <x v="8"/>
  </r>
  <r>
    <n v="20987"/>
    <n v="9207"/>
    <n v="0.33333333333333331"/>
    <s v="hawaiian_s"/>
    <n v="1"/>
    <x v="63"/>
    <x v="4"/>
    <x v="1803"/>
    <n v="10.5"/>
    <n v="10.5"/>
    <x v="1"/>
    <x v="0"/>
    <s v="Sliced Ham, Pineapple, Mozzarella Cheese"/>
    <x v="0"/>
  </r>
  <r>
    <n v="20992"/>
    <n v="9207"/>
    <n v="0.33333333333333331"/>
    <s v="sicilian_s"/>
    <n v="2"/>
    <x v="63"/>
    <x v="4"/>
    <x v="1803"/>
    <n v="12.25"/>
    <n v="24.5"/>
    <x v="1"/>
    <x v="2"/>
    <s v="Coarse Sicilian Salami, Tomatoes, Green Olives, Luganega Sausage, Onions, Garlic"/>
    <x v="7"/>
  </r>
  <r>
    <n v="20995"/>
    <n v="9208"/>
    <n v="1"/>
    <s v="calabrese_s"/>
    <n v="1"/>
    <x v="63"/>
    <x v="4"/>
    <x v="1804"/>
    <n v="12.25"/>
    <n v="12.25"/>
    <x v="1"/>
    <x v="2"/>
    <s v="?duja Salami, Pancetta, Tomatoes, Red Onions, Friggitello Peppers, Garlic"/>
    <x v="6"/>
  </r>
  <r>
    <n v="20998"/>
    <n v="9209"/>
    <n v="0.33333333333333331"/>
    <s v="calabrese_l"/>
    <n v="1"/>
    <x v="63"/>
    <x v="4"/>
    <x v="1805"/>
    <n v="20.25"/>
    <n v="20.25"/>
    <x v="2"/>
    <x v="2"/>
    <s v="?duja Salami, Pancetta, Tomatoes, Red Onions, Friggitello Peppers, Garlic"/>
    <x v="6"/>
  </r>
  <r>
    <n v="21002"/>
    <n v="9209"/>
    <n v="0.33333333333333331"/>
    <s v="mexicana_l"/>
    <n v="1"/>
    <x v="63"/>
    <x v="4"/>
    <x v="1805"/>
    <n v="20.25"/>
    <n v="20.25"/>
    <x v="2"/>
    <x v="1"/>
    <s v="Tomatoes, Red Peppers, Jalapeno Peppers, Red Onions, Cilantro, Corn, Chipotle Sauce, Garlic"/>
    <x v="1"/>
  </r>
  <r>
    <n v="21004"/>
    <n v="9209"/>
    <n v="0.33333333333333331"/>
    <s v="sicilian_s"/>
    <n v="1"/>
    <x v="63"/>
    <x v="4"/>
    <x v="1805"/>
    <n v="12.25"/>
    <n v="12.25"/>
    <x v="1"/>
    <x v="2"/>
    <s v="Coarse Sicilian Salami, Tomatoes, Green Olives, Luganega Sausage, Onions, Garlic"/>
    <x v="7"/>
  </r>
  <r>
    <n v="21014"/>
    <n v="9213"/>
    <n v="1"/>
    <s v="hawaiian_s"/>
    <n v="1"/>
    <x v="63"/>
    <x v="4"/>
    <x v="1806"/>
    <n v="10.5"/>
    <n v="10.5"/>
    <x v="1"/>
    <x v="0"/>
    <s v="Sliced Ham, Pineapple, Mozzarella Cheese"/>
    <x v="0"/>
  </r>
  <r>
    <n v="21015"/>
    <n v="9214"/>
    <n v="0.25"/>
    <s v="big_meat_s"/>
    <n v="2"/>
    <x v="63"/>
    <x v="4"/>
    <x v="1807"/>
    <n v="12"/>
    <n v="24"/>
    <x v="1"/>
    <x v="0"/>
    <s v="Bacon, Pepperoni, Italian Sausage, Chorizo Sausage"/>
    <x v="4"/>
  </r>
  <r>
    <n v="21018"/>
    <n v="9214"/>
    <n v="0.25"/>
    <s v="hawaiian_l"/>
    <n v="1"/>
    <x v="63"/>
    <x v="4"/>
    <x v="1807"/>
    <n v="16.5"/>
    <n v="16.5"/>
    <x v="2"/>
    <x v="0"/>
    <s v="Sliced Ham, Pineapple, Mozzarella Cheese"/>
    <x v="0"/>
  </r>
  <r>
    <n v="21019"/>
    <n v="9214"/>
    <n v="0.25"/>
    <s v="hawaiian_m"/>
    <n v="1"/>
    <x v="63"/>
    <x v="4"/>
    <x v="1807"/>
    <n v="13.25"/>
    <n v="13.25"/>
    <x v="0"/>
    <x v="0"/>
    <s v="Sliced Ham, Pineapple, Mozzarella Cheese"/>
    <x v="0"/>
  </r>
  <r>
    <n v="21023"/>
    <n v="9214"/>
    <n v="0.25"/>
    <s v="pepperoni_l"/>
    <n v="1"/>
    <x v="63"/>
    <x v="4"/>
    <x v="1807"/>
    <n v="15.25"/>
    <n v="15.25"/>
    <x v="2"/>
    <x v="0"/>
    <s v="Mozzarella Cheese, Pepperoni"/>
    <x v="3"/>
  </r>
  <r>
    <n v="21029"/>
    <n v="9216"/>
    <n v="1"/>
    <s v="pepperoni_m"/>
    <n v="1"/>
    <x v="63"/>
    <x v="4"/>
    <x v="1808"/>
    <n v="12.5"/>
    <n v="12.5"/>
    <x v="0"/>
    <x v="0"/>
    <s v="Mozzarella Cheese, Pepperoni"/>
    <x v="3"/>
  </r>
  <r>
    <n v="21030"/>
    <n v="9217"/>
    <n v="1"/>
    <s v="big_meat_s"/>
    <n v="1"/>
    <x v="63"/>
    <x v="4"/>
    <x v="1809"/>
    <n v="12"/>
    <n v="12"/>
    <x v="1"/>
    <x v="0"/>
    <s v="Bacon, Pepperoni, Italian Sausage, Chorizo Sausage"/>
    <x v="4"/>
  </r>
  <r>
    <n v="21036"/>
    <n v="9220"/>
    <n v="0.33333333333333331"/>
    <s v="big_meat_s"/>
    <n v="1"/>
    <x v="63"/>
    <x v="4"/>
    <x v="1810"/>
    <n v="12"/>
    <n v="12"/>
    <x v="1"/>
    <x v="0"/>
    <s v="Bacon, Pepperoni, Italian Sausage, Chorizo Sausage"/>
    <x v="4"/>
  </r>
  <r>
    <n v="21037"/>
    <n v="9220"/>
    <n v="0.33333333333333331"/>
    <s v="pepperoni_m"/>
    <n v="1"/>
    <x v="63"/>
    <x v="4"/>
    <x v="1810"/>
    <n v="12.5"/>
    <n v="12.5"/>
    <x v="0"/>
    <x v="0"/>
    <s v="Mozzarella Cheese, Pepperoni"/>
    <x v="3"/>
  </r>
  <r>
    <n v="21038"/>
    <n v="9220"/>
    <n v="0.33333333333333331"/>
    <s v="sicilian_l"/>
    <n v="1"/>
    <x v="63"/>
    <x v="4"/>
    <x v="1810"/>
    <n v="20.25"/>
    <n v="20.25"/>
    <x v="2"/>
    <x v="2"/>
    <s v="Coarse Sicilian Salami, Tomatoes, Green Olives, Luganega Sausage, Onions, Garlic"/>
    <x v="7"/>
  </r>
  <r>
    <n v="21040"/>
    <n v="9222"/>
    <n v="1"/>
    <s v="hawaiian_l"/>
    <n v="1"/>
    <x v="63"/>
    <x v="4"/>
    <x v="1811"/>
    <n v="16.5"/>
    <n v="16.5"/>
    <x v="2"/>
    <x v="0"/>
    <s v="Sliced Ham, Pineapple, Mozzarella Cheese"/>
    <x v="0"/>
  </r>
  <r>
    <n v="21042"/>
    <n v="9223"/>
    <n v="1"/>
    <s v="mexicana_l"/>
    <n v="1"/>
    <x v="63"/>
    <x v="4"/>
    <x v="1812"/>
    <n v="20.25"/>
    <n v="20.25"/>
    <x v="2"/>
    <x v="1"/>
    <s v="Tomatoes, Red Peppers, Jalapeno Peppers, Red Onions, Cilantro, Corn, Chipotle Sauce, Garlic"/>
    <x v="1"/>
  </r>
  <r>
    <n v="21045"/>
    <n v="9224"/>
    <n v="1"/>
    <s v="the_greek_l"/>
    <n v="1"/>
    <x v="63"/>
    <x v="4"/>
    <x v="1813"/>
    <n v="20.5"/>
    <n v="20.5"/>
    <x v="2"/>
    <x v="0"/>
    <s v="Kalamata Olives, Feta Cheese, Tomatoes, Garlic, Beef Chuck Roast, Red Onions"/>
    <x v="2"/>
  </r>
  <r>
    <n v="21047"/>
    <n v="9225"/>
    <n v="1"/>
    <s v="big_meat_s"/>
    <n v="1"/>
    <x v="63"/>
    <x v="4"/>
    <x v="1814"/>
    <n v="12"/>
    <n v="12"/>
    <x v="1"/>
    <x v="0"/>
    <s v="Bacon, Pepperoni, Italian Sausage, Chorizo Sausage"/>
    <x v="4"/>
  </r>
  <r>
    <n v="21051"/>
    <n v="9228"/>
    <n v="1"/>
    <s v="hawaiian_l"/>
    <n v="1"/>
    <x v="63"/>
    <x v="4"/>
    <x v="1815"/>
    <n v="16.5"/>
    <n v="16.5"/>
    <x v="2"/>
    <x v="0"/>
    <s v="Sliced Ham, Pineapple, Mozzarella Cheese"/>
    <x v="0"/>
  </r>
  <r>
    <n v="21053"/>
    <n v="9229"/>
    <n v="1"/>
    <s v="pepperoni_l"/>
    <n v="1"/>
    <x v="63"/>
    <x v="4"/>
    <x v="1816"/>
    <n v="15.25"/>
    <n v="15.25"/>
    <x v="2"/>
    <x v="0"/>
    <s v="Mozzarella Cheese, Pepperoni"/>
    <x v="3"/>
  </r>
  <r>
    <n v="21054"/>
    <n v="9230"/>
    <n v="1"/>
    <s v="napolitana_m"/>
    <n v="1"/>
    <x v="63"/>
    <x v="4"/>
    <x v="1817"/>
    <n v="16"/>
    <n v="16"/>
    <x v="0"/>
    <x v="0"/>
    <s v="Tomatoes, Anchovies, Green Olives, Red Onions, Garlic"/>
    <x v="5"/>
  </r>
  <r>
    <n v="21057"/>
    <n v="9232"/>
    <n v="1"/>
    <s v="brie_carre_s"/>
    <n v="1"/>
    <x v="63"/>
    <x v="4"/>
    <x v="1818"/>
    <n v="23.65"/>
    <n v="23.65"/>
    <x v="1"/>
    <x v="2"/>
    <s v="Brie Carre Cheese, Prosciutto, Caramelized Onions, Pears, Thyme, Garlic"/>
    <x v="8"/>
  </r>
  <r>
    <n v="21063"/>
    <n v="9234"/>
    <n v="1"/>
    <s v="the_greek_m"/>
    <n v="1"/>
    <x v="63"/>
    <x v="4"/>
    <x v="1819"/>
    <n v="16"/>
    <n v="16"/>
    <x v="0"/>
    <x v="0"/>
    <s v="Kalamata Olives, Feta Cheese, Tomatoes, Garlic, Beef Chuck Roast, Red Onions"/>
    <x v="2"/>
  </r>
  <r>
    <n v="21068"/>
    <n v="9237"/>
    <n v="1"/>
    <s v="napolitana_m"/>
    <n v="1"/>
    <x v="63"/>
    <x v="4"/>
    <x v="1820"/>
    <n v="16"/>
    <n v="16"/>
    <x v="0"/>
    <x v="0"/>
    <s v="Tomatoes, Anchovies, Green Olives, Red Onions, Garlic"/>
    <x v="5"/>
  </r>
  <r>
    <n v="21070"/>
    <n v="9238"/>
    <n v="1"/>
    <s v="the_greek_m"/>
    <n v="1"/>
    <x v="63"/>
    <x v="4"/>
    <x v="1821"/>
    <n v="16"/>
    <n v="16"/>
    <x v="0"/>
    <x v="0"/>
    <s v="Kalamata Olives, Feta Cheese, Tomatoes, Garlic, Beef Chuck Roast, Red Onions"/>
    <x v="2"/>
  </r>
  <r>
    <n v="21074"/>
    <n v="9240"/>
    <n v="1"/>
    <s v="big_meat_s"/>
    <n v="1"/>
    <x v="63"/>
    <x v="4"/>
    <x v="1822"/>
    <n v="12"/>
    <n v="12"/>
    <x v="1"/>
    <x v="0"/>
    <s v="Bacon, Pepperoni, Italian Sausage, Chorizo Sausage"/>
    <x v="4"/>
  </r>
  <r>
    <n v="21081"/>
    <n v="9243"/>
    <n v="1"/>
    <s v="sicilian_l"/>
    <n v="1"/>
    <x v="63"/>
    <x v="4"/>
    <x v="1823"/>
    <n v="20.25"/>
    <n v="20.25"/>
    <x v="2"/>
    <x v="2"/>
    <s v="Coarse Sicilian Salami, Tomatoes, Green Olives, Luganega Sausage, Onions, Garlic"/>
    <x v="7"/>
  </r>
  <r>
    <n v="21087"/>
    <n v="9246"/>
    <n v="0.5"/>
    <s v="big_meat_s"/>
    <n v="1"/>
    <x v="63"/>
    <x v="4"/>
    <x v="1824"/>
    <n v="12"/>
    <n v="12"/>
    <x v="1"/>
    <x v="0"/>
    <s v="Bacon, Pepperoni, Italian Sausage, Chorizo Sausage"/>
    <x v="4"/>
  </r>
  <r>
    <n v="21089"/>
    <n v="9246"/>
    <n v="0.5"/>
    <s v="pepperoni_l"/>
    <n v="1"/>
    <x v="63"/>
    <x v="4"/>
    <x v="1824"/>
    <n v="15.25"/>
    <n v="15.25"/>
    <x v="2"/>
    <x v="0"/>
    <s v="Mozzarella Cheese, Pepperoni"/>
    <x v="3"/>
  </r>
  <r>
    <n v="21090"/>
    <n v="9247"/>
    <n v="1"/>
    <s v="mexicana_l"/>
    <n v="1"/>
    <x v="63"/>
    <x v="4"/>
    <x v="1825"/>
    <n v="20.25"/>
    <n v="20.25"/>
    <x v="2"/>
    <x v="1"/>
    <s v="Tomatoes, Red Peppers, Jalapeno Peppers, Red Onions, Cilantro, Corn, Chipotle Sauce, Garlic"/>
    <x v="1"/>
  </r>
  <r>
    <n v="21095"/>
    <n v="9251"/>
    <n v="0.5"/>
    <s v="big_meat_s"/>
    <n v="1"/>
    <x v="63"/>
    <x v="4"/>
    <x v="1826"/>
    <n v="12"/>
    <n v="12"/>
    <x v="1"/>
    <x v="0"/>
    <s v="Bacon, Pepperoni, Italian Sausage, Chorizo Sausage"/>
    <x v="4"/>
  </r>
  <r>
    <n v="21096"/>
    <n v="9251"/>
    <n v="0.5"/>
    <s v="napolitana_s"/>
    <n v="1"/>
    <x v="63"/>
    <x v="4"/>
    <x v="1826"/>
    <n v="12"/>
    <n v="12"/>
    <x v="1"/>
    <x v="0"/>
    <s v="Tomatoes, Anchovies, Green Olives, Red Onions, Garlic"/>
    <x v="5"/>
  </r>
  <r>
    <n v="21103"/>
    <n v="9254"/>
    <n v="1"/>
    <s v="napolitana_l"/>
    <n v="1"/>
    <x v="63"/>
    <x v="4"/>
    <x v="1827"/>
    <n v="20.5"/>
    <n v="20.5"/>
    <x v="2"/>
    <x v="0"/>
    <s v="Tomatoes, Anchovies, Green Olives, Red Onions, Garlic"/>
    <x v="5"/>
  </r>
  <r>
    <n v="21106"/>
    <n v="9255"/>
    <n v="1"/>
    <s v="napolitana_m"/>
    <n v="1"/>
    <x v="63"/>
    <x v="4"/>
    <x v="1828"/>
    <n v="16"/>
    <n v="16"/>
    <x v="0"/>
    <x v="0"/>
    <s v="Tomatoes, Anchovies, Green Olives, Red Onions, Garlic"/>
    <x v="5"/>
  </r>
  <r>
    <n v="21115"/>
    <n v="9260"/>
    <n v="1"/>
    <s v="hawaiian_s"/>
    <n v="1"/>
    <x v="63"/>
    <x v="4"/>
    <x v="1829"/>
    <n v="10.5"/>
    <n v="10.5"/>
    <x v="1"/>
    <x v="0"/>
    <s v="Sliced Ham, Pineapple, Mozzarella Cheese"/>
    <x v="0"/>
  </r>
  <r>
    <n v="21116"/>
    <n v="9261"/>
    <n v="0.5"/>
    <s v="napolitana_l"/>
    <n v="1"/>
    <x v="64"/>
    <x v="2"/>
    <x v="1830"/>
    <n v="20.5"/>
    <n v="20.5"/>
    <x v="2"/>
    <x v="0"/>
    <s v="Tomatoes, Anchovies, Green Olives, Red Onions, Garlic"/>
    <x v="5"/>
  </r>
  <r>
    <n v="21117"/>
    <n v="9261"/>
    <n v="0.5"/>
    <s v="napolitana_m"/>
    <n v="1"/>
    <x v="64"/>
    <x v="2"/>
    <x v="1830"/>
    <n v="16"/>
    <n v="16"/>
    <x v="0"/>
    <x v="0"/>
    <s v="Tomatoes, Anchovies, Green Olives, Red Onions, Garlic"/>
    <x v="5"/>
  </r>
  <r>
    <n v="21123"/>
    <n v="9264"/>
    <n v="1"/>
    <s v="calabrese_m"/>
    <n v="1"/>
    <x v="64"/>
    <x v="2"/>
    <x v="1831"/>
    <n v="16.25"/>
    <n v="16.25"/>
    <x v="0"/>
    <x v="2"/>
    <s v="?duja Salami, Pancetta, Tomatoes, Red Onions, Friggitello Peppers, Garlic"/>
    <x v="6"/>
  </r>
  <r>
    <n v="21124"/>
    <n v="9265"/>
    <n v="1"/>
    <s v="the_greek_xl"/>
    <n v="1"/>
    <x v="64"/>
    <x v="2"/>
    <x v="1832"/>
    <n v="25.5"/>
    <n v="25.5"/>
    <x v="3"/>
    <x v="0"/>
    <s v="Kalamata Olives, Feta Cheese, Tomatoes, Garlic, Beef Chuck Roast, Red Onions"/>
    <x v="2"/>
  </r>
  <r>
    <n v="21137"/>
    <n v="9271"/>
    <n v="0.5"/>
    <s v="hawaiian_m"/>
    <n v="1"/>
    <x v="64"/>
    <x v="2"/>
    <x v="318"/>
    <n v="13.25"/>
    <n v="13.25"/>
    <x v="0"/>
    <x v="0"/>
    <s v="Sliced Ham, Pineapple, Mozzarella Cheese"/>
    <x v="0"/>
  </r>
  <r>
    <n v="21138"/>
    <n v="9271"/>
    <n v="0.5"/>
    <s v="pepperoni_m"/>
    <n v="1"/>
    <x v="64"/>
    <x v="2"/>
    <x v="318"/>
    <n v="12.5"/>
    <n v="12.5"/>
    <x v="0"/>
    <x v="0"/>
    <s v="Mozzarella Cheese, Pepperoni"/>
    <x v="3"/>
  </r>
  <r>
    <n v="21152"/>
    <n v="9278"/>
    <n v="1"/>
    <s v="big_meat_s"/>
    <n v="1"/>
    <x v="64"/>
    <x v="2"/>
    <x v="1833"/>
    <n v="12"/>
    <n v="12"/>
    <x v="1"/>
    <x v="0"/>
    <s v="Bacon, Pepperoni, Italian Sausage, Chorizo Sausage"/>
    <x v="4"/>
  </r>
  <r>
    <n v="21156"/>
    <n v="9279"/>
    <n v="0.5"/>
    <s v="mexicana_m"/>
    <n v="1"/>
    <x v="64"/>
    <x v="2"/>
    <x v="1834"/>
    <n v="16"/>
    <n v="16"/>
    <x v="0"/>
    <x v="1"/>
    <s v="Tomatoes, Red Peppers, Jalapeno Peppers, Red Onions, Cilantro, Corn, Chipotle Sauce, Garlic"/>
    <x v="1"/>
  </r>
  <r>
    <n v="21157"/>
    <n v="9279"/>
    <n v="0.5"/>
    <s v="pepperoni_l"/>
    <n v="1"/>
    <x v="64"/>
    <x v="2"/>
    <x v="1834"/>
    <n v="15.25"/>
    <n v="15.25"/>
    <x v="2"/>
    <x v="0"/>
    <s v="Mozzarella Cheese, Pepperoni"/>
    <x v="3"/>
  </r>
  <r>
    <n v="21161"/>
    <n v="9281"/>
    <n v="1"/>
    <s v="hawaiian_s"/>
    <n v="1"/>
    <x v="64"/>
    <x v="2"/>
    <x v="1767"/>
    <n v="10.5"/>
    <n v="10.5"/>
    <x v="1"/>
    <x v="0"/>
    <s v="Sliced Ham, Pineapple, Mozzarella Cheese"/>
    <x v="0"/>
  </r>
  <r>
    <n v="21164"/>
    <n v="9282"/>
    <n v="0.5"/>
    <s v="hawaiian_s"/>
    <n v="1"/>
    <x v="64"/>
    <x v="2"/>
    <x v="429"/>
    <n v="10.5"/>
    <n v="10.5"/>
    <x v="1"/>
    <x v="0"/>
    <s v="Sliced Ham, Pineapple, Mozzarella Cheese"/>
    <x v="0"/>
  </r>
  <r>
    <n v="21166"/>
    <n v="9282"/>
    <n v="0.5"/>
    <s v="the_greek_xl"/>
    <n v="1"/>
    <x v="64"/>
    <x v="2"/>
    <x v="429"/>
    <n v="25.5"/>
    <n v="25.5"/>
    <x v="3"/>
    <x v="0"/>
    <s v="Kalamata Olives, Feta Cheese, Tomatoes, Garlic, Beef Chuck Roast, Red Onions"/>
    <x v="2"/>
  </r>
  <r>
    <n v="21167"/>
    <n v="9283"/>
    <n v="0.33333333333333331"/>
    <s v="calabrese_s"/>
    <n v="1"/>
    <x v="64"/>
    <x v="2"/>
    <x v="1835"/>
    <n v="12.25"/>
    <n v="12.25"/>
    <x v="1"/>
    <x v="2"/>
    <s v="?duja Salami, Pancetta, Tomatoes, Red Onions, Friggitello Peppers, Garlic"/>
    <x v="6"/>
  </r>
  <r>
    <n v="21172"/>
    <n v="9283"/>
    <n v="0.33333333333333331"/>
    <s v="mexicana_m"/>
    <n v="1"/>
    <x v="64"/>
    <x v="2"/>
    <x v="1835"/>
    <n v="16"/>
    <n v="16"/>
    <x v="0"/>
    <x v="1"/>
    <s v="Tomatoes, Red Peppers, Jalapeno Peppers, Red Onions, Cilantro, Corn, Chipotle Sauce, Garlic"/>
    <x v="1"/>
  </r>
  <r>
    <n v="21173"/>
    <n v="9283"/>
    <n v="0.33333333333333331"/>
    <s v="napolitana_s"/>
    <n v="1"/>
    <x v="64"/>
    <x v="2"/>
    <x v="1835"/>
    <n v="12"/>
    <n v="12"/>
    <x v="1"/>
    <x v="0"/>
    <s v="Tomatoes, Anchovies, Green Olives, Red Onions, Garlic"/>
    <x v="5"/>
  </r>
  <r>
    <n v="21176"/>
    <n v="9284"/>
    <n v="1"/>
    <s v="big_meat_s"/>
    <n v="1"/>
    <x v="64"/>
    <x v="2"/>
    <x v="1836"/>
    <n v="12"/>
    <n v="12"/>
    <x v="1"/>
    <x v="0"/>
    <s v="Bacon, Pepperoni, Italian Sausage, Chorizo Sausage"/>
    <x v="4"/>
  </r>
  <r>
    <n v="21181"/>
    <n v="9287"/>
    <n v="0.33333333333333331"/>
    <s v="big_meat_s"/>
    <n v="1"/>
    <x v="64"/>
    <x v="2"/>
    <x v="1837"/>
    <n v="12"/>
    <n v="12"/>
    <x v="1"/>
    <x v="0"/>
    <s v="Bacon, Pepperoni, Italian Sausage, Chorizo Sausage"/>
    <x v="4"/>
  </r>
  <r>
    <n v="21182"/>
    <n v="9287"/>
    <n v="0.33333333333333331"/>
    <s v="brie_carre_s"/>
    <n v="1"/>
    <x v="64"/>
    <x v="2"/>
    <x v="1837"/>
    <n v="23.65"/>
    <n v="23.65"/>
    <x v="1"/>
    <x v="2"/>
    <s v="Brie Carre Cheese, Prosciutto, Caramelized Onions, Pears, Thyme, Garlic"/>
    <x v="8"/>
  </r>
  <r>
    <n v="21184"/>
    <n v="9287"/>
    <n v="0.33333333333333331"/>
    <s v="sicilian_s"/>
    <n v="1"/>
    <x v="64"/>
    <x v="2"/>
    <x v="1837"/>
    <n v="12.25"/>
    <n v="12.25"/>
    <x v="1"/>
    <x v="2"/>
    <s v="Coarse Sicilian Salami, Tomatoes, Green Olives, Luganega Sausage, Onions, Garlic"/>
    <x v="7"/>
  </r>
  <r>
    <n v="21197"/>
    <n v="9295"/>
    <n v="1"/>
    <s v="hawaiian_l"/>
    <n v="1"/>
    <x v="64"/>
    <x v="2"/>
    <x v="1838"/>
    <n v="16.5"/>
    <n v="16.5"/>
    <x v="2"/>
    <x v="0"/>
    <s v="Sliced Ham, Pineapple, Mozzarella Cheese"/>
    <x v="0"/>
  </r>
  <r>
    <n v="21200"/>
    <n v="9297"/>
    <n v="0.5"/>
    <s v="napolitana_m"/>
    <n v="1"/>
    <x v="64"/>
    <x v="2"/>
    <x v="1839"/>
    <n v="16"/>
    <n v="16"/>
    <x v="0"/>
    <x v="0"/>
    <s v="Tomatoes, Anchovies, Green Olives, Red Onions, Garlic"/>
    <x v="5"/>
  </r>
  <r>
    <n v="21201"/>
    <n v="9297"/>
    <n v="0.5"/>
    <s v="pepperoni_m"/>
    <n v="1"/>
    <x v="64"/>
    <x v="2"/>
    <x v="1839"/>
    <n v="12.5"/>
    <n v="12.5"/>
    <x v="0"/>
    <x v="0"/>
    <s v="Mozzarella Cheese, Pepperoni"/>
    <x v="3"/>
  </r>
  <r>
    <n v="21205"/>
    <n v="9298"/>
    <n v="1"/>
    <s v="sicilian_m"/>
    <n v="1"/>
    <x v="64"/>
    <x v="2"/>
    <x v="1840"/>
    <n v="16.25"/>
    <n v="16.25"/>
    <x v="0"/>
    <x v="2"/>
    <s v="Coarse Sicilian Salami, Tomatoes, Green Olives, Luganega Sausage, Onions, Garlic"/>
    <x v="7"/>
  </r>
  <r>
    <n v="21211"/>
    <n v="9300"/>
    <n v="1"/>
    <s v="hawaiian_l"/>
    <n v="1"/>
    <x v="64"/>
    <x v="2"/>
    <x v="1841"/>
    <n v="16.5"/>
    <n v="16.5"/>
    <x v="2"/>
    <x v="0"/>
    <s v="Sliced Ham, Pineapple, Mozzarella Cheese"/>
    <x v="0"/>
  </r>
  <r>
    <n v="21214"/>
    <n v="9301"/>
    <n v="1"/>
    <s v="the_greek_xl"/>
    <n v="1"/>
    <x v="64"/>
    <x v="2"/>
    <x v="1842"/>
    <n v="25.5"/>
    <n v="25.5"/>
    <x v="3"/>
    <x v="0"/>
    <s v="Kalamata Olives, Feta Cheese, Tomatoes, Garlic, Beef Chuck Roast, Red Onions"/>
    <x v="2"/>
  </r>
  <r>
    <n v="21218"/>
    <n v="9302"/>
    <n v="1"/>
    <s v="napolitana_s"/>
    <n v="1"/>
    <x v="64"/>
    <x v="2"/>
    <x v="1843"/>
    <n v="12"/>
    <n v="12"/>
    <x v="1"/>
    <x v="0"/>
    <s v="Tomatoes, Anchovies, Green Olives, Red Onions, Garlic"/>
    <x v="5"/>
  </r>
  <r>
    <n v="21220"/>
    <n v="9303"/>
    <n v="1"/>
    <s v="big_meat_s"/>
    <n v="1"/>
    <x v="64"/>
    <x v="2"/>
    <x v="1844"/>
    <n v="12"/>
    <n v="12"/>
    <x v="1"/>
    <x v="0"/>
    <s v="Bacon, Pepperoni, Italian Sausage, Chorizo Sausage"/>
    <x v="4"/>
  </r>
  <r>
    <n v="21231"/>
    <n v="9307"/>
    <n v="1"/>
    <s v="brie_carre_s"/>
    <n v="1"/>
    <x v="64"/>
    <x v="2"/>
    <x v="1845"/>
    <n v="23.65"/>
    <n v="23.65"/>
    <x v="1"/>
    <x v="2"/>
    <s v="Brie Carre Cheese, Prosciutto, Caramelized Onions, Pears, Thyme, Garlic"/>
    <x v="8"/>
  </r>
  <r>
    <n v="21233"/>
    <n v="9308"/>
    <n v="1"/>
    <s v="mexicana_l"/>
    <n v="1"/>
    <x v="64"/>
    <x v="2"/>
    <x v="1846"/>
    <n v="20.25"/>
    <n v="20.25"/>
    <x v="2"/>
    <x v="1"/>
    <s v="Tomatoes, Red Peppers, Jalapeno Peppers, Red Onions, Cilantro, Corn, Chipotle Sauce, Garlic"/>
    <x v="1"/>
  </r>
  <r>
    <n v="21234"/>
    <n v="9309"/>
    <n v="1"/>
    <s v="the_greek_m"/>
    <n v="1"/>
    <x v="64"/>
    <x v="2"/>
    <x v="1847"/>
    <n v="16"/>
    <n v="16"/>
    <x v="0"/>
    <x v="0"/>
    <s v="Kalamata Olives, Feta Cheese, Tomatoes, Garlic, Beef Chuck Roast, Red Onions"/>
    <x v="2"/>
  </r>
  <r>
    <n v="21237"/>
    <n v="9312"/>
    <n v="1"/>
    <s v="pepperoni_m"/>
    <n v="1"/>
    <x v="64"/>
    <x v="2"/>
    <x v="1848"/>
    <n v="12.5"/>
    <n v="12.5"/>
    <x v="0"/>
    <x v="0"/>
    <s v="Mozzarella Cheese, Pepperoni"/>
    <x v="3"/>
  </r>
  <r>
    <n v="21240"/>
    <n v="9313"/>
    <n v="1"/>
    <s v="the_greek_xl"/>
    <n v="1"/>
    <x v="64"/>
    <x v="2"/>
    <x v="1849"/>
    <n v="25.5"/>
    <n v="25.5"/>
    <x v="3"/>
    <x v="0"/>
    <s v="Kalamata Olives, Feta Cheese, Tomatoes, Garlic, Beef Chuck Roast, Red Onions"/>
    <x v="2"/>
  </r>
  <r>
    <n v="21243"/>
    <n v="9314"/>
    <n v="1"/>
    <s v="pepperoni_l"/>
    <n v="1"/>
    <x v="64"/>
    <x v="2"/>
    <x v="1850"/>
    <n v="15.25"/>
    <n v="15.25"/>
    <x v="2"/>
    <x v="0"/>
    <s v="Mozzarella Cheese, Pepperoni"/>
    <x v="3"/>
  </r>
  <r>
    <n v="21245"/>
    <n v="9315"/>
    <n v="1"/>
    <s v="napolitana_m"/>
    <n v="1"/>
    <x v="64"/>
    <x v="2"/>
    <x v="1851"/>
    <n v="16"/>
    <n v="16"/>
    <x v="0"/>
    <x v="0"/>
    <s v="Tomatoes, Anchovies, Green Olives, Red Onions, Garlic"/>
    <x v="5"/>
  </r>
  <r>
    <n v="21262"/>
    <n v="9323"/>
    <n v="0.5"/>
    <s v="big_meat_s"/>
    <n v="1"/>
    <x v="64"/>
    <x v="2"/>
    <x v="1852"/>
    <n v="12"/>
    <n v="12"/>
    <x v="1"/>
    <x v="0"/>
    <s v="Bacon, Pepperoni, Italian Sausage, Chorizo Sausage"/>
    <x v="4"/>
  </r>
  <r>
    <n v="21263"/>
    <n v="9323"/>
    <n v="0.5"/>
    <s v="pepperoni_l"/>
    <n v="1"/>
    <x v="64"/>
    <x v="2"/>
    <x v="1852"/>
    <n v="15.25"/>
    <n v="15.25"/>
    <x v="2"/>
    <x v="0"/>
    <s v="Mozzarella Cheese, Pepperoni"/>
    <x v="3"/>
  </r>
  <r>
    <n v="21265"/>
    <n v="9324"/>
    <n v="1"/>
    <s v="big_meat_s"/>
    <n v="1"/>
    <x v="64"/>
    <x v="2"/>
    <x v="69"/>
    <n v="12"/>
    <n v="12"/>
    <x v="1"/>
    <x v="0"/>
    <s v="Bacon, Pepperoni, Italian Sausage, Chorizo Sausage"/>
    <x v="4"/>
  </r>
  <r>
    <n v="21267"/>
    <n v="9325"/>
    <n v="1"/>
    <s v="mexicana_l"/>
    <n v="1"/>
    <x v="64"/>
    <x v="2"/>
    <x v="1853"/>
    <n v="20.25"/>
    <n v="20.25"/>
    <x v="2"/>
    <x v="1"/>
    <s v="Tomatoes, Red Peppers, Jalapeno Peppers, Red Onions, Cilantro, Corn, Chipotle Sauce, Garlic"/>
    <x v="1"/>
  </r>
  <r>
    <n v="21276"/>
    <n v="9331"/>
    <n v="0.16666666666666666"/>
    <s v="big_meat_s"/>
    <n v="1"/>
    <x v="65"/>
    <x v="5"/>
    <x v="1854"/>
    <n v="12"/>
    <n v="12"/>
    <x v="1"/>
    <x v="0"/>
    <s v="Bacon, Pepperoni, Italian Sausage, Chorizo Sausage"/>
    <x v="4"/>
  </r>
  <r>
    <n v="21281"/>
    <n v="9331"/>
    <n v="0.16666666666666666"/>
    <s v="hawaiian_l"/>
    <n v="1"/>
    <x v="65"/>
    <x v="5"/>
    <x v="1854"/>
    <n v="16.5"/>
    <n v="16.5"/>
    <x v="2"/>
    <x v="0"/>
    <s v="Sliced Ham, Pineapple, Mozzarella Cheese"/>
    <x v="0"/>
  </r>
  <r>
    <n v="21284"/>
    <n v="9331"/>
    <n v="0.16666666666666666"/>
    <s v="mexicana_m"/>
    <n v="1"/>
    <x v="65"/>
    <x v="5"/>
    <x v="1854"/>
    <n v="16"/>
    <n v="16"/>
    <x v="0"/>
    <x v="1"/>
    <s v="Tomatoes, Red Peppers, Jalapeno Peppers, Red Onions, Cilantro, Corn, Chipotle Sauce, Garlic"/>
    <x v="1"/>
  </r>
  <r>
    <n v="21285"/>
    <n v="9331"/>
    <n v="0.16666666666666666"/>
    <s v="napolitana_l"/>
    <n v="2"/>
    <x v="65"/>
    <x v="5"/>
    <x v="1854"/>
    <n v="20.5"/>
    <n v="41"/>
    <x v="2"/>
    <x v="0"/>
    <s v="Tomatoes, Anchovies, Green Olives, Red Onions, Garlic"/>
    <x v="5"/>
  </r>
  <r>
    <n v="21286"/>
    <n v="9331"/>
    <n v="0.16666666666666666"/>
    <s v="sicilian_l"/>
    <n v="1"/>
    <x v="65"/>
    <x v="5"/>
    <x v="1854"/>
    <n v="20.25"/>
    <n v="20.25"/>
    <x v="2"/>
    <x v="2"/>
    <s v="Coarse Sicilian Salami, Tomatoes, Green Olives, Luganega Sausage, Onions, Garlic"/>
    <x v="7"/>
  </r>
  <r>
    <n v="21287"/>
    <n v="9331"/>
    <n v="0.16666666666666666"/>
    <s v="sicilian_s"/>
    <n v="1"/>
    <x v="65"/>
    <x v="5"/>
    <x v="1854"/>
    <n v="12.25"/>
    <n v="12.25"/>
    <x v="1"/>
    <x v="2"/>
    <s v="Coarse Sicilian Salami, Tomatoes, Green Olives, Luganega Sausage, Onions, Garlic"/>
    <x v="7"/>
  </r>
  <r>
    <n v="21289"/>
    <n v="9332"/>
    <n v="1"/>
    <s v="big_meat_s"/>
    <n v="1"/>
    <x v="65"/>
    <x v="5"/>
    <x v="1855"/>
    <n v="12"/>
    <n v="12"/>
    <x v="1"/>
    <x v="0"/>
    <s v="Bacon, Pepperoni, Italian Sausage, Chorizo Sausage"/>
    <x v="4"/>
  </r>
  <r>
    <n v="21293"/>
    <n v="9334"/>
    <n v="0.5"/>
    <s v="hawaiian_s"/>
    <n v="1"/>
    <x v="65"/>
    <x v="5"/>
    <x v="1856"/>
    <n v="10.5"/>
    <n v="10.5"/>
    <x v="1"/>
    <x v="0"/>
    <s v="Sliced Ham, Pineapple, Mozzarella Cheese"/>
    <x v="0"/>
  </r>
  <r>
    <n v="21294"/>
    <n v="9334"/>
    <n v="0.5"/>
    <s v="napolitana_m"/>
    <n v="1"/>
    <x v="65"/>
    <x v="5"/>
    <x v="1856"/>
    <n v="16"/>
    <n v="16"/>
    <x v="0"/>
    <x v="0"/>
    <s v="Tomatoes, Anchovies, Green Olives, Red Onions, Garlic"/>
    <x v="5"/>
  </r>
  <r>
    <n v="21300"/>
    <n v="9336"/>
    <n v="1"/>
    <s v="sicilian_m"/>
    <n v="1"/>
    <x v="65"/>
    <x v="5"/>
    <x v="1857"/>
    <n v="16.25"/>
    <n v="16.25"/>
    <x v="0"/>
    <x v="2"/>
    <s v="Coarse Sicilian Salami, Tomatoes, Green Olives, Luganega Sausage, Onions, Garlic"/>
    <x v="7"/>
  </r>
  <r>
    <n v="21303"/>
    <n v="9337"/>
    <n v="1"/>
    <s v="napolitana_s"/>
    <n v="1"/>
    <x v="65"/>
    <x v="5"/>
    <x v="1858"/>
    <n v="12"/>
    <n v="12"/>
    <x v="1"/>
    <x v="0"/>
    <s v="Tomatoes, Anchovies, Green Olives, Red Onions, Garlic"/>
    <x v="5"/>
  </r>
  <r>
    <n v="21305"/>
    <n v="9339"/>
    <n v="1"/>
    <s v="hawaiian_l"/>
    <n v="1"/>
    <x v="65"/>
    <x v="5"/>
    <x v="1859"/>
    <n v="16.5"/>
    <n v="16.5"/>
    <x v="2"/>
    <x v="0"/>
    <s v="Sliced Ham, Pineapple, Mozzarella Cheese"/>
    <x v="0"/>
  </r>
  <r>
    <n v="21312"/>
    <n v="9343"/>
    <n v="1"/>
    <s v="mexicana_s"/>
    <n v="1"/>
    <x v="65"/>
    <x v="5"/>
    <x v="1860"/>
    <n v="12"/>
    <n v="12"/>
    <x v="1"/>
    <x v="1"/>
    <s v="Tomatoes, Red Peppers, Jalapeno Peppers, Red Onions, Cilantro, Corn, Chipotle Sauce, Garlic"/>
    <x v="1"/>
  </r>
  <r>
    <n v="21317"/>
    <n v="9347"/>
    <n v="0.5"/>
    <s v="hawaiian_l"/>
    <n v="1"/>
    <x v="65"/>
    <x v="5"/>
    <x v="1861"/>
    <n v="16.5"/>
    <n v="16.5"/>
    <x v="2"/>
    <x v="0"/>
    <s v="Sliced Ham, Pineapple, Mozzarella Cheese"/>
    <x v="0"/>
  </r>
  <r>
    <n v="21319"/>
    <n v="9347"/>
    <n v="0.5"/>
    <s v="pepperoni_l"/>
    <n v="1"/>
    <x v="65"/>
    <x v="5"/>
    <x v="1861"/>
    <n v="15.25"/>
    <n v="15.25"/>
    <x v="2"/>
    <x v="0"/>
    <s v="Mozzarella Cheese, Pepperoni"/>
    <x v="3"/>
  </r>
  <r>
    <n v="21321"/>
    <n v="9349"/>
    <n v="1"/>
    <s v="big_meat_s"/>
    <n v="1"/>
    <x v="65"/>
    <x v="5"/>
    <x v="1862"/>
    <n v="12"/>
    <n v="12"/>
    <x v="1"/>
    <x v="0"/>
    <s v="Bacon, Pepperoni, Italian Sausage, Chorizo Sausage"/>
    <x v="4"/>
  </r>
  <r>
    <n v="21324"/>
    <n v="9350"/>
    <n v="1"/>
    <s v="pepperoni_m"/>
    <n v="1"/>
    <x v="65"/>
    <x v="5"/>
    <x v="1863"/>
    <n v="12.5"/>
    <n v="12.5"/>
    <x v="0"/>
    <x v="0"/>
    <s v="Mozzarella Cheese, Pepperoni"/>
    <x v="3"/>
  </r>
  <r>
    <n v="21329"/>
    <n v="9353"/>
    <n v="1"/>
    <s v="pepperoni_l"/>
    <n v="1"/>
    <x v="65"/>
    <x v="5"/>
    <x v="1864"/>
    <n v="15.25"/>
    <n v="15.25"/>
    <x v="2"/>
    <x v="0"/>
    <s v="Mozzarella Cheese, Pepperoni"/>
    <x v="3"/>
  </r>
  <r>
    <n v="21332"/>
    <n v="9354"/>
    <n v="1"/>
    <s v="mexicana_s"/>
    <n v="1"/>
    <x v="65"/>
    <x v="5"/>
    <x v="1865"/>
    <n v="12"/>
    <n v="12"/>
    <x v="1"/>
    <x v="1"/>
    <s v="Tomatoes, Red Peppers, Jalapeno Peppers, Red Onions, Cilantro, Corn, Chipotle Sauce, Garlic"/>
    <x v="1"/>
  </r>
  <r>
    <n v="21334"/>
    <n v="9355"/>
    <n v="1"/>
    <s v="the_greek_xl"/>
    <n v="1"/>
    <x v="65"/>
    <x v="5"/>
    <x v="1866"/>
    <n v="25.5"/>
    <n v="25.5"/>
    <x v="3"/>
    <x v="0"/>
    <s v="Kalamata Olives, Feta Cheese, Tomatoes, Garlic, Beef Chuck Roast, Red Onions"/>
    <x v="2"/>
  </r>
  <r>
    <n v="21336"/>
    <n v="9356"/>
    <n v="0.5"/>
    <s v="big_meat_s"/>
    <n v="1"/>
    <x v="65"/>
    <x v="5"/>
    <x v="1867"/>
    <n v="12"/>
    <n v="12"/>
    <x v="1"/>
    <x v="0"/>
    <s v="Bacon, Pepperoni, Italian Sausage, Chorizo Sausage"/>
    <x v="4"/>
  </r>
  <r>
    <n v="21338"/>
    <n v="9356"/>
    <n v="0.5"/>
    <s v="napolitana_m"/>
    <n v="1"/>
    <x v="65"/>
    <x v="5"/>
    <x v="1867"/>
    <n v="16"/>
    <n v="16"/>
    <x v="0"/>
    <x v="0"/>
    <s v="Tomatoes, Anchovies, Green Olives, Red Onions, Garlic"/>
    <x v="5"/>
  </r>
  <r>
    <n v="21341"/>
    <n v="9358"/>
    <n v="1"/>
    <s v="calabrese_m"/>
    <n v="1"/>
    <x v="65"/>
    <x v="5"/>
    <x v="1553"/>
    <n v="16.25"/>
    <n v="16.25"/>
    <x v="0"/>
    <x v="2"/>
    <s v="?duja Salami, Pancetta, Tomatoes, Red Onions, Friggitello Peppers, Garlic"/>
    <x v="6"/>
  </r>
  <r>
    <n v="21342"/>
    <n v="9359"/>
    <n v="1"/>
    <s v="hawaiian_m"/>
    <n v="1"/>
    <x v="65"/>
    <x v="5"/>
    <x v="1868"/>
    <n v="13.25"/>
    <n v="13.25"/>
    <x v="0"/>
    <x v="0"/>
    <s v="Sliced Ham, Pineapple, Mozzarella Cheese"/>
    <x v="0"/>
  </r>
  <r>
    <n v="21344"/>
    <n v="9360"/>
    <n v="1"/>
    <s v="brie_carre_s"/>
    <n v="1"/>
    <x v="65"/>
    <x v="5"/>
    <x v="1869"/>
    <n v="23.65"/>
    <n v="23.65"/>
    <x v="1"/>
    <x v="2"/>
    <s v="Brie Carre Cheese, Prosciutto, Caramelized Onions, Pears, Thyme, Garlic"/>
    <x v="8"/>
  </r>
  <r>
    <n v="21351"/>
    <n v="9363"/>
    <n v="1"/>
    <s v="sicilian_s"/>
    <n v="1"/>
    <x v="65"/>
    <x v="5"/>
    <x v="1870"/>
    <n v="12.25"/>
    <n v="12.25"/>
    <x v="1"/>
    <x v="2"/>
    <s v="Coarse Sicilian Salami, Tomatoes, Green Olives, Luganega Sausage, Onions, Garlic"/>
    <x v="7"/>
  </r>
  <r>
    <n v="21365"/>
    <n v="9369"/>
    <n v="1"/>
    <s v="the_greek_xl"/>
    <n v="1"/>
    <x v="65"/>
    <x v="5"/>
    <x v="1871"/>
    <n v="25.5"/>
    <n v="25.5"/>
    <x v="3"/>
    <x v="0"/>
    <s v="Kalamata Olives, Feta Cheese, Tomatoes, Garlic, Beef Chuck Roast, Red Onions"/>
    <x v="2"/>
  </r>
  <r>
    <n v="21368"/>
    <n v="9371"/>
    <n v="1"/>
    <s v="napolitana_s"/>
    <n v="1"/>
    <x v="65"/>
    <x v="5"/>
    <x v="1872"/>
    <n v="12"/>
    <n v="12"/>
    <x v="1"/>
    <x v="0"/>
    <s v="Tomatoes, Anchovies, Green Olives, Red Onions, Garlic"/>
    <x v="5"/>
  </r>
  <r>
    <n v="21369"/>
    <n v="9372"/>
    <n v="1"/>
    <s v="big_meat_s"/>
    <n v="1"/>
    <x v="65"/>
    <x v="5"/>
    <x v="1873"/>
    <n v="12"/>
    <n v="12"/>
    <x v="1"/>
    <x v="0"/>
    <s v="Bacon, Pepperoni, Italian Sausage, Chorizo Sausage"/>
    <x v="4"/>
  </r>
  <r>
    <n v="21375"/>
    <n v="9375"/>
    <n v="0.5"/>
    <s v="napolitana_l"/>
    <n v="1"/>
    <x v="65"/>
    <x v="5"/>
    <x v="1874"/>
    <n v="20.5"/>
    <n v="20.5"/>
    <x v="2"/>
    <x v="0"/>
    <s v="Tomatoes, Anchovies, Green Olives, Red Onions, Garlic"/>
    <x v="5"/>
  </r>
  <r>
    <n v="21376"/>
    <n v="9375"/>
    <n v="0.5"/>
    <s v="pepperoni_m"/>
    <n v="1"/>
    <x v="65"/>
    <x v="5"/>
    <x v="1874"/>
    <n v="12.5"/>
    <n v="12.5"/>
    <x v="0"/>
    <x v="0"/>
    <s v="Mozzarella Cheese, Pepperoni"/>
    <x v="3"/>
  </r>
  <r>
    <n v="21379"/>
    <n v="9377"/>
    <n v="1"/>
    <s v="napolitana_m"/>
    <n v="1"/>
    <x v="65"/>
    <x v="5"/>
    <x v="1875"/>
    <n v="16"/>
    <n v="16"/>
    <x v="0"/>
    <x v="0"/>
    <s v="Tomatoes, Anchovies, Green Olives, Red Onions, Garlic"/>
    <x v="5"/>
  </r>
  <r>
    <n v="21380"/>
    <n v="9378"/>
    <n v="1"/>
    <s v="the_greek_l"/>
    <n v="1"/>
    <x v="65"/>
    <x v="5"/>
    <x v="1876"/>
    <n v="20.5"/>
    <n v="20.5"/>
    <x v="2"/>
    <x v="0"/>
    <s v="Kalamata Olives, Feta Cheese, Tomatoes, Garlic, Beef Chuck Roast, Red Onions"/>
    <x v="2"/>
  </r>
  <r>
    <n v="21381"/>
    <n v="9379"/>
    <n v="1"/>
    <s v="big_meat_s"/>
    <n v="1"/>
    <x v="65"/>
    <x v="5"/>
    <x v="1877"/>
    <n v="12"/>
    <n v="12"/>
    <x v="1"/>
    <x v="0"/>
    <s v="Bacon, Pepperoni, Italian Sausage, Chorizo Sausage"/>
    <x v="4"/>
  </r>
  <r>
    <n v="21387"/>
    <n v="9382"/>
    <n v="1"/>
    <s v="napolitana_s"/>
    <n v="1"/>
    <x v="65"/>
    <x v="5"/>
    <x v="1878"/>
    <n v="12"/>
    <n v="12"/>
    <x v="1"/>
    <x v="0"/>
    <s v="Tomatoes, Anchovies, Green Olives, Red Onions, Garlic"/>
    <x v="5"/>
  </r>
  <r>
    <n v="21390"/>
    <n v="9384"/>
    <n v="0.5"/>
    <s v="big_meat_s"/>
    <n v="1"/>
    <x v="65"/>
    <x v="5"/>
    <x v="1879"/>
    <n v="12"/>
    <n v="12"/>
    <x v="1"/>
    <x v="0"/>
    <s v="Bacon, Pepperoni, Italian Sausage, Chorizo Sausage"/>
    <x v="4"/>
  </r>
  <r>
    <n v="21391"/>
    <n v="9384"/>
    <n v="0.5"/>
    <s v="pepperoni_m"/>
    <n v="1"/>
    <x v="65"/>
    <x v="5"/>
    <x v="1879"/>
    <n v="12.5"/>
    <n v="12.5"/>
    <x v="0"/>
    <x v="0"/>
    <s v="Mozzarella Cheese, Pepperoni"/>
    <x v="3"/>
  </r>
  <r>
    <n v="21395"/>
    <n v="9386"/>
    <n v="1"/>
    <s v="hawaiian_m"/>
    <n v="1"/>
    <x v="65"/>
    <x v="5"/>
    <x v="1880"/>
    <n v="13.25"/>
    <n v="13.25"/>
    <x v="0"/>
    <x v="0"/>
    <s v="Sliced Ham, Pineapple, Mozzarella Cheese"/>
    <x v="0"/>
  </r>
  <r>
    <n v="21399"/>
    <n v="9389"/>
    <n v="0.5"/>
    <s v="calabrese_l"/>
    <n v="1"/>
    <x v="65"/>
    <x v="5"/>
    <x v="1881"/>
    <n v="20.25"/>
    <n v="20.25"/>
    <x v="2"/>
    <x v="2"/>
    <s v="?duja Salami, Pancetta, Tomatoes, Red Onions, Friggitello Peppers, Garlic"/>
    <x v="6"/>
  </r>
  <r>
    <n v="21402"/>
    <n v="9389"/>
    <n v="0.5"/>
    <s v="mexicana_s"/>
    <n v="1"/>
    <x v="65"/>
    <x v="5"/>
    <x v="1881"/>
    <n v="12"/>
    <n v="12"/>
    <x v="1"/>
    <x v="1"/>
    <s v="Tomatoes, Red Peppers, Jalapeno Peppers, Red Onions, Cilantro, Corn, Chipotle Sauce, Garlic"/>
    <x v="1"/>
  </r>
  <r>
    <n v="21407"/>
    <n v="9391"/>
    <n v="1"/>
    <s v="big_meat_s"/>
    <n v="1"/>
    <x v="66"/>
    <x v="4"/>
    <x v="1882"/>
    <n v="12"/>
    <n v="12"/>
    <x v="1"/>
    <x v="0"/>
    <s v="Bacon, Pepperoni, Italian Sausage, Chorizo Sausage"/>
    <x v="4"/>
  </r>
  <r>
    <n v="21413"/>
    <n v="9395"/>
    <n v="1"/>
    <s v="big_meat_s"/>
    <n v="1"/>
    <x v="66"/>
    <x v="4"/>
    <x v="1883"/>
    <n v="12"/>
    <n v="12"/>
    <x v="1"/>
    <x v="0"/>
    <s v="Bacon, Pepperoni, Italian Sausage, Chorizo Sausage"/>
    <x v="4"/>
  </r>
  <r>
    <n v="21415"/>
    <n v="9396"/>
    <n v="0.5"/>
    <s v="big_meat_s"/>
    <n v="1"/>
    <x v="66"/>
    <x v="4"/>
    <x v="1884"/>
    <n v="12"/>
    <n v="12"/>
    <x v="1"/>
    <x v="0"/>
    <s v="Bacon, Pepperoni, Italian Sausage, Chorizo Sausage"/>
    <x v="4"/>
  </r>
  <r>
    <n v="21417"/>
    <n v="9396"/>
    <n v="0.5"/>
    <s v="sicilian_m"/>
    <n v="1"/>
    <x v="66"/>
    <x v="4"/>
    <x v="1884"/>
    <n v="16.25"/>
    <n v="16.25"/>
    <x v="0"/>
    <x v="2"/>
    <s v="Coarse Sicilian Salami, Tomatoes, Green Olives, Luganega Sausage, Onions, Garlic"/>
    <x v="7"/>
  </r>
  <r>
    <n v="21420"/>
    <n v="9397"/>
    <n v="0.5"/>
    <s v="calabrese_l"/>
    <n v="1"/>
    <x v="66"/>
    <x v="4"/>
    <x v="1885"/>
    <n v="20.25"/>
    <n v="20.25"/>
    <x v="2"/>
    <x v="2"/>
    <s v="?duja Salami, Pancetta, Tomatoes, Red Onions, Friggitello Peppers, Garlic"/>
    <x v="6"/>
  </r>
  <r>
    <n v="21421"/>
    <n v="9397"/>
    <n v="0.5"/>
    <s v="the_greek_l"/>
    <n v="1"/>
    <x v="66"/>
    <x v="4"/>
    <x v="1885"/>
    <n v="20.5"/>
    <n v="20.5"/>
    <x v="2"/>
    <x v="0"/>
    <s v="Kalamata Olives, Feta Cheese, Tomatoes, Garlic, Beef Chuck Roast, Red Onions"/>
    <x v="2"/>
  </r>
  <r>
    <n v="21428"/>
    <n v="9400"/>
    <n v="1"/>
    <s v="brie_carre_s"/>
    <n v="1"/>
    <x v="66"/>
    <x v="4"/>
    <x v="1886"/>
    <n v="23.65"/>
    <n v="23.65"/>
    <x v="1"/>
    <x v="2"/>
    <s v="Brie Carre Cheese, Prosciutto, Caramelized Onions, Pears, Thyme, Garlic"/>
    <x v="8"/>
  </r>
  <r>
    <n v="21441"/>
    <n v="9408"/>
    <n v="1"/>
    <s v="big_meat_s"/>
    <n v="1"/>
    <x v="66"/>
    <x v="4"/>
    <x v="1887"/>
    <n v="12"/>
    <n v="12"/>
    <x v="1"/>
    <x v="0"/>
    <s v="Bacon, Pepperoni, Italian Sausage, Chorizo Sausage"/>
    <x v="4"/>
  </r>
  <r>
    <n v="21445"/>
    <n v="9409"/>
    <n v="1"/>
    <s v="napolitana_l"/>
    <n v="1"/>
    <x v="66"/>
    <x v="4"/>
    <x v="1888"/>
    <n v="20.5"/>
    <n v="20.5"/>
    <x v="2"/>
    <x v="0"/>
    <s v="Tomatoes, Anchovies, Green Olives, Red Onions, Garlic"/>
    <x v="5"/>
  </r>
  <r>
    <n v="21449"/>
    <n v="9411"/>
    <n v="1"/>
    <s v="big_meat_s"/>
    <n v="1"/>
    <x v="66"/>
    <x v="4"/>
    <x v="1889"/>
    <n v="12"/>
    <n v="12"/>
    <x v="1"/>
    <x v="0"/>
    <s v="Bacon, Pepperoni, Italian Sausage, Chorizo Sausage"/>
    <x v="4"/>
  </r>
  <r>
    <n v="21453"/>
    <n v="9413"/>
    <n v="1"/>
    <s v="pepperoni_s"/>
    <n v="1"/>
    <x v="66"/>
    <x v="4"/>
    <x v="1890"/>
    <n v="9.75"/>
    <n v="9.75"/>
    <x v="1"/>
    <x v="0"/>
    <s v="Mozzarella Cheese, Pepperoni"/>
    <x v="3"/>
  </r>
  <r>
    <n v="21455"/>
    <n v="9414"/>
    <n v="1"/>
    <s v="hawaiian_s"/>
    <n v="1"/>
    <x v="66"/>
    <x v="4"/>
    <x v="1891"/>
    <n v="10.5"/>
    <n v="10.5"/>
    <x v="1"/>
    <x v="0"/>
    <s v="Sliced Ham, Pineapple, Mozzarella Cheese"/>
    <x v="0"/>
  </r>
  <r>
    <n v="21458"/>
    <n v="9415"/>
    <n v="0.5"/>
    <s v="hawaiian_s"/>
    <n v="1"/>
    <x v="66"/>
    <x v="4"/>
    <x v="1892"/>
    <n v="10.5"/>
    <n v="10.5"/>
    <x v="1"/>
    <x v="0"/>
    <s v="Sliced Ham, Pineapple, Mozzarella Cheese"/>
    <x v="0"/>
  </r>
  <r>
    <n v="21459"/>
    <n v="9415"/>
    <n v="0.5"/>
    <s v="sicilian_s"/>
    <n v="1"/>
    <x v="66"/>
    <x v="4"/>
    <x v="1892"/>
    <n v="12.25"/>
    <n v="12.25"/>
    <x v="1"/>
    <x v="2"/>
    <s v="Coarse Sicilian Salami, Tomatoes, Green Olives, Luganega Sausage, Onions, Garlic"/>
    <x v="7"/>
  </r>
  <r>
    <n v="21469"/>
    <n v="9421"/>
    <n v="1"/>
    <s v="mexicana_l"/>
    <n v="1"/>
    <x v="66"/>
    <x v="4"/>
    <x v="1893"/>
    <n v="20.25"/>
    <n v="20.25"/>
    <x v="2"/>
    <x v="1"/>
    <s v="Tomatoes, Red Peppers, Jalapeno Peppers, Red Onions, Cilantro, Corn, Chipotle Sauce, Garlic"/>
    <x v="1"/>
  </r>
  <r>
    <n v="21471"/>
    <n v="9422"/>
    <n v="0.33333333333333331"/>
    <s v="mexicana_m"/>
    <n v="1"/>
    <x v="66"/>
    <x v="4"/>
    <x v="1894"/>
    <n v="16"/>
    <n v="16"/>
    <x v="0"/>
    <x v="1"/>
    <s v="Tomatoes, Red Peppers, Jalapeno Peppers, Red Onions, Cilantro, Corn, Chipotle Sauce, Garlic"/>
    <x v="1"/>
  </r>
  <r>
    <n v="21472"/>
    <n v="9422"/>
    <n v="0.33333333333333331"/>
    <s v="napolitana_m"/>
    <n v="1"/>
    <x v="66"/>
    <x v="4"/>
    <x v="1894"/>
    <n v="16"/>
    <n v="16"/>
    <x v="0"/>
    <x v="0"/>
    <s v="Tomatoes, Anchovies, Green Olives, Red Onions, Garlic"/>
    <x v="5"/>
  </r>
  <r>
    <n v="21473"/>
    <n v="9422"/>
    <n v="0.33333333333333331"/>
    <s v="pepperoni_l"/>
    <n v="1"/>
    <x v="66"/>
    <x v="4"/>
    <x v="1894"/>
    <n v="15.25"/>
    <n v="15.25"/>
    <x v="2"/>
    <x v="0"/>
    <s v="Mozzarella Cheese, Pepperoni"/>
    <x v="3"/>
  </r>
  <r>
    <n v="21474"/>
    <n v="9423"/>
    <n v="0.5"/>
    <s v="hawaiian_l"/>
    <n v="1"/>
    <x v="66"/>
    <x v="4"/>
    <x v="1895"/>
    <n v="16.5"/>
    <n v="16.5"/>
    <x v="2"/>
    <x v="0"/>
    <s v="Sliced Ham, Pineapple, Mozzarella Cheese"/>
    <x v="0"/>
  </r>
  <r>
    <n v="21475"/>
    <n v="9423"/>
    <n v="0.5"/>
    <s v="pepperoni_l"/>
    <n v="1"/>
    <x v="66"/>
    <x v="4"/>
    <x v="1895"/>
    <n v="15.25"/>
    <n v="15.25"/>
    <x v="2"/>
    <x v="0"/>
    <s v="Mozzarella Cheese, Pepperoni"/>
    <x v="3"/>
  </r>
  <r>
    <n v="21478"/>
    <n v="9424"/>
    <n v="1"/>
    <s v="hawaiian_m"/>
    <n v="1"/>
    <x v="66"/>
    <x v="4"/>
    <x v="1896"/>
    <n v="13.25"/>
    <n v="13.25"/>
    <x v="0"/>
    <x v="0"/>
    <s v="Sliced Ham, Pineapple, Mozzarella Cheese"/>
    <x v="0"/>
  </r>
  <r>
    <n v="21480"/>
    <n v="9425"/>
    <n v="0.5"/>
    <s v="big_meat_s"/>
    <n v="1"/>
    <x v="66"/>
    <x v="4"/>
    <x v="1897"/>
    <n v="12"/>
    <n v="12"/>
    <x v="1"/>
    <x v="0"/>
    <s v="Bacon, Pepperoni, Italian Sausage, Chorizo Sausage"/>
    <x v="4"/>
  </r>
  <r>
    <n v="21482"/>
    <n v="9425"/>
    <n v="0.5"/>
    <s v="pepperoni_m"/>
    <n v="1"/>
    <x v="66"/>
    <x v="4"/>
    <x v="1897"/>
    <n v="12.5"/>
    <n v="12.5"/>
    <x v="0"/>
    <x v="0"/>
    <s v="Mozzarella Cheese, Pepperoni"/>
    <x v="3"/>
  </r>
  <r>
    <n v="21484"/>
    <n v="9426"/>
    <n v="0.5"/>
    <s v="big_meat_s"/>
    <n v="1"/>
    <x v="66"/>
    <x v="4"/>
    <x v="1898"/>
    <n v="12"/>
    <n v="12"/>
    <x v="1"/>
    <x v="0"/>
    <s v="Bacon, Pepperoni, Italian Sausage, Chorizo Sausage"/>
    <x v="4"/>
  </r>
  <r>
    <n v="21485"/>
    <n v="9426"/>
    <n v="0.5"/>
    <s v="the_greek_xl"/>
    <n v="1"/>
    <x v="66"/>
    <x v="4"/>
    <x v="1898"/>
    <n v="25.5"/>
    <n v="25.5"/>
    <x v="3"/>
    <x v="0"/>
    <s v="Kalamata Olives, Feta Cheese, Tomatoes, Garlic, Beef Chuck Roast, Red Onions"/>
    <x v="2"/>
  </r>
  <r>
    <n v="21488"/>
    <n v="9429"/>
    <n v="0.5"/>
    <s v="brie_carre_s"/>
    <n v="1"/>
    <x v="66"/>
    <x v="4"/>
    <x v="1899"/>
    <n v="23.65"/>
    <n v="23.65"/>
    <x v="1"/>
    <x v="2"/>
    <s v="Brie Carre Cheese, Prosciutto, Caramelized Onions, Pears, Thyme, Garlic"/>
    <x v="8"/>
  </r>
  <r>
    <n v="21491"/>
    <n v="9429"/>
    <n v="0.5"/>
    <s v="the_greek_l"/>
    <n v="1"/>
    <x v="66"/>
    <x v="4"/>
    <x v="1899"/>
    <n v="20.5"/>
    <n v="20.5"/>
    <x v="2"/>
    <x v="0"/>
    <s v="Kalamata Olives, Feta Cheese, Tomatoes, Garlic, Beef Chuck Roast, Red Onions"/>
    <x v="2"/>
  </r>
  <r>
    <n v="21495"/>
    <n v="9431"/>
    <n v="0.33333333333333331"/>
    <s v="mexicana_l"/>
    <n v="1"/>
    <x v="66"/>
    <x v="4"/>
    <x v="1900"/>
    <n v="20.25"/>
    <n v="20.25"/>
    <x v="2"/>
    <x v="1"/>
    <s v="Tomatoes, Red Peppers, Jalapeno Peppers, Red Onions, Cilantro, Corn, Chipotle Sauce, Garlic"/>
    <x v="1"/>
  </r>
  <r>
    <n v="21496"/>
    <n v="9431"/>
    <n v="0.33333333333333331"/>
    <s v="pepperoni_m"/>
    <n v="1"/>
    <x v="66"/>
    <x v="4"/>
    <x v="1900"/>
    <n v="12.5"/>
    <n v="12.5"/>
    <x v="0"/>
    <x v="0"/>
    <s v="Mozzarella Cheese, Pepperoni"/>
    <x v="3"/>
  </r>
  <r>
    <n v="21497"/>
    <n v="9431"/>
    <n v="0.33333333333333331"/>
    <s v="the_greek_l"/>
    <n v="1"/>
    <x v="66"/>
    <x v="4"/>
    <x v="1900"/>
    <n v="20.5"/>
    <n v="20.5"/>
    <x v="2"/>
    <x v="0"/>
    <s v="Kalamata Olives, Feta Cheese, Tomatoes, Garlic, Beef Chuck Roast, Red Onions"/>
    <x v="2"/>
  </r>
  <r>
    <n v="21502"/>
    <n v="9435"/>
    <n v="1"/>
    <s v="napolitana_l"/>
    <n v="1"/>
    <x v="66"/>
    <x v="4"/>
    <x v="1901"/>
    <n v="20.5"/>
    <n v="20.5"/>
    <x v="2"/>
    <x v="0"/>
    <s v="Tomatoes, Anchovies, Green Olives, Red Onions, Garlic"/>
    <x v="5"/>
  </r>
  <r>
    <n v="21504"/>
    <n v="9436"/>
    <n v="1"/>
    <s v="big_meat_s"/>
    <n v="1"/>
    <x v="66"/>
    <x v="4"/>
    <x v="1902"/>
    <n v="12"/>
    <n v="12"/>
    <x v="1"/>
    <x v="0"/>
    <s v="Bacon, Pepperoni, Italian Sausage, Chorizo Sausage"/>
    <x v="4"/>
  </r>
  <r>
    <n v="21509"/>
    <n v="9438"/>
    <n v="1"/>
    <s v="pepperoni_s"/>
    <n v="1"/>
    <x v="66"/>
    <x v="4"/>
    <x v="1903"/>
    <n v="9.75"/>
    <n v="9.75"/>
    <x v="1"/>
    <x v="0"/>
    <s v="Mozzarella Cheese, Pepperoni"/>
    <x v="3"/>
  </r>
  <r>
    <n v="21510"/>
    <n v="9439"/>
    <n v="1"/>
    <s v="mexicana_m"/>
    <n v="1"/>
    <x v="66"/>
    <x v="4"/>
    <x v="1904"/>
    <n v="16"/>
    <n v="16"/>
    <x v="0"/>
    <x v="1"/>
    <s v="Tomatoes, Red Peppers, Jalapeno Peppers, Red Onions, Cilantro, Corn, Chipotle Sauce, Garlic"/>
    <x v="1"/>
  </r>
  <r>
    <n v="21513"/>
    <n v="9441"/>
    <n v="1"/>
    <s v="hawaiian_m"/>
    <n v="1"/>
    <x v="66"/>
    <x v="4"/>
    <x v="1905"/>
    <n v="13.25"/>
    <n v="13.25"/>
    <x v="0"/>
    <x v="0"/>
    <s v="Sliced Ham, Pineapple, Mozzarella Cheese"/>
    <x v="0"/>
  </r>
  <r>
    <n v="21517"/>
    <n v="9443"/>
    <n v="1"/>
    <s v="calabrese_m"/>
    <n v="1"/>
    <x v="66"/>
    <x v="4"/>
    <x v="1906"/>
    <n v="16.25"/>
    <n v="16.25"/>
    <x v="0"/>
    <x v="2"/>
    <s v="?duja Salami, Pancetta, Tomatoes, Red Onions, Friggitello Peppers, Garlic"/>
    <x v="6"/>
  </r>
  <r>
    <n v="21525"/>
    <n v="9446"/>
    <n v="1"/>
    <s v="hawaiian_l"/>
    <n v="2"/>
    <x v="67"/>
    <x v="0"/>
    <x v="1907"/>
    <n v="16.5"/>
    <n v="33"/>
    <x v="2"/>
    <x v="0"/>
    <s v="Sliced Ham, Pineapple, Mozzarella Cheese"/>
    <x v="0"/>
  </r>
  <r>
    <n v="21527"/>
    <n v="9448"/>
    <n v="1"/>
    <s v="big_meat_s"/>
    <n v="1"/>
    <x v="67"/>
    <x v="0"/>
    <x v="1908"/>
    <n v="12"/>
    <n v="12"/>
    <x v="1"/>
    <x v="0"/>
    <s v="Bacon, Pepperoni, Italian Sausage, Chorizo Sausage"/>
    <x v="4"/>
  </r>
  <r>
    <n v="21529"/>
    <n v="9449"/>
    <n v="1"/>
    <s v="mexicana_l"/>
    <n v="1"/>
    <x v="67"/>
    <x v="0"/>
    <x v="1909"/>
    <n v="20.25"/>
    <n v="20.25"/>
    <x v="2"/>
    <x v="1"/>
    <s v="Tomatoes, Red Peppers, Jalapeno Peppers, Red Onions, Cilantro, Corn, Chipotle Sauce, Garlic"/>
    <x v="1"/>
  </r>
  <r>
    <n v="21534"/>
    <n v="9451"/>
    <n v="1"/>
    <s v="pepperoni_s"/>
    <n v="1"/>
    <x v="67"/>
    <x v="0"/>
    <x v="1910"/>
    <n v="9.75"/>
    <n v="9.75"/>
    <x v="1"/>
    <x v="0"/>
    <s v="Mozzarella Cheese, Pepperoni"/>
    <x v="3"/>
  </r>
  <r>
    <n v="21537"/>
    <n v="9452"/>
    <n v="1"/>
    <s v="pepperoni_m"/>
    <n v="1"/>
    <x v="67"/>
    <x v="0"/>
    <x v="1911"/>
    <n v="12.5"/>
    <n v="12.5"/>
    <x v="0"/>
    <x v="0"/>
    <s v="Mozzarella Cheese, Pepperoni"/>
    <x v="3"/>
  </r>
  <r>
    <n v="21549"/>
    <n v="9462"/>
    <n v="0.5"/>
    <s v="big_meat_s"/>
    <n v="1"/>
    <x v="67"/>
    <x v="0"/>
    <x v="1912"/>
    <n v="12"/>
    <n v="12"/>
    <x v="1"/>
    <x v="0"/>
    <s v="Bacon, Pepperoni, Italian Sausage, Chorizo Sausage"/>
    <x v="4"/>
  </r>
  <r>
    <n v="21550"/>
    <n v="9462"/>
    <n v="0.5"/>
    <s v="pepperoni_s"/>
    <n v="1"/>
    <x v="67"/>
    <x v="0"/>
    <x v="1912"/>
    <n v="9.75"/>
    <n v="9.75"/>
    <x v="1"/>
    <x v="0"/>
    <s v="Mozzarella Cheese, Pepperoni"/>
    <x v="3"/>
  </r>
  <r>
    <n v="21555"/>
    <n v="9463"/>
    <n v="0.16666666666666666"/>
    <s v="big_meat_s"/>
    <n v="1"/>
    <x v="67"/>
    <x v="0"/>
    <x v="1913"/>
    <n v="12"/>
    <n v="12"/>
    <x v="1"/>
    <x v="0"/>
    <s v="Bacon, Pepperoni, Italian Sausage, Chorizo Sausage"/>
    <x v="4"/>
  </r>
  <r>
    <n v="21558"/>
    <n v="9463"/>
    <n v="0.16666666666666666"/>
    <s v="hawaiian_l"/>
    <n v="1"/>
    <x v="67"/>
    <x v="0"/>
    <x v="1913"/>
    <n v="16.5"/>
    <n v="16.5"/>
    <x v="2"/>
    <x v="0"/>
    <s v="Sliced Ham, Pineapple, Mozzarella Cheese"/>
    <x v="0"/>
  </r>
  <r>
    <n v="21559"/>
    <n v="9463"/>
    <n v="0.16666666666666666"/>
    <s v="hawaiian_s"/>
    <n v="1"/>
    <x v="67"/>
    <x v="0"/>
    <x v="1913"/>
    <n v="10.5"/>
    <n v="10.5"/>
    <x v="1"/>
    <x v="0"/>
    <s v="Sliced Ham, Pineapple, Mozzarella Cheese"/>
    <x v="0"/>
  </r>
  <r>
    <n v="21562"/>
    <n v="9463"/>
    <n v="0.16666666666666666"/>
    <s v="mexicana_m"/>
    <n v="1"/>
    <x v="67"/>
    <x v="0"/>
    <x v="1913"/>
    <n v="16"/>
    <n v="16"/>
    <x v="0"/>
    <x v="1"/>
    <s v="Tomatoes, Red Peppers, Jalapeno Peppers, Red Onions, Cilantro, Corn, Chipotle Sauce, Garlic"/>
    <x v="1"/>
  </r>
  <r>
    <n v="21563"/>
    <n v="9463"/>
    <n v="0.16666666666666666"/>
    <s v="napolitana_l"/>
    <n v="2"/>
    <x v="67"/>
    <x v="0"/>
    <x v="1913"/>
    <n v="20.5"/>
    <n v="41"/>
    <x v="2"/>
    <x v="0"/>
    <s v="Tomatoes, Anchovies, Green Olives, Red Onions, Garlic"/>
    <x v="5"/>
  </r>
  <r>
    <n v="21564"/>
    <n v="9463"/>
    <n v="0.16666666666666666"/>
    <s v="pepperoni_m"/>
    <n v="1"/>
    <x v="67"/>
    <x v="0"/>
    <x v="1913"/>
    <n v="12.5"/>
    <n v="12.5"/>
    <x v="0"/>
    <x v="0"/>
    <s v="Mozzarella Cheese, Pepperoni"/>
    <x v="3"/>
  </r>
  <r>
    <n v="21569"/>
    <n v="9465"/>
    <n v="0.5"/>
    <s v="hawaiian_s"/>
    <n v="1"/>
    <x v="67"/>
    <x v="0"/>
    <x v="1914"/>
    <n v="10.5"/>
    <n v="10.5"/>
    <x v="1"/>
    <x v="0"/>
    <s v="Sliced Ham, Pineapple, Mozzarella Cheese"/>
    <x v="0"/>
  </r>
  <r>
    <n v="21571"/>
    <n v="9465"/>
    <n v="0.5"/>
    <s v="the_greek_l"/>
    <n v="1"/>
    <x v="67"/>
    <x v="0"/>
    <x v="1914"/>
    <n v="20.5"/>
    <n v="20.5"/>
    <x v="2"/>
    <x v="0"/>
    <s v="Kalamata Olives, Feta Cheese, Tomatoes, Garlic, Beef Chuck Roast, Red Onions"/>
    <x v="2"/>
  </r>
  <r>
    <n v="21574"/>
    <n v="9467"/>
    <n v="1"/>
    <s v="sicilian_s"/>
    <n v="1"/>
    <x v="67"/>
    <x v="0"/>
    <x v="1915"/>
    <n v="12.25"/>
    <n v="12.25"/>
    <x v="1"/>
    <x v="2"/>
    <s v="Coarse Sicilian Salami, Tomatoes, Green Olives, Luganega Sausage, Onions, Garlic"/>
    <x v="7"/>
  </r>
  <r>
    <n v="21576"/>
    <n v="9468"/>
    <n v="1"/>
    <s v="big_meat_s"/>
    <n v="1"/>
    <x v="67"/>
    <x v="0"/>
    <x v="1916"/>
    <n v="12"/>
    <n v="12"/>
    <x v="1"/>
    <x v="0"/>
    <s v="Bacon, Pepperoni, Italian Sausage, Chorizo Sausage"/>
    <x v="4"/>
  </r>
  <r>
    <n v="21580"/>
    <n v="9471"/>
    <n v="0.33333333333333331"/>
    <s v="big_meat_s"/>
    <n v="1"/>
    <x v="67"/>
    <x v="0"/>
    <x v="1917"/>
    <n v="12"/>
    <n v="12"/>
    <x v="1"/>
    <x v="0"/>
    <s v="Bacon, Pepperoni, Italian Sausage, Chorizo Sausage"/>
    <x v="4"/>
  </r>
  <r>
    <n v="21581"/>
    <n v="9471"/>
    <n v="0.33333333333333331"/>
    <s v="pepperoni_m"/>
    <n v="1"/>
    <x v="67"/>
    <x v="0"/>
    <x v="1917"/>
    <n v="12.5"/>
    <n v="12.5"/>
    <x v="0"/>
    <x v="0"/>
    <s v="Mozzarella Cheese, Pepperoni"/>
    <x v="3"/>
  </r>
  <r>
    <n v="21582"/>
    <n v="9471"/>
    <n v="0.33333333333333331"/>
    <s v="pepperoni_s"/>
    <n v="1"/>
    <x v="67"/>
    <x v="0"/>
    <x v="1917"/>
    <n v="9.75"/>
    <n v="9.75"/>
    <x v="1"/>
    <x v="0"/>
    <s v="Mozzarella Cheese, Pepperoni"/>
    <x v="3"/>
  </r>
  <r>
    <n v="21585"/>
    <n v="9472"/>
    <n v="1"/>
    <s v="sicilian_m"/>
    <n v="1"/>
    <x v="67"/>
    <x v="0"/>
    <x v="1918"/>
    <n v="16.25"/>
    <n v="16.25"/>
    <x v="0"/>
    <x v="2"/>
    <s v="Coarse Sicilian Salami, Tomatoes, Green Olives, Luganega Sausage, Onions, Garlic"/>
    <x v="7"/>
  </r>
  <r>
    <n v="21588"/>
    <n v="9473"/>
    <n v="1"/>
    <s v="hawaiian_s"/>
    <n v="1"/>
    <x v="67"/>
    <x v="0"/>
    <x v="1919"/>
    <n v="10.5"/>
    <n v="10.5"/>
    <x v="1"/>
    <x v="0"/>
    <s v="Sliced Ham, Pineapple, Mozzarella Cheese"/>
    <x v="0"/>
  </r>
  <r>
    <n v="21590"/>
    <n v="9475"/>
    <n v="1"/>
    <s v="hawaiian_m"/>
    <n v="1"/>
    <x v="67"/>
    <x v="0"/>
    <x v="1920"/>
    <n v="13.25"/>
    <n v="13.25"/>
    <x v="0"/>
    <x v="0"/>
    <s v="Sliced Ham, Pineapple, Mozzarella Cheese"/>
    <x v="0"/>
  </r>
  <r>
    <n v="21595"/>
    <n v="9478"/>
    <n v="1"/>
    <s v="big_meat_s"/>
    <n v="1"/>
    <x v="67"/>
    <x v="0"/>
    <x v="1921"/>
    <n v="12"/>
    <n v="12"/>
    <x v="1"/>
    <x v="0"/>
    <s v="Bacon, Pepperoni, Italian Sausage, Chorizo Sausage"/>
    <x v="4"/>
  </r>
  <r>
    <n v="21602"/>
    <n v="9481"/>
    <n v="1"/>
    <s v="pepperoni_s"/>
    <n v="1"/>
    <x v="67"/>
    <x v="0"/>
    <x v="1922"/>
    <n v="9.75"/>
    <n v="9.75"/>
    <x v="1"/>
    <x v="0"/>
    <s v="Mozzarella Cheese, Pepperoni"/>
    <x v="3"/>
  </r>
  <r>
    <n v="21606"/>
    <n v="9482"/>
    <n v="1"/>
    <s v="pepperoni_l"/>
    <n v="1"/>
    <x v="67"/>
    <x v="0"/>
    <x v="1923"/>
    <n v="15.25"/>
    <n v="15.25"/>
    <x v="2"/>
    <x v="0"/>
    <s v="Mozzarella Cheese, Pepperoni"/>
    <x v="3"/>
  </r>
  <r>
    <n v="21608"/>
    <n v="9483"/>
    <n v="1"/>
    <s v="the_greek_xl"/>
    <n v="2"/>
    <x v="67"/>
    <x v="0"/>
    <x v="1924"/>
    <n v="25.5"/>
    <n v="51"/>
    <x v="3"/>
    <x v="0"/>
    <s v="Kalamata Olives, Feta Cheese, Tomatoes, Garlic, Beef Chuck Roast, Red Onions"/>
    <x v="2"/>
  </r>
  <r>
    <n v="21620"/>
    <n v="9489"/>
    <n v="1"/>
    <s v="hawaiian_s"/>
    <n v="1"/>
    <x v="67"/>
    <x v="0"/>
    <x v="1925"/>
    <n v="10.5"/>
    <n v="10.5"/>
    <x v="1"/>
    <x v="0"/>
    <s v="Sliced Ham, Pineapple, Mozzarella Cheese"/>
    <x v="0"/>
  </r>
  <r>
    <n v="21623"/>
    <n v="9491"/>
    <n v="1"/>
    <s v="mexicana_m"/>
    <n v="1"/>
    <x v="67"/>
    <x v="0"/>
    <x v="1926"/>
    <n v="16"/>
    <n v="16"/>
    <x v="0"/>
    <x v="1"/>
    <s v="Tomatoes, Red Peppers, Jalapeno Peppers, Red Onions, Cilantro, Corn, Chipotle Sauce, Garlic"/>
    <x v="1"/>
  </r>
  <r>
    <n v="21626"/>
    <n v="9493"/>
    <n v="1"/>
    <s v="brie_carre_s"/>
    <n v="1"/>
    <x v="67"/>
    <x v="0"/>
    <x v="1927"/>
    <n v="23.65"/>
    <n v="23.65"/>
    <x v="1"/>
    <x v="2"/>
    <s v="Brie Carre Cheese, Prosciutto, Caramelized Onions, Pears, Thyme, Garlic"/>
    <x v="8"/>
  </r>
  <r>
    <n v="21631"/>
    <n v="9496"/>
    <n v="0.33333333333333331"/>
    <s v="big_meat_s"/>
    <n v="1"/>
    <x v="67"/>
    <x v="0"/>
    <x v="1928"/>
    <n v="12"/>
    <n v="12"/>
    <x v="1"/>
    <x v="0"/>
    <s v="Bacon, Pepperoni, Italian Sausage, Chorizo Sausage"/>
    <x v="4"/>
  </r>
  <r>
    <n v="21632"/>
    <n v="9496"/>
    <n v="0.33333333333333331"/>
    <s v="hawaiian_m"/>
    <n v="1"/>
    <x v="67"/>
    <x v="0"/>
    <x v="1928"/>
    <n v="13.25"/>
    <n v="13.25"/>
    <x v="0"/>
    <x v="0"/>
    <s v="Sliced Ham, Pineapple, Mozzarella Cheese"/>
    <x v="0"/>
  </r>
  <r>
    <n v="21633"/>
    <n v="9496"/>
    <n v="0.33333333333333331"/>
    <s v="sicilian_l"/>
    <n v="1"/>
    <x v="67"/>
    <x v="0"/>
    <x v="1928"/>
    <n v="20.25"/>
    <n v="20.25"/>
    <x v="2"/>
    <x v="2"/>
    <s v="Coarse Sicilian Salami, Tomatoes, Green Olives, Luganega Sausage, Onions, Garlic"/>
    <x v="7"/>
  </r>
  <r>
    <n v="21635"/>
    <n v="9497"/>
    <n v="0.5"/>
    <s v="hawaiian_m"/>
    <n v="1"/>
    <x v="67"/>
    <x v="0"/>
    <x v="1929"/>
    <n v="13.25"/>
    <n v="13.25"/>
    <x v="0"/>
    <x v="0"/>
    <s v="Sliced Ham, Pineapple, Mozzarella Cheese"/>
    <x v="0"/>
  </r>
  <r>
    <n v="21636"/>
    <n v="9497"/>
    <n v="0.5"/>
    <s v="mexicana_m"/>
    <n v="1"/>
    <x v="67"/>
    <x v="0"/>
    <x v="1929"/>
    <n v="16"/>
    <n v="16"/>
    <x v="0"/>
    <x v="1"/>
    <s v="Tomatoes, Red Peppers, Jalapeno Peppers, Red Onions, Cilantro, Corn, Chipotle Sauce, Garlic"/>
    <x v="1"/>
  </r>
  <r>
    <n v="21637"/>
    <n v="9498"/>
    <n v="0.5"/>
    <s v="calabrese_l"/>
    <n v="1"/>
    <x v="67"/>
    <x v="0"/>
    <x v="1930"/>
    <n v="20.25"/>
    <n v="20.25"/>
    <x v="2"/>
    <x v="2"/>
    <s v="?duja Salami, Pancetta, Tomatoes, Red Onions, Friggitello Peppers, Garlic"/>
    <x v="6"/>
  </r>
  <r>
    <n v="21638"/>
    <n v="9498"/>
    <n v="0.5"/>
    <s v="pepperoni_s"/>
    <n v="1"/>
    <x v="67"/>
    <x v="0"/>
    <x v="1930"/>
    <n v="9.75"/>
    <n v="9.75"/>
    <x v="1"/>
    <x v="0"/>
    <s v="Mozzarella Cheese, Pepperoni"/>
    <x v="3"/>
  </r>
  <r>
    <n v="21643"/>
    <n v="9500"/>
    <n v="1"/>
    <s v="calabrese_m"/>
    <n v="1"/>
    <x v="67"/>
    <x v="0"/>
    <x v="1931"/>
    <n v="16.25"/>
    <n v="16.25"/>
    <x v="0"/>
    <x v="2"/>
    <s v="?duja Salami, Pancetta, Tomatoes, Red Onions, Friggitello Peppers, Garlic"/>
    <x v="6"/>
  </r>
  <r>
    <n v="21645"/>
    <n v="9501"/>
    <n v="1"/>
    <s v="calabrese_m"/>
    <n v="1"/>
    <x v="67"/>
    <x v="0"/>
    <x v="1932"/>
    <n v="16.25"/>
    <n v="16.25"/>
    <x v="0"/>
    <x v="2"/>
    <s v="?duja Salami, Pancetta, Tomatoes, Red Onions, Friggitello Peppers, Garlic"/>
    <x v="6"/>
  </r>
  <r>
    <n v="21656"/>
    <n v="9506"/>
    <n v="0.5"/>
    <s v="hawaiian_m"/>
    <n v="1"/>
    <x v="68"/>
    <x v="1"/>
    <x v="1933"/>
    <n v="13.25"/>
    <n v="13.25"/>
    <x v="0"/>
    <x v="0"/>
    <s v="Sliced Ham, Pineapple, Mozzarella Cheese"/>
    <x v="0"/>
  </r>
  <r>
    <n v="21657"/>
    <n v="9506"/>
    <n v="0.5"/>
    <s v="napolitana_s"/>
    <n v="1"/>
    <x v="68"/>
    <x v="1"/>
    <x v="1933"/>
    <n v="12"/>
    <n v="12"/>
    <x v="1"/>
    <x v="0"/>
    <s v="Tomatoes, Anchovies, Green Olives, Red Onions, Garlic"/>
    <x v="5"/>
  </r>
  <r>
    <n v="21661"/>
    <n v="9507"/>
    <n v="0.5"/>
    <s v="hawaiian_m"/>
    <n v="1"/>
    <x v="68"/>
    <x v="1"/>
    <x v="1934"/>
    <n v="13.25"/>
    <n v="13.25"/>
    <x v="0"/>
    <x v="0"/>
    <s v="Sliced Ham, Pineapple, Mozzarella Cheese"/>
    <x v="0"/>
  </r>
  <r>
    <n v="21664"/>
    <n v="9507"/>
    <n v="0.5"/>
    <s v="the_greek_l"/>
    <n v="1"/>
    <x v="68"/>
    <x v="1"/>
    <x v="1934"/>
    <n v="20.5"/>
    <n v="20.5"/>
    <x v="2"/>
    <x v="0"/>
    <s v="Kalamata Olives, Feta Cheese, Tomatoes, Garlic, Beef Chuck Roast, Red Onions"/>
    <x v="2"/>
  </r>
  <r>
    <n v="21680"/>
    <n v="9514"/>
    <n v="0.5"/>
    <s v="napolitana_l"/>
    <n v="1"/>
    <x v="68"/>
    <x v="1"/>
    <x v="1935"/>
    <n v="20.5"/>
    <n v="20.5"/>
    <x v="2"/>
    <x v="0"/>
    <s v="Tomatoes, Anchovies, Green Olives, Red Onions, Garlic"/>
    <x v="5"/>
  </r>
  <r>
    <n v="21681"/>
    <n v="9514"/>
    <n v="0.5"/>
    <s v="napolitana_m"/>
    <n v="1"/>
    <x v="68"/>
    <x v="1"/>
    <x v="1935"/>
    <n v="16"/>
    <n v="16"/>
    <x v="0"/>
    <x v="0"/>
    <s v="Tomatoes, Anchovies, Green Olives, Red Onions, Garlic"/>
    <x v="5"/>
  </r>
  <r>
    <n v="21686"/>
    <n v="9516"/>
    <n v="1"/>
    <s v="brie_carre_s"/>
    <n v="1"/>
    <x v="68"/>
    <x v="1"/>
    <x v="1088"/>
    <n v="23.65"/>
    <n v="23.65"/>
    <x v="1"/>
    <x v="2"/>
    <s v="Brie Carre Cheese, Prosciutto, Caramelized Onions, Pears, Thyme, Garlic"/>
    <x v="8"/>
  </r>
  <r>
    <n v="21695"/>
    <n v="9523"/>
    <n v="1"/>
    <s v="napolitana_s"/>
    <n v="1"/>
    <x v="68"/>
    <x v="1"/>
    <x v="1936"/>
    <n v="12"/>
    <n v="12"/>
    <x v="1"/>
    <x v="0"/>
    <s v="Tomatoes, Anchovies, Green Olives, Red Onions, Garlic"/>
    <x v="5"/>
  </r>
  <r>
    <n v="21699"/>
    <n v="9524"/>
    <n v="1"/>
    <s v="mexicana_l"/>
    <n v="1"/>
    <x v="68"/>
    <x v="1"/>
    <x v="1937"/>
    <n v="20.25"/>
    <n v="20.25"/>
    <x v="2"/>
    <x v="1"/>
    <s v="Tomatoes, Red Peppers, Jalapeno Peppers, Red Onions, Cilantro, Corn, Chipotle Sauce, Garlic"/>
    <x v="1"/>
  </r>
  <r>
    <n v="21702"/>
    <n v="9525"/>
    <n v="1"/>
    <s v="hawaiian_s"/>
    <n v="1"/>
    <x v="68"/>
    <x v="1"/>
    <x v="13"/>
    <n v="10.5"/>
    <n v="10.5"/>
    <x v="1"/>
    <x v="0"/>
    <s v="Sliced Ham, Pineapple, Mozzarella Cheese"/>
    <x v="0"/>
  </r>
  <r>
    <n v="21710"/>
    <n v="9528"/>
    <n v="1"/>
    <s v="napolitana_s"/>
    <n v="1"/>
    <x v="68"/>
    <x v="1"/>
    <x v="1938"/>
    <n v="12"/>
    <n v="12"/>
    <x v="1"/>
    <x v="0"/>
    <s v="Tomatoes, Anchovies, Green Olives, Red Onions, Garlic"/>
    <x v="5"/>
  </r>
  <r>
    <n v="21713"/>
    <n v="9531"/>
    <n v="0.5"/>
    <s v="sicilian_l"/>
    <n v="1"/>
    <x v="68"/>
    <x v="1"/>
    <x v="1939"/>
    <n v="20.25"/>
    <n v="20.25"/>
    <x v="2"/>
    <x v="2"/>
    <s v="Coarse Sicilian Salami, Tomatoes, Green Olives, Luganega Sausage, Onions, Garlic"/>
    <x v="7"/>
  </r>
  <r>
    <n v="21714"/>
    <n v="9531"/>
    <n v="0.5"/>
    <s v="sicilian_s"/>
    <n v="1"/>
    <x v="68"/>
    <x v="1"/>
    <x v="1939"/>
    <n v="12.25"/>
    <n v="12.25"/>
    <x v="1"/>
    <x v="2"/>
    <s v="Coarse Sicilian Salami, Tomatoes, Green Olives, Luganega Sausage, Onions, Garlic"/>
    <x v="7"/>
  </r>
  <r>
    <n v="21718"/>
    <n v="9533"/>
    <n v="1"/>
    <s v="brie_carre_s"/>
    <n v="1"/>
    <x v="68"/>
    <x v="1"/>
    <x v="1940"/>
    <n v="23.65"/>
    <n v="23.65"/>
    <x v="1"/>
    <x v="2"/>
    <s v="Brie Carre Cheese, Prosciutto, Caramelized Onions, Pears, Thyme, Garlic"/>
    <x v="8"/>
  </r>
  <r>
    <n v="21723"/>
    <n v="9535"/>
    <n v="1"/>
    <s v="mexicana_l"/>
    <n v="1"/>
    <x v="68"/>
    <x v="1"/>
    <x v="1941"/>
    <n v="20.25"/>
    <n v="20.25"/>
    <x v="2"/>
    <x v="1"/>
    <s v="Tomatoes, Red Peppers, Jalapeno Peppers, Red Onions, Cilantro, Corn, Chipotle Sauce, Garlic"/>
    <x v="1"/>
  </r>
  <r>
    <n v="21725"/>
    <n v="9536"/>
    <n v="1"/>
    <s v="the_greek_m"/>
    <n v="1"/>
    <x v="68"/>
    <x v="1"/>
    <x v="1942"/>
    <n v="16"/>
    <n v="16"/>
    <x v="0"/>
    <x v="0"/>
    <s v="Kalamata Olives, Feta Cheese, Tomatoes, Garlic, Beef Chuck Roast, Red Onions"/>
    <x v="2"/>
  </r>
  <r>
    <n v="21728"/>
    <n v="9538"/>
    <n v="1"/>
    <s v="calabrese_m"/>
    <n v="1"/>
    <x v="68"/>
    <x v="1"/>
    <x v="1943"/>
    <n v="16.25"/>
    <n v="16.25"/>
    <x v="0"/>
    <x v="2"/>
    <s v="?duja Salami, Pancetta, Tomatoes, Red Onions, Friggitello Peppers, Garlic"/>
    <x v="6"/>
  </r>
  <r>
    <n v="21733"/>
    <n v="9541"/>
    <n v="0.5"/>
    <s v="big_meat_s"/>
    <n v="1"/>
    <x v="68"/>
    <x v="1"/>
    <x v="1944"/>
    <n v="12"/>
    <n v="12"/>
    <x v="1"/>
    <x v="0"/>
    <s v="Bacon, Pepperoni, Italian Sausage, Chorizo Sausage"/>
    <x v="4"/>
  </r>
  <r>
    <n v="21734"/>
    <n v="9541"/>
    <n v="0.5"/>
    <s v="pepperoni_m"/>
    <n v="1"/>
    <x v="68"/>
    <x v="1"/>
    <x v="1944"/>
    <n v="12.5"/>
    <n v="12.5"/>
    <x v="0"/>
    <x v="0"/>
    <s v="Mozzarella Cheese, Pepperoni"/>
    <x v="3"/>
  </r>
  <r>
    <n v="21738"/>
    <n v="9543"/>
    <n v="1"/>
    <s v="sicilian_l"/>
    <n v="1"/>
    <x v="68"/>
    <x v="1"/>
    <x v="1487"/>
    <n v="20.25"/>
    <n v="20.25"/>
    <x v="2"/>
    <x v="2"/>
    <s v="Coarse Sicilian Salami, Tomatoes, Green Olives, Luganega Sausage, Onions, Garlic"/>
    <x v="7"/>
  </r>
  <r>
    <n v="21739"/>
    <n v="9544"/>
    <n v="1"/>
    <s v="big_meat_s"/>
    <n v="1"/>
    <x v="68"/>
    <x v="1"/>
    <x v="1945"/>
    <n v="12"/>
    <n v="12"/>
    <x v="1"/>
    <x v="0"/>
    <s v="Bacon, Pepperoni, Italian Sausage, Chorizo Sausage"/>
    <x v="4"/>
  </r>
  <r>
    <n v="21741"/>
    <n v="9545"/>
    <n v="0.5"/>
    <s v="mexicana_m"/>
    <n v="1"/>
    <x v="68"/>
    <x v="1"/>
    <x v="1946"/>
    <n v="16"/>
    <n v="16"/>
    <x v="0"/>
    <x v="1"/>
    <s v="Tomatoes, Red Peppers, Jalapeno Peppers, Red Onions, Cilantro, Corn, Chipotle Sauce, Garlic"/>
    <x v="1"/>
  </r>
  <r>
    <n v="21742"/>
    <n v="9545"/>
    <n v="0.5"/>
    <s v="pepperoni_l"/>
    <n v="1"/>
    <x v="68"/>
    <x v="1"/>
    <x v="1946"/>
    <n v="15.25"/>
    <n v="15.25"/>
    <x v="2"/>
    <x v="0"/>
    <s v="Mozzarella Cheese, Pepperoni"/>
    <x v="3"/>
  </r>
  <r>
    <n v="21744"/>
    <n v="9546"/>
    <n v="0.5"/>
    <s v="hawaiian_l"/>
    <n v="1"/>
    <x v="68"/>
    <x v="1"/>
    <x v="1947"/>
    <n v="16.5"/>
    <n v="16.5"/>
    <x v="2"/>
    <x v="0"/>
    <s v="Sliced Ham, Pineapple, Mozzarella Cheese"/>
    <x v="0"/>
  </r>
  <r>
    <n v="21745"/>
    <n v="9546"/>
    <n v="0.5"/>
    <s v="pepperoni_s"/>
    <n v="1"/>
    <x v="68"/>
    <x v="1"/>
    <x v="1947"/>
    <n v="9.75"/>
    <n v="9.75"/>
    <x v="1"/>
    <x v="0"/>
    <s v="Mozzarella Cheese, Pepperoni"/>
    <x v="3"/>
  </r>
  <r>
    <n v="21747"/>
    <n v="9547"/>
    <n v="1"/>
    <s v="hawaiian_l"/>
    <n v="1"/>
    <x v="68"/>
    <x v="1"/>
    <x v="1948"/>
    <n v="16.5"/>
    <n v="16.5"/>
    <x v="2"/>
    <x v="0"/>
    <s v="Sliced Ham, Pineapple, Mozzarella Cheese"/>
    <x v="0"/>
  </r>
  <r>
    <n v="21750"/>
    <n v="9549"/>
    <n v="0.5"/>
    <s v="big_meat_s"/>
    <n v="1"/>
    <x v="68"/>
    <x v="1"/>
    <x v="1949"/>
    <n v="12"/>
    <n v="12"/>
    <x v="1"/>
    <x v="0"/>
    <s v="Bacon, Pepperoni, Italian Sausage, Chorizo Sausage"/>
    <x v="4"/>
  </r>
  <r>
    <n v="21752"/>
    <n v="9549"/>
    <n v="0.5"/>
    <s v="napolitana_l"/>
    <n v="1"/>
    <x v="68"/>
    <x v="1"/>
    <x v="1949"/>
    <n v="20.5"/>
    <n v="20.5"/>
    <x v="2"/>
    <x v="0"/>
    <s v="Tomatoes, Anchovies, Green Olives, Red Onions, Garlic"/>
    <x v="5"/>
  </r>
  <r>
    <n v="21757"/>
    <n v="9551"/>
    <n v="1"/>
    <s v="napolitana_l"/>
    <n v="1"/>
    <x v="68"/>
    <x v="1"/>
    <x v="1950"/>
    <n v="20.5"/>
    <n v="20.5"/>
    <x v="2"/>
    <x v="0"/>
    <s v="Tomatoes, Anchovies, Green Olives, Red Onions, Garlic"/>
    <x v="5"/>
  </r>
  <r>
    <n v="21764"/>
    <n v="9554"/>
    <n v="0.33333333333333331"/>
    <s v="big_meat_s"/>
    <n v="1"/>
    <x v="68"/>
    <x v="1"/>
    <x v="1951"/>
    <n v="12"/>
    <n v="12"/>
    <x v="1"/>
    <x v="0"/>
    <s v="Bacon, Pepperoni, Italian Sausage, Chorizo Sausage"/>
    <x v="4"/>
  </r>
  <r>
    <n v="21765"/>
    <n v="9554"/>
    <n v="0.33333333333333331"/>
    <s v="napolitana_l"/>
    <n v="1"/>
    <x v="68"/>
    <x v="1"/>
    <x v="1951"/>
    <n v="20.5"/>
    <n v="20.5"/>
    <x v="2"/>
    <x v="0"/>
    <s v="Tomatoes, Anchovies, Green Olives, Red Onions, Garlic"/>
    <x v="5"/>
  </r>
  <r>
    <n v="21766"/>
    <n v="9554"/>
    <n v="0.33333333333333331"/>
    <s v="napolitana_s"/>
    <n v="1"/>
    <x v="68"/>
    <x v="1"/>
    <x v="1951"/>
    <n v="12"/>
    <n v="12"/>
    <x v="1"/>
    <x v="0"/>
    <s v="Tomatoes, Anchovies, Green Olives, Red Onions, Garlic"/>
    <x v="5"/>
  </r>
  <r>
    <n v="21770"/>
    <n v="9556"/>
    <n v="1"/>
    <s v="mexicana_l"/>
    <n v="1"/>
    <x v="68"/>
    <x v="1"/>
    <x v="1952"/>
    <n v="20.25"/>
    <n v="20.25"/>
    <x v="2"/>
    <x v="1"/>
    <s v="Tomatoes, Red Peppers, Jalapeno Peppers, Red Onions, Cilantro, Corn, Chipotle Sauce, Garlic"/>
    <x v="1"/>
  </r>
  <r>
    <n v="21775"/>
    <n v="9558"/>
    <n v="1"/>
    <s v="brie_carre_s"/>
    <n v="1"/>
    <x v="68"/>
    <x v="1"/>
    <x v="1953"/>
    <n v="23.65"/>
    <n v="23.65"/>
    <x v="1"/>
    <x v="2"/>
    <s v="Brie Carre Cheese, Prosciutto, Caramelized Onions, Pears, Thyme, Garlic"/>
    <x v="8"/>
  </r>
  <r>
    <n v="21787"/>
    <n v="9563"/>
    <n v="1"/>
    <s v="calabrese_m"/>
    <n v="1"/>
    <x v="68"/>
    <x v="1"/>
    <x v="1954"/>
    <n v="16.25"/>
    <n v="16.25"/>
    <x v="0"/>
    <x v="2"/>
    <s v="?duja Salami, Pancetta, Tomatoes, Red Onions, Friggitello Peppers, Garlic"/>
    <x v="6"/>
  </r>
  <r>
    <n v="21790"/>
    <n v="9564"/>
    <n v="1"/>
    <s v="hawaiian_l"/>
    <n v="1"/>
    <x v="68"/>
    <x v="1"/>
    <x v="1955"/>
    <n v="16.5"/>
    <n v="16.5"/>
    <x v="2"/>
    <x v="0"/>
    <s v="Sliced Ham, Pineapple, Mozzarella Cheese"/>
    <x v="0"/>
  </r>
  <r>
    <n v="21792"/>
    <n v="9565"/>
    <n v="1"/>
    <s v="sicilian_m"/>
    <n v="1"/>
    <x v="68"/>
    <x v="1"/>
    <x v="1956"/>
    <n v="16.25"/>
    <n v="16.25"/>
    <x v="0"/>
    <x v="2"/>
    <s v="Coarse Sicilian Salami, Tomatoes, Green Olives, Luganega Sausage, Onions, Garlic"/>
    <x v="7"/>
  </r>
  <r>
    <n v="21794"/>
    <n v="9566"/>
    <n v="1"/>
    <s v="sicilian_m"/>
    <n v="1"/>
    <x v="68"/>
    <x v="1"/>
    <x v="1957"/>
    <n v="16.25"/>
    <n v="16.25"/>
    <x v="0"/>
    <x v="2"/>
    <s v="Coarse Sicilian Salami, Tomatoes, Green Olives, Luganega Sausage, Onions, Garlic"/>
    <x v="7"/>
  </r>
  <r>
    <n v="21802"/>
    <n v="9572"/>
    <n v="0.5"/>
    <s v="big_meat_s"/>
    <n v="1"/>
    <x v="69"/>
    <x v="6"/>
    <x v="1568"/>
    <n v="12"/>
    <n v="12"/>
    <x v="1"/>
    <x v="0"/>
    <s v="Bacon, Pepperoni, Italian Sausage, Chorizo Sausage"/>
    <x v="4"/>
  </r>
  <r>
    <n v="21805"/>
    <n v="9572"/>
    <n v="0.5"/>
    <s v="sicilian_s"/>
    <n v="1"/>
    <x v="69"/>
    <x v="6"/>
    <x v="1568"/>
    <n v="12.25"/>
    <n v="12.25"/>
    <x v="1"/>
    <x v="2"/>
    <s v="Coarse Sicilian Salami, Tomatoes, Green Olives, Luganega Sausage, Onions, Garlic"/>
    <x v="7"/>
  </r>
  <r>
    <n v="21806"/>
    <n v="9573"/>
    <n v="0.5"/>
    <s v="calabrese_l"/>
    <n v="1"/>
    <x v="69"/>
    <x v="6"/>
    <x v="1958"/>
    <n v="20.25"/>
    <n v="20.25"/>
    <x v="2"/>
    <x v="2"/>
    <s v="?duja Salami, Pancetta, Tomatoes, Red Onions, Friggitello Peppers, Garlic"/>
    <x v="6"/>
  </r>
  <r>
    <n v="21808"/>
    <n v="9573"/>
    <n v="0.5"/>
    <s v="pepperoni_m"/>
    <n v="1"/>
    <x v="69"/>
    <x v="6"/>
    <x v="1958"/>
    <n v="12.5"/>
    <n v="12.5"/>
    <x v="0"/>
    <x v="0"/>
    <s v="Mozzarella Cheese, Pepperoni"/>
    <x v="3"/>
  </r>
  <r>
    <n v="21814"/>
    <n v="9575"/>
    <n v="0.33333333333333331"/>
    <s v="big_meat_s"/>
    <n v="3"/>
    <x v="69"/>
    <x v="6"/>
    <x v="1959"/>
    <n v="12"/>
    <n v="36"/>
    <x v="1"/>
    <x v="0"/>
    <s v="Bacon, Pepperoni, Italian Sausage, Chorizo Sausage"/>
    <x v="4"/>
  </r>
  <r>
    <n v="21818"/>
    <n v="9575"/>
    <n v="0.33333333333333331"/>
    <s v="hawaiian_s"/>
    <n v="1"/>
    <x v="69"/>
    <x v="6"/>
    <x v="1959"/>
    <n v="10.5"/>
    <n v="10.5"/>
    <x v="1"/>
    <x v="0"/>
    <s v="Sliced Ham, Pineapple, Mozzarella Cheese"/>
    <x v="0"/>
  </r>
  <r>
    <n v="21821"/>
    <n v="9575"/>
    <n v="0.33333333333333331"/>
    <s v="sicilian_s"/>
    <n v="1"/>
    <x v="69"/>
    <x v="6"/>
    <x v="1959"/>
    <n v="12.25"/>
    <n v="12.25"/>
    <x v="1"/>
    <x v="2"/>
    <s v="Coarse Sicilian Salami, Tomatoes, Green Olives, Luganega Sausage, Onions, Garlic"/>
    <x v="7"/>
  </r>
  <r>
    <n v="21826"/>
    <n v="9576"/>
    <n v="1"/>
    <s v="hawaiian_l"/>
    <n v="1"/>
    <x v="69"/>
    <x v="6"/>
    <x v="380"/>
    <n v="16.5"/>
    <n v="16.5"/>
    <x v="2"/>
    <x v="0"/>
    <s v="Sliced Ham, Pineapple, Mozzarella Cheese"/>
    <x v="0"/>
  </r>
  <r>
    <n v="21833"/>
    <n v="9580"/>
    <n v="1"/>
    <s v="the_greek_l"/>
    <n v="1"/>
    <x v="69"/>
    <x v="6"/>
    <x v="962"/>
    <n v="20.5"/>
    <n v="20.5"/>
    <x v="2"/>
    <x v="0"/>
    <s v="Kalamata Olives, Feta Cheese, Tomatoes, Garlic, Beef Chuck Roast, Red Onions"/>
    <x v="2"/>
  </r>
  <r>
    <n v="21843"/>
    <n v="9585"/>
    <n v="1"/>
    <s v="mexicana_l"/>
    <n v="1"/>
    <x v="69"/>
    <x v="6"/>
    <x v="1960"/>
    <n v="20.25"/>
    <n v="20.25"/>
    <x v="2"/>
    <x v="1"/>
    <s v="Tomatoes, Red Peppers, Jalapeno Peppers, Red Onions, Cilantro, Corn, Chipotle Sauce, Garlic"/>
    <x v="1"/>
  </r>
  <r>
    <n v="21846"/>
    <n v="9588"/>
    <n v="0.33333333333333331"/>
    <s v="calabrese_m"/>
    <n v="2"/>
    <x v="69"/>
    <x v="6"/>
    <x v="1961"/>
    <n v="16.25"/>
    <n v="32.5"/>
    <x v="0"/>
    <x v="2"/>
    <s v="?duja Salami, Pancetta, Tomatoes, Red Onions, Friggitello Peppers, Garlic"/>
    <x v="6"/>
  </r>
  <r>
    <n v="21848"/>
    <n v="9588"/>
    <n v="0.33333333333333331"/>
    <s v="pepperoni_s"/>
    <n v="1"/>
    <x v="69"/>
    <x v="6"/>
    <x v="1961"/>
    <n v="9.75"/>
    <n v="9.75"/>
    <x v="1"/>
    <x v="0"/>
    <s v="Mozzarella Cheese, Pepperoni"/>
    <x v="3"/>
  </r>
  <r>
    <n v="21852"/>
    <n v="9588"/>
    <n v="0.33333333333333331"/>
    <s v="sicilian_l"/>
    <n v="1"/>
    <x v="69"/>
    <x v="6"/>
    <x v="1961"/>
    <n v="20.25"/>
    <n v="20.25"/>
    <x v="2"/>
    <x v="2"/>
    <s v="Coarse Sicilian Salami, Tomatoes, Green Olives, Luganega Sausage, Onions, Garlic"/>
    <x v="7"/>
  </r>
  <r>
    <n v="21853"/>
    <n v="9589"/>
    <n v="1"/>
    <s v="hawaiian_s"/>
    <n v="1"/>
    <x v="69"/>
    <x v="6"/>
    <x v="1962"/>
    <n v="10.5"/>
    <n v="10.5"/>
    <x v="1"/>
    <x v="0"/>
    <s v="Sliced Ham, Pineapple, Mozzarella Cheese"/>
    <x v="0"/>
  </r>
  <r>
    <n v="21856"/>
    <n v="9592"/>
    <n v="0.5"/>
    <s v="big_meat_s"/>
    <n v="1"/>
    <x v="69"/>
    <x v="6"/>
    <x v="1963"/>
    <n v="12"/>
    <n v="12"/>
    <x v="1"/>
    <x v="0"/>
    <s v="Bacon, Pepperoni, Italian Sausage, Chorizo Sausage"/>
    <x v="4"/>
  </r>
  <r>
    <n v="21857"/>
    <n v="9592"/>
    <n v="0.5"/>
    <s v="calabrese_l"/>
    <n v="1"/>
    <x v="69"/>
    <x v="6"/>
    <x v="1963"/>
    <n v="20.25"/>
    <n v="20.25"/>
    <x v="2"/>
    <x v="2"/>
    <s v="?duja Salami, Pancetta, Tomatoes, Red Onions, Friggitello Peppers, Garlic"/>
    <x v="6"/>
  </r>
  <r>
    <n v="21861"/>
    <n v="9595"/>
    <n v="1"/>
    <s v="calabrese_s"/>
    <n v="1"/>
    <x v="69"/>
    <x v="6"/>
    <x v="1964"/>
    <n v="12.25"/>
    <n v="12.25"/>
    <x v="1"/>
    <x v="2"/>
    <s v="?duja Salami, Pancetta, Tomatoes, Red Onions, Friggitello Peppers, Garlic"/>
    <x v="6"/>
  </r>
  <r>
    <n v="21864"/>
    <n v="9596"/>
    <n v="1"/>
    <s v="hawaiian_s"/>
    <n v="1"/>
    <x v="69"/>
    <x v="6"/>
    <x v="1965"/>
    <n v="10.5"/>
    <n v="10.5"/>
    <x v="1"/>
    <x v="0"/>
    <s v="Sliced Ham, Pineapple, Mozzarella Cheese"/>
    <x v="0"/>
  </r>
  <r>
    <n v="21868"/>
    <n v="9598"/>
    <n v="1"/>
    <s v="hawaiian_m"/>
    <n v="1"/>
    <x v="69"/>
    <x v="6"/>
    <x v="1966"/>
    <n v="13.25"/>
    <n v="13.25"/>
    <x v="0"/>
    <x v="0"/>
    <s v="Sliced Ham, Pineapple, Mozzarella Cheese"/>
    <x v="0"/>
  </r>
  <r>
    <n v="21871"/>
    <n v="9600"/>
    <n v="1"/>
    <s v="sicilian_m"/>
    <n v="1"/>
    <x v="69"/>
    <x v="6"/>
    <x v="1967"/>
    <n v="16.25"/>
    <n v="16.25"/>
    <x v="0"/>
    <x v="2"/>
    <s v="Coarse Sicilian Salami, Tomatoes, Green Olives, Luganega Sausage, Onions, Garlic"/>
    <x v="7"/>
  </r>
  <r>
    <n v="21873"/>
    <n v="9602"/>
    <n v="1"/>
    <s v="calabrese_m"/>
    <n v="1"/>
    <x v="69"/>
    <x v="6"/>
    <x v="1968"/>
    <n v="16.25"/>
    <n v="16.25"/>
    <x v="0"/>
    <x v="2"/>
    <s v="?duja Salami, Pancetta, Tomatoes, Red Onions, Friggitello Peppers, Garlic"/>
    <x v="6"/>
  </r>
  <r>
    <n v="21876"/>
    <n v="9603"/>
    <n v="0.5"/>
    <s v="hawaiian_m"/>
    <n v="1"/>
    <x v="69"/>
    <x v="6"/>
    <x v="1969"/>
    <n v="13.25"/>
    <n v="13.25"/>
    <x v="0"/>
    <x v="0"/>
    <s v="Sliced Ham, Pineapple, Mozzarella Cheese"/>
    <x v="0"/>
  </r>
  <r>
    <n v="21877"/>
    <n v="9603"/>
    <n v="0.5"/>
    <s v="the_greek_xl"/>
    <n v="1"/>
    <x v="69"/>
    <x v="6"/>
    <x v="1969"/>
    <n v="25.5"/>
    <n v="25.5"/>
    <x v="3"/>
    <x v="0"/>
    <s v="Kalamata Olives, Feta Cheese, Tomatoes, Garlic, Beef Chuck Roast, Red Onions"/>
    <x v="2"/>
  </r>
  <r>
    <n v="21879"/>
    <n v="9605"/>
    <n v="1"/>
    <s v="sicilian_s"/>
    <n v="1"/>
    <x v="69"/>
    <x v="6"/>
    <x v="1970"/>
    <n v="12.25"/>
    <n v="12.25"/>
    <x v="1"/>
    <x v="2"/>
    <s v="Coarse Sicilian Salami, Tomatoes, Green Olives, Luganega Sausage, Onions, Garlic"/>
    <x v="7"/>
  </r>
  <r>
    <n v="21883"/>
    <n v="9607"/>
    <n v="1"/>
    <s v="mexicana_m"/>
    <n v="1"/>
    <x v="69"/>
    <x v="6"/>
    <x v="1971"/>
    <n v="16"/>
    <n v="16"/>
    <x v="0"/>
    <x v="1"/>
    <s v="Tomatoes, Red Peppers, Jalapeno Peppers, Red Onions, Cilantro, Corn, Chipotle Sauce, Garlic"/>
    <x v="1"/>
  </r>
  <r>
    <n v="21888"/>
    <n v="9610"/>
    <n v="1"/>
    <s v="big_meat_s"/>
    <n v="1"/>
    <x v="69"/>
    <x v="6"/>
    <x v="1972"/>
    <n v="12"/>
    <n v="12"/>
    <x v="1"/>
    <x v="0"/>
    <s v="Bacon, Pepperoni, Italian Sausage, Chorizo Sausage"/>
    <x v="4"/>
  </r>
  <r>
    <n v="21895"/>
    <n v="9613"/>
    <n v="0.5"/>
    <s v="napolitana_s"/>
    <n v="1"/>
    <x v="69"/>
    <x v="6"/>
    <x v="1973"/>
    <n v="12"/>
    <n v="12"/>
    <x v="1"/>
    <x v="0"/>
    <s v="Tomatoes, Anchovies, Green Olives, Red Onions, Garlic"/>
    <x v="5"/>
  </r>
  <r>
    <n v="21896"/>
    <n v="9613"/>
    <n v="0.5"/>
    <s v="sicilian_s"/>
    <n v="1"/>
    <x v="69"/>
    <x v="6"/>
    <x v="1973"/>
    <n v="12.25"/>
    <n v="12.25"/>
    <x v="1"/>
    <x v="2"/>
    <s v="Coarse Sicilian Salami, Tomatoes, Green Olives, Luganega Sausage, Onions, Garlic"/>
    <x v="7"/>
  </r>
  <r>
    <n v="21902"/>
    <n v="9615"/>
    <n v="1"/>
    <s v="the_greek_s"/>
    <n v="1"/>
    <x v="69"/>
    <x v="6"/>
    <x v="1974"/>
    <n v="12"/>
    <n v="12"/>
    <x v="1"/>
    <x v="0"/>
    <s v="Kalamata Olives, Feta Cheese, Tomatoes, Garlic, Beef Chuck Roast, Red Onions"/>
    <x v="2"/>
  </r>
  <r>
    <n v="21905"/>
    <n v="9617"/>
    <n v="1"/>
    <s v="pepperoni_l"/>
    <n v="1"/>
    <x v="69"/>
    <x v="6"/>
    <x v="1975"/>
    <n v="15.25"/>
    <n v="15.25"/>
    <x v="2"/>
    <x v="0"/>
    <s v="Mozzarella Cheese, Pepperoni"/>
    <x v="3"/>
  </r>
  <r>
    <n v="21908"/>
    <n v="9619"/>
    <n v="0.5"/>
    <s v="big_meat_s"/>
    <n v="1"/>
    <x v="69"/>
    <x v="6"/>
    <x v="1976"/>
    <n v="12"/>
    <n v="12"/>
    <x v="1"/>
    <x v="0"/>
    <s v="Bacon, Pepperoni, Italian Sausage, Chorizo Sausage"/>
    <x v="4"/>
  </r>
  <r>
    <n v="21910"/>
    <n v="9619"/>
    <n v="0.5"/>
    <s v="napolitana_l"/>
    <n v="1"/>
    <x v="69"/>
    <x v="6"/>
    <x v="1976"/>
    <n v="20.5"/>
    <n v="20.5"/>
    <x v="2"/>
    <x v="0"/>
    <s v="Tomatoes, Anchovies, Green Olives, Red Onions, Garlic"/>
    <x v="5"/>
  </r>
  <r>
    <n v="21916"/>
    <n v="9623"/>
    <n v="1"/>
    <s v="sicilian_l"/>
    <n v="1"/>
    <x v="70"/>
    <x v="3"/>
    <x v="1977"/>
    <n v="20.25"/>
    <n v="20.25"/>
    <x v="2"/>
    <x v="2"/>
    <s v="Coarse Sicilian Salami, Tomatoes, Green Olives, Luganega Sausage, Onions, Garlic"/>
    <x v="7"/>
  </r>
  <r>
    <n v="21919"/>
    <n v="9626"/>
    <n v="1"/>
    <s v="napolitana_l"/>
    <n v="1"/>
    <x v="70"/>
    <x v="3"/>
    <x v="1978"/>
    <n v="20.5"/>
    <n v="20.5"/>
    <x v="2"/>
    <x v="0"/>
    <s v="Tomatoes, Anchovies, Green Olives, Red Onions, Garlic"/>
    <x v="5"/>
  </r>
  <r>
    <n v="21925"/>
    <n v="9630"/>
    <n v="0.5"/>
    <s v="hawaiian_s"/>
    <n v="1"/>
    <x v="70"/>
    <x v="3"/>
    <x v="1979"/>
    <n v="10.5"/>
    <n v="10.5"/>
    <x v="1"/>
    <x v="0"/>
    <s v="Sliced Ham, Pineapple, Mozzarella Cheese"/>
    <x v="0"/>
  </r>
  <r>
    <n v="21926"/>
    <n v="9630"/>
    <n v="0.5"/>
    <s v="napolitana_l"/>
    <n v="1"/>
    <x v="70"/>
    <x v="3"/>
    <x v="1979"/>
    <n v="20.5"/>
    <n v="20.5"/>
    <x v="2"/>
    <x v="0"/>
    <s v="Tomatoes, Anchovies, Green Olives, Red Onions, Garlic"/>
    <x v="5"/>
  </r>
  <r>
    <n v="21928"/>
    <n v="9631"/>
    <n v="0.5"/>
    <s v="napolitana_l"/>
    <n v="1"/>
    <x v="70"/>
    <x v="3"/>
    <x v="1980"/>
    <n v="20.5"/>
    <n v="20.5"/>
    <x v="2"/>
    <x v="0"/>
    <s v="Tomatoes, Anchovies, Green Olives, Red Onions, Garlic"/>
    <x v="5"/>
  </r>
  <r>
    <n v="21929"/>
    <n v="9631"/>
    <n v="0.5"/>
    <s v="sicilian_l"/>
    <n v="2"/>
    <x v="70"/>
    <x v="3"/>
    <x v="1980"/>
    <n v="20.25"/>
    <n v="40.5"/>
    <x v="2"/>
    <x v="2"/>
    <s v="Coarse Sicilian Salami, Tomatoes, Green Olives, Luganega Sausage, Onions, Garlic"/>
    <x v="7"/>
  </r>
  <r>
    <n v="21930"/>
    <n v="9632"/>
    <n v="1"/>
    <s v="sicilian_l"/>
    <n v="1"/>
    <x v="70"/>
    <x v="3"/>
    <x v="1981"/>
    <n v="20.25"/>
    <n v="20.25"/>
    <x v="2"/>
    <x v="2"/>
    <s v="Coarse Sicilian Salami, Tomatoes, Green Olives, Luganega Sausage, Onions, Garlic"/>
    <x v="7"/>
  </r>
  <r>
    <n v="21934"/>
    <n v="9634"/>
    <n v="0.16666666666666666"/>
    <s v="hawaiian_m"/>
    <n v="1"/>
    <x v="70"/>
    <x v="3"/>
    <x v="630"/>
    <n v="13.25"/>
    <n v="13.25"/>
    <x v="0"/>
    <x v="0"/>
    <s v="Sliced Ham, Pineapple, Mozzarella Cheese"/>
    <x v="0"/>
  </r>
  <r>
    <n v="21935"/>
    <n v="9634"/>
    <n v="0.16666666666666666"/>
    <s v="hawaiian_s"/>
    <n v="1"/>
    <x v="70"/>
    <x v="3"/>
    <x v="630"/>
    <n v="10.5"/>
    <n v="10.5"/>
    <x v="1"/>
    <x v="0"/>
    <s v="Sliced Ham, Pineapple, Mozzarella Cheese"/>
    <x v="0"/>
  </r>
  <r>
    <n v="21936"/>
    <n v="9634"/>
    <n v="0.16666666666666666"/>
    <s v="mexicana_s"/>
    <n v="1"/>
    <x v="70"/>
    <x v="3"/>
    <x v="630"/>
    <n v="12"/>
    <n v="12"/>
    <x v="1"/>
    <x v="1"/>
    <s v="Tomatoes, Red Peppers, Jalapeno Peppers, Red Onions, Cilantro, Corn, Chipotle Sauce, Garlic"/>
    <x v="1"/>
  </r>
  <r>
    <n v="21937"/>
    <n v="9634"/>
    <n v="0.16666666666666666"/>
    <s v="napolitana_s"/>
    <n v="1"/>
    <x v="70"/>
    <x v="3"/>
    <x v="630"/>
    <n v="12"/>
    <n v="12"/>
    <x v="1"/>
    <x v="0"/>
    <s v="Tomatoes, Anchovies, Green Olives, Red Onions, Garlic"/>
    <x v="5"/>
  </r>
  <r>
    <n v="21939"/>
    <n v="9634"/>
    <n v="0.16666666666666666"/>
    <s v="sicilian_s"/>
    <n v="2"/>
    <x v="70"/>
    <x v="3"/>
    <x v="630"/>
    <n v="12.25"/>
    <n v="24.5"/>
    <x v="1"/>
    <x v="2"/>
    <s v="Coarse Sicilian Salami, Tomatoes, Green Olives, Luganega Sausage, Onions, Garlic"/>
    <x v="7"/>
  </r>
  <r>
    <n v="21941"/>
    <n v="9634"/>
    <n v="0.16666666666666666"/>
    <s v="the_greek_s"/>
    <n v="1"/>
    <x v="70"/>
    <x v="3"/>
    <x v="630"/>
    <n v="12"/>
    <n v="12"/>
    <x v="1"/>
    <x v="0"/>
    <s v="Kalamata Olives, Feta Cheese, Tomatoes, Garlic, Beef Chuck Roast, Red Onions"/>
    <x v="2"/>
  </r>
  <r>
    <n v="21944"/>
    <n v="9635"/>
    <n v="1"/>
    <s v="the_greek_s"/>
    <n v="1"/>
    <x v="70"/>
    <x v="3"/>
    <x v="1982"/>
    <n v="12"/>
    <n v="12"/>
    <x v="1"/>
    <x v="0"/>
    <s v="Kalamata Olives, Feta Cheese, Tomatoes, Garlic, Beef Chuck Roast, Red Onions"/>
    <x v="2"/>
  </r>
  <r>
    <n v="21945"/>
    <n v="9636"/>
    <n v="1"/>
    <s v="pepperoni_l"/>
    <n v="1"/>
    <x v="70"/>
    <x v="3"/>
    <x v="1983"/>
    <n v="15.25"/>
    <n v="15.25"/>
    <x v="2"/>
    <x v="0"/>
    <s v="Mozzarella Cheese, Pepperoni"/>
    <x v="3"/>
  </r>
  <r>
    <n v="21946"/>
    <n v="9637"/>
    <n v="0.5"/>
    <s v="calabrese_m"/>
    <n v="1"/>
    <x v="70"/>
    <x v="3"/>
    <x v="1984"/>
    <n v="16.25"/>
    <n v="16.25"/>
    <x v="0"/>
    <x v="2"/>
    <s v="?duja Salami, Pancetta, Tomatoes, Red Onions, Friggitello Peppers, Garlic"/>
    <x v="6"/>
  </r>
  <r>
    <n v="21948"/>
    <n v="9637"/>
    <n v="0.5"/>
    <s v="pepperoni_m"/>
    <n v="1"/>
    <x v="70"/>
    <x v="3"/>
    <x v="1984"/>
    <n v="12.5"/>
    <n v="12.5"/>
    <x v="0"/>
    <x v="0"/>
    <s v="Mozzarella Cheese, Pepperoni"/>
    <x v="3"/>
  </r>
  <r>
    <n v="21950"/>
    <n v="9638"/>
    <n v="0.5"/>
    <s v="mexicana_l"/>
    <n v="1"/>
    <x v="70"/>
    <x v="3"/>
    <x v="1985"/>
    <n v="20.25"/>
    <n v="20.25"/>
    <x v="2"/>
    <x v="1"/>
    <s v="Tomatoes, Red Peppers, Jalapeno Peppers, Red Onions, Cilantro, Corn, Chipotle Sauce, Garlic"/>
    <x v="1"/>
  </r>
  <r>
    <n v="21951"/>
    <n v="9638"/>
    <n v="0.5"/>
    <s v="the_greek_xl"/>
    <n v="1"/>
    <x v="70"/>
    <x v="3"/>
    <x v="1985"/>
    <n v="25.5"/>
    <n v="25.5"/>
    <x v="3"/>
    <x v="0"/>
    <s v="Kalamata Olives, Feta Cheese, Tomatoes, Garlic, Beef Chuck Roast, Red Onions"/>
    <x v="2"/>
  </r>
  <r>
    <n v="21952"/>
    <n v="9639"/>
    <n v="1"/>
    <s v="the_greek_xl"/>
    <n v="1"/>
    <x v="70"/>
    <x v="3"/>
    <x v="1986"/>
    <n v="25.5"/>
    <n v="25.5"/>
    <x v="3"/>
    <x v="0"/>
    <s v="Kalamata Olives, Feta Cheese, Tomatoes, Garlic, Beef Chuck Roast, Red Onions"/>
    <x v="2"/>
  </r>
  <r>
    <n v="21954"/>
    <n v="9640"/>
    <n v="0.5"/>
    <s v="napolitana_m"/>
    <n v="1"/>
    <x v="70"/>
    <x v="3"/>
    <x v="1987"/>
    <n v="16"/>
    <n v="16"/>
    <x v="0"/>
    <x v="0"/>
    <s v="Tomatoes, Anchovies, Green Olives, Red Onions, Garlic"/>
    <x v="5"/>
  </r>
  <r>
    <n v="21955"/>
    <n v="9640"/>
    <n v="0.5"/>
    <s v="sicilian_l"/>
    <n v="1"/>
    <x v="70"/>
    <x v="3"/>
    <x v="1987"/>
    <n v="20.25"/>
    <n v="20.25"/>
    <x v="2"/>
    <x v="2"/>
    <s v="Coarse Sicilian Salami, Tomatoes, Green Olives, Luganega Sausage, Onions, Garlic"/>
    <x v="7"/>
  </r>
  <r>
    <n v="21960"/>
    <n v="9642"/>
    <n v="1"/>
    <s v="sicilian_s"/>
    <n v="1"/>
    <x v="70"/>
    <x v="3"/>
    <x v="9"/>
    <n v="12.25"/>
    <n v="12.25"/>
    <x v="1"/>
    <x v="2"/>
    <s v="Coarse Sicilian Salami, Tomatoes, Green Olives, Luganega Sausage, Onions, Garlic"/>
    <x v="7"/>
  </r>
  <r>
    <n v="21965"/>
    <n v="9644"/>
    <n v="1"/>
    <s v="big_meat_s"/>
    <n v="1"/>
    <x v="70"/>
    <x v="3"/>
    <x v="1988"/>
    <n v="12"/>
    <n v="12"/>
    <x v="1"/>
    <x v="0"/>
    <s v="Bacon, Pepperoni, Italian Sausage, Chorizo Sausage"/>
    <x v="4"/>
  </r>
  <r>
    <n v="21968"/>
    <n v="9646"/>
    <n v="1"/>
    <s v="hawaiian_l"/>
    <n v="1"/>
    <x v="70"/>
    <x v="3"/>
    <x v="1989"/>
    <n v="16.5"/>
    <n v="16.5"/>
    <x v="2"/>
    <x v="0"/>
    <s v="Sliced Ham, Pineapple, Mozzarella Cheese"/>
    <x v="0"/>
  </r>
  <r>
    <n v="21970"/>
    <n v="9647"/>
    <n v="1"/>
    <s v="mexicana_l"/>
    <n v="1"/>
    <x v="70"/>
    <x v="3"/>
    <x v="1990"/>
    <n v="20.25"/>
    <n v="20.25"/>
    <x v="2"/>
    <x v="1"/>
    <s v="Tomatoes, Red Peppers, Jalapeno Peppers, Red Onions, Cilantro, Corn, Chipotle Sauce, Garlic"/>
    <x v="1"/>
  </r>
  <r>
    <n v="21979"/>
    <n v="9650"/>
    <n v="0.16666666666666666"/>
    <s v="big_meat_s"/>
    <n v="1"/>
    <x v="70"/>
    <x v="3"/>
    <x v="1991"/>
    <n v="12"/>
    <n v="12"/>
    <x v="1"/>
    <x v="0"/>
    <s v="Bacon, Pepperoni, Italian Sausage, Chorizo Sausage"/>
    <x v="4"/>
  </r>
  <r>
    <n v="21984"/>
    <n v="9650"/>
    <n v="0.16666666666666666"/>
    <s v="mexicana_l"/>
    <n v="1"/>
    <x v="70"/>
    <x v="3"/>
    <x v="1991"/>
    <n v="20.25"/>
    <n v="20.25"/>
    <x v="2"/>
    <x v="1"/>
    <s v="Tomatoes, Red Peppers, Jalapeno Peppers, Red Onions, Cilantro, Corn, Chipotle Sauce, Garlic"/>
    <x v="1"/>
  </r>
  <r>
    <n v="21985"/>
    <n v="9650"/>
    <n v="0.16666666666666666"/>
    <s v="napolitana_l"/>
    <n v="1"/>
    <x v="70"/>
    <x v="3"/>
    <x v="1991"/>
    <n v="20.5"/>
    <n v="20.5"/>
    <x v="2"/>
    <x v="0"/>
    <s v="Tomatoes, Anchovies, Green Olives, Red Onions, Garlic"/>
    <x v="5"/>
  </r>
  <r>
    <n v="21986"/>
    <n v="9650"/>
    <n v="0.16666666666666666"/>
    <s v="pepperoni_s"/>
    <n v="1"/>
    <x v="70"/>
    <x v="3"/>
    <x v="1991"/>
    <n v="9.75"/>
    <n v="9.75"/>
    <x v="1"/>
    <x v="0"/>
    <s v="Mozzarella Cheese, Pepperoni"/>
    <x v="3"/>
  </r>
  <r>
    <n v="21988"/>
    <n v="9650"/>
    <n v="0.16666666666666666"/>
    <s v="sicilian_s"/>
    <n v="1"/>
    <x v="70"/>
    <x v="3"/>
    <x v="1991"/>
    <n v="12.25"/>
    <n v="12.25"/>
    <x v="1"/>
    <x v="2"/>
    <s v="Coarse Sicilian Salami, Tomatoes, Green Olives, Luganega Sausage, Onions, Garlic"/>
    <x v="7"/>
  </r>
  <r>
    <n v="21991"/>
    <n v="9650"/>
    <n v="0.16666666666666666"/>
    <s v="the_greek_xl"/>
    <n v="1"/>
    <x v="70"/>
    <x v="3"/>
    <x v="1991"/>
    <n v="25.5"/>
    <n v="25.5"/>
    <x v="3"/>
    <x v="0"/>
    <s v="Kalamata Olives, Feta Cheese, Tomatoes, Garlic, Beef Chuck Roast, Red Onions"/>
    <x v="2"/>
  </r>
  <r>
    <n v="21996"/>
    <n v="9652"/>
    <n v="1"/>
    <s v="pepperoni_l"/>
    <n v="1"/>
    <x v="70"/>
    <x v="3"/>
    <x v="1992"/>
    <n v="15.25"/>
    <n v="15.25"/>
    <x v="2"/>
    <x v="0"/>
    <s v="Mozzarella Cheese, Pepperoni"/>
    <x v="3"/>
  </r>
  <r>
    <n v="22000"/>
    <n v="9653"/>
    <n v="1"/>
    <s v="mexicana_s"/>
    <n v="1"/>
    <x v="70"/>
    <x v="3"/>
    <x v="1993"/>
    <n v="12"/>
    <n v="12"/>
    <x v="1"/>
    <x v="1"/>
    <s v="Tomatoes, Red Peppers, Jalapeno Peppers, Red Onions, Cilantro, Corn, Chipotle Sauce, Garlic"/>
    <x v="1"/>
  </r>
  <r>
    <n v="22009"/>
    <n v="9659"/>
    <n v="1"/>
    <s v="calabrese_l"/>
    <n v="1"/>
    <x v="70"/>
    <x v="3"/>
    <x v="1994"/>
    <n v="20.25"/>
    <n v="20.25"/>
    <x v="2"/>
    <x v="2"/>
    <s v="?duja Salami, Pancetta, Tomatoes, Red Onions, Friggitello Peppers, Garlic"/>
    <x v="6"/>
  </r>
  <r>
    <n v="22013"/>
    <n v="9661"/>
    <n v="1"/>
    <s v="pepperoni_m"/>
    <n v="1"/>
    <x v="70"/>
    <x v="3"/>
    <x v="1995"/>
    <n v="12.5"/>
    <n v="12.5"/>
    <x v="0"/>
    <x v="0"/>
    <s v="Mozzarella Cheese, Pepperoni"/>
    <x v="3"/>
  </r>
  <r>
    <n v="22015"/>
    <n v="9662"/>
    <n v="1"/>
    <s v="hawaiian_l"/>
    <n v="1"/>
    <x v="70"/>
    <x v="3"/>
    <x v="1996"/>
    <n v="16.5"/>
    <n v="16.5"/>
    <x v="2"/>
    <x v="0"/>
    <s v="Sliced Ham, Pineapple, Mozzarella Cheese"/>
    <x v="0"/>
  </r>
  <r>
    <n v="22021"/>
    <n v="9663"/>
    <n v="1"/>
    <s v="mexicana_m"/>
    <n v="1"/>
    <x v="70"/>
    <x v="3"/>
    <x v="1997"/>
    <n v="16"/>
    <n v="16"/>
    <x v="0"/>
    <x v="1"/>
    <s v="Tomatoes, Red Peppers, Jalapeno Peppers, Red Onions, Cilantro, Corn, Chipotle Sauce, Garlic"/>
    <x v="1"/>
  </r>
  <r>
    <n v="22024"/>
    <n v="9664"/>
    <n v="1"/>
    <s v="the_greek_xl"/>
    <n v="1"/>
    <x v="70"/>
    <x v="3"/>
    <x v="1998"/>
    <n v="25.5"/>
    <n v="25.5"/>
    <x v="3"/>
    <x v="0"/>
    <s v="Kalamata Olives, Feta Cheese, Tomatoes, Garlic, Beef Chuck Roast, Red Onions"/>
    <x v="2"/>
  </r>
  <r>
    <n v="22025"/>
    <n v="9665"/>
    <n v="1"/>
    <s v="sicilian_l"/>
    <n v="1"/>
    <x v="70"/>
    <x v="3"/>
    <x v="1999"/>
    <n v="20.25"/>
    <n v="20.25"/>
    <x v="2"/>
    <x v="2"/>
    <s v="Coarse Sicilian Salami, Tomatoes, Green Olives, Luganega Sausage, Onions, Garlic"/>
    <x v="7"/>
  </r>
  <r>
    <n v="22027"/>
    <n v="9667"/>
    <n v="1"/>
    <s v="napolitana_l"/>
    <n v="1"/>
    <x v="70"/>
    <x v="3"/>
    <x v="2000"/>
    <n v="20.5"/>
    <n v="20.5"/>
    <x v="2"/>
    <x v="0"/>
    <s v="Tomatoes, Anchovies, Green Olives, Red Onions, Garlic"/>
    <x v="5"/>
  </r>
  <r>
    <n v="22028"/>
    <n v="9668"/>
    <n v="1"/>
    <s v="hawaiian_l"/>
    <n v="1"/>
    <x v="70"/>
    <x v="3"/>
    <x v="2001"/>
    <n v="16.5"/>
    <n v="16.5"/>
    <x v="2"/>
    <x v="0"/>
    <s v="Sliced Ham, Pineapple, Mozzarella Cheese"/>
    <x v="0"/>
  </r>
  <r>
    <n v="22029"/>
    <n v="9669"/>
    <n v="0.5"/>
    <s v="calabrese_l"/>
    <n v="1"/>
    <x v="70"/>
    <x v="3"/>
    <x v="2002"/>
    <n v="20.25"/>
    <n v="20.25"/>
    <x v="2"/>
    <x v="2"/>
    <s v="?duja Salami, Pancetta, Tomatoes, Red Onions, Friggitello Peppers, Garlic"/>
    <x v="6"/>
  </r>
  <r>
    <n v="22030"/>
    <n v="9669"/>
    <n v="0.5"/>
    <s v="pepperoni_s"/>
    <n v="1"/>
    <x v="70"/>
    <x v="3"/>
    <x v="2002"/>
    <n v="9.75"/>
    <n v="9.75"/>
    <x v="1"/>
    <x v="0"/>
    <s v="Mozzarella Cheese, Pepperoni"/>
    <x v="3"/>
  </r>
  <r>
    <n v="22038"/>
    <n v="9673"/>
    <n v="1"/>
    <s v="pepperoni_l"/>
    <n v="1"/>
    <x v="70"/>
    <x v="3"/>
    <x v="2003"/>
    <n v="15.25"/>
    <n v="15.25"/>
    <x v="2"/>
    <x v="0"/>
    <s v="Mozzarella Cheese, Pepperoni"/>
    <x v="3"/>
  </r>
  <r>
    <n v="22040"/>
    <n v="9674"/>
    <n v="0.5"/>
    <s v="hawaiian_s"/>
    <n v="1"/>
    <x v="70"/>
    <x v="3"/>
    <x v="2004"/>
    <n v="10.5"/>
    <n v="10.5"/>
    <x v="1"/>
    <x v="0"/>
    <s v="Sliced Ham, Pineapple, Mozzarella Cheese"/>
    <x v="0"/>
  </r>
  <r>
    <n v="22041"/>
    <n v="9674"/>
    <n v="0.5"/>
    <s v="sicilian_m"/>
    <n v="1"/>
    <x v="70"/>
    <x v="3"/>
    <x v="2004"/>
    <n v="16.25"/>
    <n v="16.25"/>
    <x v="0"/>
    <x v="2"/>
    <s v="Coarse Sicilian Salami, Tomatoes, Green Olives, Luganega Sausage, Onions, Garlic"/>
    <x v="7"/>
  </r>
  <r>
    <n v="22042"/>
    <n v="9675"/>
    <n v="0.33333333333333331"/>
    <s v="big_meat_s"/>
    <n v="1"/>
    <x v="70"/>
    <x v="3"/>
    <x v="2005"/>
    <n v="12"/>
    <n v="12"/>
    <x v="1"/>
    <x v="0"/>
    <s v="Bacon, Pepperoni, Italian Sausage, Chorizo Sausage"/>
    <x v="4"/>
  </r>
  <r>
    <n v="22043"/>
    <n v="9675"/>
    <n v="0.33333333333333331"/>
    <s v="calabrese_m"/>
    <n v="1"/>
    <x v="70"/>
    <x v="3"/>
    <x v="2005"/>
    <n v="16.25"/>
    <n v="16.25"/>
    <x v="0"/>
    <x v="2"/>
    <s v="?duja Salami, Pancetta, Tomatoes, Red Onions, Friggitello Peppers, Garlic"/>
    <x v="6"/>
  </r>
  <r>
    <n v="22045"/>
    <n v="9675"/>
    <n v="0.33333333333333331"/>
    <s v="pepperoni_l"/>
    <n v="1"/>
    <x v="70"/>
    <x v="3"/>
    <x v="2005"/>
    <n v="15.25"/>
    <n v="15.25"/>
    <x v="2"/>
    <x v="0"/>
    <s v="Mozzarella Cheese, Pepperoni"/>
    <x v="3"/>
  </r>
  <r>
    <n v="22047"/>
    <n v="9676"/>
    <n v="1"/>
    <s v="hawaiian_l"/>
    <n v="1"/>
    <x v="70"/>
    <x v="3"/>
    <x v="2006"/>
    <n v="16.5"/>
    <n v="16.5"/>
    <x v="2"/>
    <x v="0"/>
    <s v="Sliced Ham, Pineapple, Mozzarella Cheese"/>
    <x v="0"/>
  </r>
  <r>
    <n v="22048"/>
    <n v="9677"/>
    <n v="1"/>
    <s v="pepperoni_l"/>
    <n v="1"/>
    <x v="70"/>
    <x v="3"/>
    <x v="2007"/>
    <n v="15.25"/>
    <n v="15.25"/>
    <x v="2"/>
    <x v="0"/>
    <s v="Mozzarella Cheese, Pepperoni"/>
    <x v="3"/>
  </r>
  <r>
    <n v="22052"/>
    <n v="9681"/>
    <n v="1"/>
    <s v="sicilian_m"/>
    <n v="1"/>
    <x v="70"/>
    <x v="3"/>
    <x v="2008"/>
    <n v="16.25"/>
    <n v="16.25"/>
    <x v="0"/>
    <x v="2"/>
    <s v="Coarse Sicilian Salami, Tomatoes, Green Olives, Luganega Sausage, Onions, Garlic"/>
    <x v="7"/>
  </r>
  <r>
    <n v="22060"/>
    <n v="9686"/>
    <n v="1"/>
    <s v="hawaiian_l"/>
    <n v="1"/>
    <x v="70"/>
    <x v="3"/>
    <x v="2009"/>
    <n v="16.5"/>
    <n v="16.5"/>
    <x v="2"/>
    <x v="0"/>
    <s v="Sliced Ham, Pineapple, Mozzarella Cheese"/>
    <x v="0"/>
  </r>
  <r>
    <n v="22062"/>
    <n v="9688"/>
    <n v="1"/>
    <s v="the_greek_xl"/>
    <n v="1"/>
    <x v="70"/>
    <x v="3"/>
    <x v="2010"/>
    <n v="25.5"/>
    <n v="25.5"/>
    <x v="3"/>
    <x v="0"/>
    <s v="Kalamata Olives, Feta Cheese, Tomatoes, Garlic, Beef Chuck Roast, Red Onions"/>
    <x v="2"/>
  </r>
  <r>
    <n v="22063"/>
    <n v="9689"/>
    <n v="1"/>
    <s v="pepperoni_s"/>
    <n v="1"/>
    <x v="70"/>
    <x v="3"/>
    <x v="2011"/>
    <n v="9.75"/>
    <n v="9.75"/>
    <x v="1"/>
    <x v="0"/>
    <s v="Mozzarella Cheese, Pepperoni"/>
    <x v="3"/>
  </r>
  <r>
    <n v="22064"/>
    <n v="9690"/>
    <n v="1"/>
    <s v="hawaiian_s"/>
    <n v="1"/>
    <x v="70"/>
    <x v="3"/>
    <x v="2012"/>
    <n v="10.5"/>
    <n v="10.5"/>
    <x v="1"/>
    <x v="0"/>
    <s v="Sliced Ham, Pineapple, Mozzarella Cheese"/>
    <x v="0"/>
  </r>
  <r>
    <n v="22069"/>
    <n v="9693"/>
    <n v="1"/>
    <s v="sicilian_s"/>
    <n v="1"/>
    <x v="71"/>
    <x v="1"/>
    <x v="1783"/>
    <n v="12.25"/>
    <n v="12.25"/>
    <x v="1"/>
    <x v="2"/>
    <s v="Coarse Sicilian Salami, Tomatoes, Green Olives, Luganega Sausage, Onions, Garlic"/>
    <x v="7"/>
  </r>
  <r>
    <n v="22070"/>
    <n v="9694"/>
    <n v="1"/>
    <s v="calabrese_s"/>
    <n v="1"/>
    <x v="71"/>
    <x v="1"/>
    <x v="2013"/>
    <n v="12.25"/>
    <n v="12.25"/>
    <x v="1"/>
    <x v="2"/>
    <s v="?duja Salami, Pancetta, Tomatoes, Red Onions, Friggitello Peppers, Garlic"/>
    <x v="6"/>
  </r>
  <r>
    <n v="22076"/>
    <n v="9695"/>
    <n v="1"/>
    <s v="sicilian_m"/>
    <n v="1"/>
    <x v="71"/>
    <x v="1"/>
    <x v="2014"/>
    <n v="16.25"/>
    <n v="16.25"/>
    <x v="0"/>
    <x v="2"/>
    <s v="Coarse Sicilian Salami, Tomatoes, Green Olives, Luganega Sausage, Onions, Garlic"/>
    <x v="7"/>
  </r>
  <r>
    <n v="22077"/>
    <n v="9696"/>
    <n v="1"/>
    <s v="calabrese_m"/>
    <n v="1"/>
    <x v="71"/>
    <x v="1"/>
    <x v="2015"/>
    <n v="16.25"/>
    <n v="16.25"/>
    <x v="0"/>
    <x v="2"/>
    <s v="?duja Salami, Pancetta, Tomatoes, Red Onions, Friggitello Peppers, Garlic"/>
    <x v="6"/>
  </r>
  <r>
    <n v="22082"/>
    <n v="9699"/>
    <n v="1"/>
    <s v="mexicana_m"/>
    <n v="1"/>
    <x v="71"/>
    <x v="1"/>
    <x v="2016"/>
    <n v="16"/>
    <n v="16"/>
    <x v="0"/>
    <x v="1"/>
    <s v="Tomatoes, Red Peppers, Jalapeno Peppers, Red Onions, Cilantro, Corn, Chipotle Sauce, Garlic"/>
    <x v="1"/>
  </r>
  <r>
    <n v="22084"/>
    <n v="9701"/>
    <n v="1"/>
    <s v="napolitana_l"/>
    <n v="1"/>
    <x v="71"/>
    <x v="1"/>
    <x v="2017"/>
    <n v="20.5"/>
    <n v="20.5"/>
    <x v="2"/>
    <x v="0"/>
    <s v="Tomatoes, Anchovies, Green Olives, Red Onions, Garlic"/>
    <x v="5"/>
  </r>
  <r>
    <n v="22094"/>
    <n v="9705"/>
    <n v="0.25"/>
    <s v="hawaiian_l"/>
    <n v="1"/>
    <x v="71"/>
    <x v="1"/>
    <x v="2018"/>
    <n v="16.5"/>
    <n v="16.5"/>
    <x v="2"/>
    <x v="0"/>
    <s v="Sliced Ham, Pineapple, Mozzarella Cheese"/>
    <x v="0"/>
  </r>
  <r>
    <n v="22095"/>
    <n v="9705"/>
    <n v="0.25"/>
    <s v="hawaiian_s"/>
    <n v="1"/>
    <x v="71"/>
    <x v="1"/>
    <x v="2018"/>
    <n v="10.5"/>
    <n v="10.5"/>
    <x v="1"/>
    <x v="0"/>
    <s v="Sliced Ham, Pineapple, Mozzarella Cheese"/>
    <x v="0"/>
  </r>
  <r>
    <n v="22098"/>
    <n v="9705"/>
    <n v="0.25"/>
    <s v="mexicana_m"/>
    <n v="2"/>
    <x v="71"/>
    <x v="1"/>
    <x v="2018"/>
    <n v="16"/>
    <n v="32"/>
    <x v="0"/>
    <x v="1"/>
    <s v="Tomatoes, Red Peppers, Jalapeno Peppers, Red Onions, Cilantro, Corn, Chipotle Sauce, Garlic"/>
    <x v="1"/>
  </r>
  <r>
    <n v="22099"/>
    <n v="9705"/>
    <n v="0.25"/>
    <s v="napolitana_l"/>
    <n v="1"/>
    <x v="71"/>
    <x v="1"/>
    <x v="2018"/>
    <n v="20.5"/>
    <n v="20.5"/>
    <x v="2"/>
    <x v="0"/>
    <s v="Tomatoes, Anchovies, Green Olives, Red Onions, Garlic"/>
    <x v="5"/>
  </r>
  <r>
    <n v="22105"/>
    <n v="9710"/>
    <n v="0.5"/>
    <s v="mexicana_m"/>
    <n v="1"/>
    <x v="71"/>
    <x v="1"/>
    <x v="2019"/>
    <n v="16"/>
    <n v="16"/>
    <x v="0"/>
    <x v="1"/>
    <s v="Tomatoes, Red Peppers, Jalapeno Peppers, Red Onions, Cilantro, Corn, Chipotle Sauce, Garlic"/>
    <x v="1"/>
  </r>
  <r>
    <n v="22107"/>
    <n v="9710"/>
    <n v="0.5"/>
    <s v="the_greek_s"/>
    <n v="1"/>
    <x v="71"/>
    <x v="1"/>
    <x v="2019"/>
    <n v="12"/>
    <n v="12"/>
    <x v="1"/>
    <x v="0"/>
    <s v="Kalamata Olives, Feta Cheese, Tomatoes, Garlic, Beef Chuck Roast, Red Onions"/>
    <x v="2"/>
  </r>
  <r>
    <n v="22111"/>
    <n v="9713"/>
    <n v="1"/>
    <s v="hawaiian_s"/>
    <n v="1"/>
    <x v="71"/>
    <x v="1"/>
    <x v="2020"/>
    <n v="10.5"/>
    <n v="10.5"/>
    <x v="1"/>
    <x v="0"/>
    <s v="Sliced Ham, Pineapple, Mozzarella Cheese"/>
    <x v="0"/>
  </r>
  <r>
    <n v="22114"/>
    <n v="9715"/>
    <n v="1"/>
    <s v="big_meat_s"/>
    <n v="1"/>
    <x v="71"/>
    <x v="1"/>
    <x v="2021"/>
    <n v="12"/>
    <n v="12"/>
    <x v="1"/>
    <x v="0"/>
    <s v="Bacon, Pepperoni, Italian Sausage, Chorizo Sausage"/>
    <x v="4"/>
  </r>
  <r>
    <n v="22115"/>
    <n v="9716"/>
    <n v="1"/>
    <s v="hawaiian_m"/>
    <n v="1"/>
    <x v="71"/>
    <x v="1"/>
    <x v="2022"/>
    <n v="13.25"/>
    <n v="13.25"/>
    <x v="0"/>
    <x v="0"/>
    <s v="Sliced Ham, Pineapple, Mozzarella Cheese"/>
    <x v="0"/>
  </r>
  <r>
    <n v="22116"/>
    <n v="9717"/>
    <n v="0.5"/>
    <s v="big_meat_s"/>
    <n v="1"/>
    <x v="71"/>
    <x v="1"/>
    <x v="2023"/>
    <n v="12"/>
    <n v="12"/>
    <x v="1"/>
    <x v="0"/>
    <s v="Bacon, Pepperoni, Italian Sausage, Chorizo Sausage"/>
    <x v="4"/>
  </r>
  <r>
    <n v="22117"/>
    <n v="9717"/>
    <n v="0.5"/>
    <s v="calabrese_m"/>
    <n v="1"/>
    <x v="71"/>
    <x v="1"/>
    <x v="2023"/>
    <n v="16.25"/>
    <n v="16.25"/>
    <x v="0"/>
    <x v="2"/>
    <s v="?duja Salami, Pancetta, Tomatoes, Red Onions, Friggitello Peppers, Garlic"/>
    <x v="6"/>
  </r>
  <r>
    <n v="22121"/>
    <n v="9718"/>
    <n v="1"/>
    <s v="pepperoni_m"/>
    <n v="1"/>
    <x v="71"/>
    <x v="1"/>
    <x v="2024"/>
    <n v="12.5"/>
    <n v="12.5"/>
    <x v="0"/>
    <x v="0"/>
    <s v="Mozzarella Cheese, Pepperoni"/>
    <x v="3"/>
  </r>
  <r>
    <n v="22129"/>
    <n v="9723"/>
    <n v="1"/>
    <s v="brie_carre_s"/>
    <n v="1"/>
    <x v="71"/>
    <x v="1"/>
    <x v="2025"/>
    <n v="23.65"/>
    <n v="23.65"/>
    <x v="1"/>
    <x v="2"/>
    <s v="Brie Carre Cheese, Prosciutto, Caramelized Onions, Pears, Thyme, Garlic"/>
    <x v="8"/>
  </r>
  <r>
    <n v="22132"/>
    <n v="9724"/>
    <n v="1"/>
    <s v="big_meat_s"/>
    <n v="1"/>
    <x v="71"/>
    <x v="1"/>
    <x v="2026"/>
    <n v="12"/>
    <n v="12"/>
    <x v="1"/>
    <x v="0"/>
    <s v="Bacon, Pepperoni, Italian Sausage, Chorizo Sausage"/>
    <x v="4"/>
  </r>
  <r>
    <n v="22135"/>
    <n v="9725"/>
    <n v="0.25"/>
    <s v="calabrese_m"/>
    <n v="1"/>
    <x v="71"/>
    <x v="1"/>
    <x v="2027"/>
    <n v="16.25"/>
    <n v="16.25"/>
    <x v="0"/>
    <x v="2"/>
    <s v="?duja Salami, Pancetta, Tomatoes, Red Onions, Friggitello Peppers, Garlic"/>
    <x v="6"/>
  </r>
  <r>
    <n v="22136"/>
    <n v="9725"/>
    <n v="0.25"/>
    <s v="hawaiian_s"/>
    <n v="1"/>
    <x v="71"/>
    <x v="1"/>
    <x v="2027"/>
    <n v="10.5"/>
    <n v="10.5"/>
    <x v="1"/>
    <x v="0"/>
    <s v="Sliced Ham, Pineapple, Mozzarella Cheese"/>
    <x v="0"/>
  </r>
  <r>
    <n v="22137"/>
    <n v="9725"/>
    <n v="0.25"/>
    <s v="mexicana_l"/>
    <n v="1"/>
    <x v="71"/>
    <x v="1"/>
    <x v="2027"/>
    <n v="20.25"/>
    <n v="20.25"/>
    <x v="2"/>
    <x v="1"/>
    <s v="Tomatoes, Red Peppers, Jalapeno Peppers, Red Onions, Cilantro, Corn, Chipotle Sauce, Garlic"/>
    <x v="1"/>
  </r>
  <r>
    <n v="22138"/>
    <n v="9725"/>
    <n v="0.25"/>
    <s v="napolitana_m"/>
    <n v="1"/>
    <x v="71"/>
    <x v="1"/>
    <x v="2027"/>
    <n v="16"/>
    <n v="16"/>
    <x v="0"/>
    <x v="0"/>
    <s v="Tomatoes, Anchovies, Green Olives, Red Onions, Garlic"/>
    <x v="5"/>
  </r>
  <r>
    <n v="22139"/>
    <n v="9726"/>
    <n v="0.33333333333333331"/>
    <s v="big_meat_s"/>
    <n v="1"/>
    <x v="71"/>
    <x v="1"/>
    <x v="2028"/>
    <n v="12"/>
    <n v="12"/>
    <x v="1"/>
    <x v="0"/>
    <s v="Bacon, Pepperoni, Italian Sausage, Chorizo Sausage"/>
    <x v="4"/>
  </r>
  <r>
    <n v="22140"/>
    <n v="9726"/>
    <n v="0.33333333333333331"/>
    <s v="hawaiian_s"/>
    <n v="1"/>
    <x v="71"/>
    <x v="1"/>
    <x v="2028"/>
    <n v="10.5"/>
    <n v="10.5"/>
    <x v="1"/>
    <x v="0"/>
    <s v="Sliced Ham, Pineapple, Mozzarella Cheese"/>
    <x v="0"/>
  </r>
  <r>
    <n v="22141"/>
    <n v="9726"/>
    <n v="0.33333333333333331"/>
    <s v="napolitana_s"/>
    <n v="1"/>
    <x v="71"/>
    <x v="1"/>
    <x v="2028"/>
    <n v="12"/>
    <n v="12"/>
    <x v="1"/>
    <x v="0"/>
    <s v="Tomatoes, Anchovies, Green Olives, Red Onions, Garlic"/>
    <x v="5"/>
  </r>
  <r>
    <n v="22145"/>
    <n v="9728"/>
    <n v="0.5"/>
    <s v="hawaiian_l"/>
    <n v="1"/>
    <x v="71"/>
    <x v="1"/>
    <x v="2029"/>
    <n v="16.5"/>
    <n v="16.5"/>
    <x v="2"/>
    <x v="0"/>
    <s v="Sliced Ham, Pineapple, Mozzarella Cheese"/>
    <x v="0"/>
  </r>
  <r>
    <n v="22146"/>
    <n v="9728"/>
    <n v="0.5"/>
    <s v="napolitana_m"/>
    <n v="1"/>
    <x v="71"/>
    <x v="1"/>
    <x v="2029"/>
    <n v="16"/>
    <n v="16"/>
    <x v="0"/>
    <x v="0"/>
    <s v="Tomatoes, Anchovies, Green Olives, Red Onions, Garlic"/>
    <x v="5"/>
  </r>
  <r>
    <n v="22149"/>
    <n v="9730"/>
    <n v="0.5"/>
    <s v="big_meat_s"/>
    <n v="1"/>
    <x v="71"/>
    <x v="1"/>
    <x v="2030"/>
    <n v="12"/>
    <n v="12"/>
    <x v="1"/>
    <x v="0"/>
    <s v="Bacon, Pepperoni, Italian Sausage, Chorizo Sausage"/>
    <x v="4"/>
  </r>
  <r>
    <n v="22150"/>
    <n v="9730"/>
    <n v="0.5"/>
    <s v="pepperoni_l"/>
    <n v="1"/>
    <x v="71"/>
    <x v="1"/>
    <x v="2030"/>
    <n v="15.25"/>
    <n v="15.25"/>
    <x v="2"/>
    <x v="0"/>
    <s v="Mozzarella Cheese, Pepperoni"/>
    <x v="3"/>
  </r>
  <r>
    <n v="22151"/>
    <n v="9731"/>
    <n v="1"/>
    <s v="pepperoni_m"/>
    <n v="2"/>
    <x v="71"/>
    <x v="1"/>
    <x v="2031"/>
    <n v="12.5"/>
    <n v="25"/>
    <x v="0"/>
    <x v="0"/>
    <s v="Mozzarella Cheese, Pepperoni"/>
    <x v="3"/>
  </r>
  <r>
    <n v="22153"/>
    <n v="9732"/>
    <n v="1"/>
    <s v="calabrese_l"/>
    <n v="1"/>
    <x v="71"/>
    <x v="1"/>
    <x v="2032"/>
    <n v="20.25"/>
    <n v="20.25"/>
    <x v="2"/>
    <x v="2"/>
    <s v="?duja Salami, Pancetta, Tomatoes, Red Onions, Friggitello Peppers, Garlic"/>
    <x v="6"/>
  </r>
  <r>
    <n v="22156"/>
    <n v="9734"/>
    <n v="1"/>
    <s v="hawaiian_l"/>
    <n v="1"/>
    <x v="71"/>
    <x v="1"/>
    <x v="2033"/>
    <n v="16.5"/>
    <n v="16.5"/>
    <x v="2"/>
    <x v="0"/>
    <s v="Sliced Ham, Pineapple, Mozzarella Cheese"/>
    <x v="0"/>
  </r>
  <r>
    <n v="22160"/>
    <n v="9735"/>
    <n v="0.5"/>
    <s v="hawaiian_m"/>
    <n v="1"/>
    <x v="71"/>
    <x v="1"/>
    <x v="2034"/>
    <n v="13.25"/>
    <n v="13.25"/>
    <x v="0"/>
    <x v="0"/>
    <s v="Sliced Ham, Pineapple, Mozzarella Cheese"/>
    <x v="0"/>
  </r>
  <r>
    <n v="22161"/>
    <n v="9735"/>
    <n v="0.5"/>
    <s v="mexicana_m"/>
    <n v="1"/>
    <x v="71"/>
    <x v="1"/>
    <x v="2034"/>
    <n v="16"/>
    <n v="16"/>
    <x v="0"/>
    <x v="1"/>
    <s v="Tomatoes, Red Peppers, Jalapeno Peppers, Red Onions, Cilantro, Corn, Chipotle Sauce, Garlic"/>
    <x v="1"/>
  </r>
  <r>
    <n v="22162"/>
    <n v="9736"/>
    <n v="0.5"/>
    <s v="napolitana_m"/>
    <n v="1"/>
    <x v="71"/>
    <x v="1"/>
    <x v="2035"/>
    <n v="16"/>
    <n v="16"/>
    <x v="0"/>
    <x v="0"/>
    <s v="Tomatoes, Anchovies, Green Olives, Red Onions, Garlic"/>
    <x v="5"/>
  </r>
  <r>
    <n v="22163"/>
    <n v="9736"/>
    <n v="0.5"/>
    <s v="the_greek_xl"/>
    <n v="1"/>
    <x v="71"/>
    <x v="1"/>
    <x v="2035"/>
    <n v="25.5"/>
    <n v="25.5"/>
    <x v="3"/>
    <x v="0"/>
    <s v="Kalamata Olives, Feta Cheese, Tomatoes, Garlic, Beef Chuck Roast, Red Onions"/>
    <x v="2"/>
  </r>
  <r>
    <n v="22164"/>
    <n v="9737"/>
    <n v="1"/>
    <s v="sicilian_s"/>
    <n v="1"/>
    <x v="71"/>
    <x v="1"/>
    <x v="2036"/>
    <n v="12.25"/>
    <n v="12.25"/>
    <x v="1"/>
    <x v="2"/>
    <s v="Coarse Sicilian Salami, Tomatoes, Green Olives, Luganega Sausage, Onions, Garlic"/>
    <x v="7"/>
  </r>
  <r>
    <n v="22166"/>
    <n v="9738"/>
    <n v="1"/>
    <s v="sicilian_l"/>
    <n v="1"/>
    <x v="71"/>
    <x v="1"/>
    <x v="2037"/>
    <n v="20.25"/>
    <n v="20.25"/>
    <x v="2"/>
    <x v="2"/>
    <s v="Coarse Sicilian Salami, Tomatoes, Green Olives, Luganega Sausage, Onions, Garlic"/>
    <x v="7"/>
  </r>
  <r>
    <n v="22172"/>
    <n v="9740"/>
    <n v="1"/>
    <s v="sicilian_s"/>
    <n v="1"/>
    <x v="71"/>
    <x v="1"/>
    <x v="373"/>
    <n v="12.25"/>
    <n v="12.25"/>
    <x v="1"/>
    <x v="2"/>
    <s v="Coarse Sicilian Salami, Tomatoes, Green Olives, Luganega Sausage, Onions, Garlic"/>
    <x v="7"/>
  </r>
  <r>
    <n v="22180"/>
    <n v="9744"/>
    <n v="1"/>
    <s v="pepperoni_m"/>
    <n v="1"/>
    <x v="71"/>
    <x v="1"/>
    <x v="2038"/>
    <n v="12.5"/>
    <n v="12.5"/>
    <x v="0"/>
    <x v="0"/>
    <s v="Mozzarella Cheese, Pepperoni"/>
    <x v="3"/>
  </r>
  <r>
    <n v="22181"/>
    <n v="9745"/>
    <n v="0.5"/>
    <s v="calabrese_m"/>
    <n v="1"/>
    <x v="71"/>
    <x v="1"/>
    <x v="2039"/>
    <n v="16.25"/>
    <n v="16.25"/>
    <x v="0"/>
    <x v="2"/>
    <s v="?duja Salami, Pancetta, Tomatoes, Red Onions, Friggitello Peppers, Garlic"/>
    <x v="6"/>
  </r>
  <r>
    <n v="22184"/>
    <n v="9745"/>
    <n v="0.5"/>
    <s v="sicilian_s"/>
    <n v="1"/>
    <x v="71"/>
    <x v="1"/>
    <x v="2039"/>
    <n v="12.25"/>
    <n v="12.25"/>
    <x v="1"/>
    <x v="2"/>
    <s v="Coarse Sicilian Salami, Tomatoes, Green Olives, Luganega Sausage, Onions, Garlic"/>
    <x v="7"/>
  </r>
  <r>
    <n v="22189"/>
    <n v="9749"/>
    <n v="1"/>
    <s v="mexicana_l"/>
    <n v="1"/>
    <x v="71"/>
    <x v="1"/>
    <x v="2040"/>
    <n v="20.25"/>
    <n v="20.25"/>
    <x v="2"/>
    <x v="1"/>
    <s v="Tomatoes, Red Peppers, Jalapeno Peppers, Red Onions, Cilantro, Corn, Chipotle Sauce, Garlic"/>
    <x v="1"/>
  </r>
  <r>
    <n v="22190"/>
    <n v="9750"/>
    <n v="1"/>
    <s v="mexicana_l"/>
    <n v="1"/>
    <x v="71"/>
    <x v="1"/>
    <x v="2041"/>
    <n v="20.25"/>
    <n v="20.25"/>
    <x v="2"/>
    <x v="1"/>
    <s v="Tomatoes, Red Peppers, Jalapeno Peppers, Red Onions, Cilantro, Corn, Chipotle Sauce, Garlic"/>
    <x v="1"/>
  </r>
  <r>
    <n v="22194"/>
    <n v="9751"/>
    <n v="1"/>
    <s v="sicilian_m"/>
    <n v="1"/>
    <x v="71"/>
    <x v="1"/>
    <x v="2042"/>
    <n v="16.25"/>
    <n v="16.25"/>
    <x v="0"/>
    <x v="2"/>
    <s v="Coarse Sicilian Salami, Tomatoes, Green Olives, Luganega Sausage, Onions, Garlic"/>
    <x v="7"/>
  </r>
  <r>
    <n v="24567"/>
    <n v="10796"/>
    <n v="0.5"/>
    <s v="hawaiian_m"/>
    <n v="1"/>
    <x v="72"/>
    <x v="2"/>
    <x v="2043"/>
    <n v="13.25"/>
    <n v="13.25"/>
    <x v="0"/>
    <x v="0"/>
    <s v="Sliced Ham, Pineapple, Mozzarella Cheese"/>
    <x v="0"/>
  </r>
  <r>
    <n v="24572"/>
    <n v="10796"/>
    <n v="0.5"/>
    <s v="the_greek_l"/>
    <n v="1"/>
    <x v="72"/>
    <x v="2"/>
    <x v="2043"/>
    <n v="20.5"/>
    <n v="20.5"/>
    <x v="2"/>
    <x v="0"/>
    <s v="Kalamata Olives, Feta Cheese, Tomatoes, Garlic, Beef Chuck Roast, Red Onions"/>
    <x v="2"/>
  </r>
  <r>
    <n v="24581"/>
    <n v="10805"/>
    <n v="0.5"/>
    <s v="mexicana_l"/>
    <n v="1"/>
    <x v="72"/>
    <x v="2"/>
    <x v="2044"/>
    <n v="20.25"/>
    <n v="20.25"/>
    <x v="2"/>
    <x v="1"/>
    <s v="Tomatoes, Red Peppers, Jalapeno Peppers, Red Onions, Cilantro, Corn, Chipotle Sauce, Garlic"/>
    <x v="1"/>
  </r>
  <r>
    <n v="24582"/>
    <n v="10805"/>
    <n v="0.5"/>
    <s v="pepperoni_m"/>
    <n v="1"/>
    <x v="72"/>
    <x v="2"/>
    <x v="2044"/>
    <n v="12.5"/>
    <n v="12.5"/>
    <x v="0"/>
    <x v="0"/>
    <s v="Mozzarella Cheese, Pepperoni"/>
    <x v="3"/>
  </r>
  <r>
    <n v="24584"/>
    <n v="10807"/>
    <n v="1"/>
    <s v="big_meat_s"/>
    <n v="1"/>
    <x v="72"/>
    <x v="2"/>
    <x v="2045"/>
    <n v="12"/>
    <n v="12"/>
    <x v="1"/>
    <x v="0"/>
    <s v="Bacon, Pepperoni, Italian Sausage, Chorizo Sausage"/>
    <x v="4"/>
  </r>
  <r>
    <n v="24588"/>
    <n v="10810"/>
    <n v="1"/>
    <s v="hawaiian_s"/>
    <n v="1"/>
    <x v="72"/>
    <x v="2"/>
    <x v="2046"/>
    <n v="10.5"/>
    <n v="10.5"/>
    <x v="1"/>
    <x v="0"/>
    <s v="Sliced Ham, Pineapple, Mozzarella Cheese"/>
    <x v="0"/>
  </r>
  <r>
    <n v="24590"/>
    <n v="10812"/>
    <n v="1"/>
    <s v="big_meat_s"/>
    <n v="1"/>
    <x v="72"/>
    <x v="2"/>
    <x v="2047"/>
    <n v="12"/>
    <n v="12"/>
    <x v="1"/>
    <x v="0"/>
    <s v="Bacon, Pepperoni, Italian Sausage, Chorizo Sausage"/>
    <x v="4"/>
  </r>
  <r>
    <n v="24593"/>
    <n v="10813"/>
    <n v="0.33333333333333331"/>
    <s v="big_meat_s"/>
    <n v="1"/>
    <x v="72"/>
    <x v="2"/>
    <x v="2048"/>
    <n v="12"/>
    <n v="12"/>
    <x v="1"/>
    <x v="0"/>
    <s v="Bacon, Pepperoni, Italian Sausage, Chorizo Sausage"/>
    <x v="4"/>
  </r>
  <r>
    <n v="24596"/>
    <n v="10813"/>
    <n v="0.33333333333333331"/>
    <s v="hawaiian_l"/>
    <n v="1"/>
    <x v="72"/>
    <x v="2"/>
    <x v="2048"/>
    <n v="16.5"/>
    <n v="16.5"/>
    <x v="2"/>
    <x v="0"/>
    <s v="Sliced Ham, Pineapple, Mozzarella Cheese"/>
    <x v="0"/>
  </r>
  <r>
    <n v="24602"/>
    <n v="10813"/>
    <n v="0.33333333333333331"/>
    <s v="the_greek_m"/>
    <n v="1"/>
    <x v="72"/>
    <x v="2"/>
    <x v="2048"/>
    <n v="16"/>
    <n v="16"/>
    <x v="0"/>
    <x v="0"/>
    <s v="Kalamata Olives, Feta Cheese, Tomatoes, Garlic, Beef Chuck Roast, Red Onions"/>
    <x v="2"/>
  </r>
  <r>
    <n v="24606"/>
    <n v="10815"/>
    <n v="1"/>
    <s v="pepperoni_l"/>
    <n v="1"/>
    <x v="72"/>
    <x v="2"/>
    <x v="2049"/>
    <n v="15.25"/>
    <n v="15.25"/>
    <x v="2"/>
    <x v="0"/>
    <s v="Mozzarella Cheese, Pepperoni"/>
    <x v="3"/>
  </r>
  <r>
    <n v="24614"/>
    <n v="10819"/>
    <n v="1"/>
    <s v="sicilian_l"/>
    <n v="1"/>
    <x v="72"/>
    <x v="2"/>
    <x v="2050"/>
    <n v="20.25"/>
    <n v="20.25"/>
    <x v="2"/>
    <x v="2"/>
    <s v="Coarse Sicilian Salami, Tomatoes, Green Olives, Luganega Sausage, Onions, Garlic"/>
    <x v="7"/>
  </r>
  <r>
    <n v="24622"/>
    <n v="10824"/>
    <n v="0.5"/>
    <s v="calabrese_m"/>
    <n v="1"/>
    <x v="72"/>
    <x v="2"/>
    <x v="2051"/>
    <n v="16.25"/>
    <n v="16.25"/>
    <x v="0"/>
    <x v="2"/>
    <s v="?duja Salami, Pancetta, Tomatoes, Red Onions, Friggitello Peppers, Garlic"/>
    <x v="6"/>
  </r>
  <r>
    <n v="24623"/>
    <n v="10824"/>
    <n v="0.5"/>
    <s v="hawaiian_l"/>
    <n v="1"/>
    <x v="72"/>
    <x v="2"/>
    <x v="2051"/>
    <n v="16.5"/>
    <n v="16.5"/>
    <x v="2"/>
    <x v="0"/>
    <s v="Sliced Ham, Pineapple, Mozzarella Cheese"/>
    <x v="0"/>
  </r>
  <r>
    <n v="24626"/>
    <n v="10826"/>
    <n v="1"/>
    <s v="pepperoni_m"/>
    <n v="1"/>
    <x v="72"/>
    <x v="2"/>
    <x v="2052"/>
    <n v="12.5"/>
    <n v="12.5"/>
    <x v="0"/>
    <x v="0"/>
    <s v="Mozzarella Cheese, Pepperoni"/>
    <x v="3"/>
  </r>
  <r>
    <n v="24631"/>
    <n v="10830"/>
    <n v="0.5"/>
    <s v="hawaiian_l"/>
    <n v="1"/>
    <x v="72"/>
    <x v="2"/>
    <x v="2053"/>
    <n v="16.5"/>
    <n v="16.5"/>
    <x v="2"/>
    <x v="0"/>
    <s v="Sliced Ham, Pineapple, Mozzarella Cheese"/>
    <x v="0"/>
  </r>
  <r>
    <n v="24632"/>
    <n v="10830"/>
    <n v="0.5"/>
    <s v="the_greek_l"/>
    <n v="1"/>
    <x v="72"/>
    <x v="2"/>
    <x v="2053"/>
    <n v="20.5"/>
    <n v="20.5"/>
    <x v="2"/>
    <x v="0"/>
    <s v="Kalamata Olives, Feta Cheese, Tomatoes, Garlic, Beef Chuck Roast, Red Onions"/>
    <x v="2"/>
  </r>
  <r>
    <n v="24633"/>
    <n v="10831"/>
    <n v="1"/>
    <s v="big_meat_s"/>
    <n v="1"/>
    <x v="72"/>
    <x v="2"/>
    <x v="2054"/>
    <n v="12"/>
    <n v="12"/>
    <x v="1"/>
    <x v="0"/>
    <s v="Bacon, Pepperoni, Italian Sausage, Chorizo Sausage"/>
    <x v="4"/>
  </r>
  <r>
    <n v="24637"/>
    <n v="10833"/>
    <n v="0.5"/>
    <s v="napolitana_s"/>
    <n v="1"/>
    <x v="72"/>
    <x v="2"/>
    <x v="93"/>
    <n v="12"/>
    <n v="12"/>
    <x v="1"/>
    <x v="0"/>
    <s v="Tomatoes, Anchovies, Green Olives, Red Onions, Garlic"/>
    <x v="5"/>
  </r>
  <r>
    <n v="24638"/>
    <n v="10833"/>
    <n v="0.5"/>
    <s v="pepperoni_l"/>
    <n v="1"/>
    <x v="72"/>
    <x v="2"/>
    <x v="93"/>
    <n v="15.25"/>
    <n v="15.25"/>
    <x v="2"/>
    <x v="0"/>
    <s v="Mozzarella Cheese, Pepperoni"/>
    <x v="3"/>
  </r>
  <r>
    <n v="24640"/>
    <n v="10834"/>
    <n v="1"/>
    <s v="pepperoni_s"/>
    <n v="1"/>
    <x v="72"/>
    <x v="2"/>
    <x v="2055"/>
    <n v="9.75"/>
    <n v="9.75"/>
    <x v="1"/>
    <x v="0"/>
    <s v="Mozzarella Cheese, Pepperoni"/>
    <x v="3"/>
  </r>
  <r>
    <n v="24641"/>
    <n v="10835"/>
    <n v="1"/>
    <s v="mexicana_m"/>
    <n v="1"/>
    <x v="72"/>
    <x v="2"/>
    <x v="2056"/>
    <n v="16"/>
    <n v="16"/>
    <x v="0"/>
    <x v="1"/>
    <s v="Tomatoes, Red Peppers, Jalapeno Peppers, Red Onions, Cilantro, Corn, Chipotle Sauce, Garlic"/>
    <x v="1"/>
  </r>
  <r>
    <n v="24646"/>
    <n v="10837"/>
    <n v="0.5"/>
    <s v="big_meat_s"/>
    <n v="1"/>
    <x v="72"/>
    <x v="2"/>
    <x v="2057"/>
    <n v="12"/>
    <n v="12"/>
    <x v="1"/>
    <x v="0"/>
    <s v="Bacon, Pepperoni, Italian Sausage, Chorizo Sausage"/>
    <x v="4"/>
  </r>
  <r>
    <n v="24648"/>
    <n v="10837"/>
    <n v="0.5"/>
    <s v="napolitana_s"/>
    <n v="1"/>
    <x v="72"/>
    <x v="2"/>
    <x v="2057"/>
    <n v="12"/>
    <n v="12"/>
    <x v="1"/>
    <x v="0"/>
    <s v="Tomatoes, Anchovies, Green Olives, Red Onions, Garlic"/>
    <x v="5"/>
  </r>
  <r>
    <n v="24653"/>
    <n v="10839"/>
    <n v="1"/>
    <s v="sicilian_s"/>
    <n v="1"/>
    <x v="72"/>
    <x v="2"/>
    <x v="2058"/>
    <n v="12.25"/>
    <n v="12.25"/>
    <x v="1"/>
    <x v="2"/>
    <s v="Coarse Sicilian Salami, Tomatoes, Green Olives, Luganega Sausage, Onions, Garlic"/>
    <x v="7"/>
  </r>
  <r>
    <n v="24655"/>
    <n v="10840"/>
    <n v="0.5"/>
    <s v="big_meat_s"/>
    <n v="1"/>
    <x v="72"/>
    <x v="2"/>
    <x v="2059"/>
    <n v="12"/>
    <n v="12"/>
    <x v="1"/>
    <x v="0"/>
    <s v="Bacon, Pepperoni, Italian Sausage, Chorizo Sausage"/>
    <x v="4"/>
  </r>
  <r>
    <n v="24658"/>
    <n v="10840"/>
    <n v="0.5"/>
    <s v="pepperoni_m"/>
    <n v="1"/>
    <x v="72"/>
    <x v="2"/>
    <x v="2059"/>
    <n v="12.5"/>
    <n v="12.5"/>
    <x v="0"/>
    <x v="0"/>
    <s v="Mozzarella Cheese, Pepperoni"/>
    <x v="3"/>
  </r>
  <r>
    <n v="24659"/>
    <n v="10841"/>
    <n v="1"/>
    <s v="calabrese_m"/>
    <n v="2"/>
    <x v="72"/>
    <x v="2"/>
    <x v="2060"/>
    <n v="16.25"/>
    <n v="32.5"/>
    <x v="0"/>
    <x v="2"/>
    <s v="?duja Salami, Pancetta, Tomatoes, Red Onions, Friggitello Peppers, Garlic"/>
    <x v="6"/>
  </r>
  <r>
    <n v="24663"/>
    <n v="10842"/>
    <n v="1"/>
    <s v="hawaiian_l"/>
    <n v="1"/>
    <x v="72"/>
    <x v="2"/>
    <x v="2061"/>
    <n v="16.5"/>
    <n v="16.5"/>
    <x v="2"/>
    <x v="0"/>
    <s v="Sliced Ham, Pineapple, Mozzarella Cheese"/>
    <x v="0"/>
  </r>
  <r>
    <n v="24668"/>
    <n v="10844"/>
    <n v="1"/>
    <s v="big_meat_s"/>
    <n v="1"/>
    <x v="72"/>
    <x v="2"/>
    <x v="818"/>
    <n v="12"/>
    <n v="12"/>
    <x v="1"/>
    <x v="0"/>
    <s v="Bacon, Pepperoni, Italian Sausage, Chorizo Sausage"/>
    <x v="4"/>
  </r>
  <r>
    <n v="24670"/>
    <n v="10846"/>
    <n v="0.5"/>
    <s v="big_meat_s"/>
    <n v="1"/>
    <x v="72"/>
    <x v="2"/>
    <x v="2062"/>
    <n v="12"/>
    <n v="12"/>
    <x v="1"/>
    <x v="0"/>
    <s v="Bacon, Pepperoni, Italian Sausage, Chorizo Sausage"/>
    <x v="4"/>
  </r>
  <r>
    <n v="24671"/>
    <n v="10846"/>
    <n v="0.5"/>
    <s v="calabrese_l"/>
    <n v="1"/>
    <x v="72"/>
    <x v="2"/>
    <x v="2062"/>
    <n v="20.25"/>
    <n v="20.25"/>
    <x v="2"/>
    <x v="2"/>
    <s v="?duja Salami, Pancetta, Tomatoes, Red Onions, Friggitello Peppers, Garlic"/>
    <x v="6"/>
  </r>
  <r>
    <n v="24675"/>
    <n v="10847"/>
    <n v="1"/>
    <s v="the_greek_l"/>
    <n v="1"/>
    <x v="72"/>
    <x v="2"/>
    <x v="2063"/>
    <n v="20.5"/>
    <n v="20.5"/>
    <x v="2"/>
    <x v="0"/>
    <s v="Kalamata Olives, Feta Cheese, Tomatoes, Garlic, Beef Chuck Roast, Red Onions"/>
    <x v="2"/>
  </r>
  <r>
    <n v="24681"/>
    <n v="10851"/>
    <n v="1"/>
    <s v="napolitana_l"/>
    <n v="1"/>
    <x v="72"/>
    <x v="2"/>
    <x v="2064"/>
    <n v="20.5"/>
    <n v="20.5"/>
    <x v="2"/>
    <x v="0"/>
    <s v="Tomatoes, Anchovies, Green Olives, Red Onions, Garlic"/>
    <x v="5"/>
  </r>
  <r>
    <n v="24682"/>
    <n v="10852"/>
    <n v="1"/>
    <s v="big_meat_s"/>
    <n v="1"/>
    <x v="72"/>
    <x v="2"/>
    <x v="2065"/>
    <n v="12"/>
    <n v="12"/>
    <x v="1"/>
    <x v="0"/>
    <s v="Bacon, Pepperoni, Italian Sausage, Chorizo Sausage"/>
    <x v="4"/>
  </r>
  <r>
    <n v="24687"/>
    <n v="10854"/>
    <n v="1"/>
    <s v="mexicana_m"/>
    <n v="1"/>
    <x v="72"/>
    <x v="2"/>
    <x v="2066"/>
    <n v="16"/>
    <n v="16"/>
    <x v="0"/>
    <x v="1"/>
    <s v="Tomatoes, Red Peppers, Jalapeno Peppers, Red Onions, Cilantro, Corn, Chipotle Sauce, Garlic"/>
    <x v="1"/>
  </r>
  <r>
    <n v="24690"/>
    <n v="10857"/>
    <n v="1"/>
    <s v="big_meat_s"/>
    <n v="1"/>
    <x v="72"/>
    <x v="2"/>
    <x v="2067"/>
    <n v="12"/>
    <n v="12"/>
    <x v="1"/>
    <x v="0"/>
    <s v="Bacon, Pepperoni, Italian Sausage, Chorizo Sausage"/>
    <x v="4"/>
  </r>
  <r>
    <n v="24693"/>
    <n v="10858"/>
    <n v="1"/>
    <s v="pepperoni_m"/>
    <n v="1"/>
    <x v="72"/>
    <x v="2"/>
    <x v="2068"/>
    <n v="12.5"/>
    <n v="12.5"/>
    <x v="0"/>
    <x v="0"/>
    <s v="Mozzarella Cheese, Pepperoni"/>
    <x v="3"/>
  </r>
  <r>
    <n v="24710"/>
    <n v="10867"/>
    <n v="1"/>
    <s v="napolitana_m"/>
    <n v="1"/>
    <x v="73"/>
    <x v="5"/>
    <x v="2069"/>
    <n v="16"/>
    <n v="16"/>
    <x v="0"/>
    <x v="0"/>
    <s v="Tomatoes, Anchovies, Green Olives, Red Onions, Garlic"/>
    <x v="5"/>
  </r>
  <r>
    <n v="24711"/>
    <n v="10868"/>
    <n v="0.5"/>
    <s v="hawaiian_m"/>
    <n v="1"/>
    <x v="73"/>
    <x v="5"/>
    <x v="1538"/>
    <n v="13.25"/>
    <n v="13.25"/>
    <x v="0"/>
    <x v="0"/>
    <s v="Sliced Ham, Pineapple, Mozzarella Cheese"/>
    <x v="0"/>
  </r>
  <r>
    <n v="24712"/>
    <n v="10868"/>
    <n v="0.5"/>
    <s v="pepperoni_l"/>
    <n v="1"/>
    <x v="73"/>
    <x v="5"/>
    <x v="1538"/>
    <n v="15.25"/>
    <n v="15.25"/>
    <x v="2"/>
    <x v="0"/>
    <s v="Mozzarella Cheese, Pepperoni"/>
    <x v="3"/>
  </r>
  <r>
    <n v="24718"/>
    <n v="10870"/>
    <n v="0.5"/>
    <s v="sicilian_m"/>
    <n v="1"/>
    <x v="73"/>
    <x v="5"/>
    <x v="2070"/>
    <n v="16.25"/>
    <n v="16.25"/>
    <x v="0"/>
    <x v="2"/>
    <s v="Coarse Sicilian Salami, Tomatoes, Green Olives, Luganega Sausage, Onions, Garlic"/>
    <x v="7"/>
  </r>
  <r>
    <n v="24719"/>
    <n v="10870"/>
    <n v="0.5"/>
    <s v="the_greek_xl"/>
    <n v="1"/>
    <x v="73"/>
    <x v="5"/>
    <x v="2070"/>
    <n v="25.5"/>
    <n v="25.5"/>
    <x v="3"/>
    <x v="0"/>
    <s v="Kalamata Olives, Feta Cheese, Tomatoes, Garlic, Beef Chuck Roast, Red Onions"/>
    <x v="2"/>
  </r>
  <r>
    <n v="24720"/>
    <n v="10871"/>
    <n v="0.5"/>
    <s v="big_meat_s"/>
    <n v="1"/>
    <x v="73"/>
    <x v="5"/>
    <x v="2071"/>
    <n v="12"/>
    <n v="12"/>
    <x v="1"/>
    <x v="0"/>
    <s v="Bacon, Pepperoni, Italian Sausage, Chorizo Sausage"/>
    <x v="4"/>
  </r>
  <r>
    <n v="24722"/>
    <n v="10871"/>
    <n v="0.5"/>
    <s v="hawaiian_l"/>
    <n v="1"/>
    <x v="73"/>
    <x v="5"/>
    <x v="2071"/>
    <n v="16.5"/>
    <n v="16.5"/>
    <x v="2"/>
    <x v="0"/>
    <s v="Sliced Ham, Pineapple, Mozzarella Cheese"/>
    <x v="0"/>
  </r>
  <r>
    <n v="24723"/>
    <n v="10872"/>
    <n v="1"/>
    <s v="napolitana_s"/>
    <n v="1"/>
    <x v="73"/>
    <x v="5"/>
    <x v="2072"/>
    <n v="12"/>
    <n v="12"/>
    <x v="1"/>
    <x v="0"/>
    <s v="Tomatoes, Anchovies, Green Olives, Red Onions, Garlic"/>
    <x v="5"/>
  </r>
  <r>
    <n v="24728"/>
    <n v="10876"/>
    <n v="1"/>
    <s v="big_meat_s"/>
    <n v="1"/>
    <x v="73"/>
    <x v="5"/>
    <x v="2073"/>
    <n v="12"/>
    <n v="12"/>
    <x v="1"/>
    <x v="0"/>
    <s v="Bacon, Pepperoni, Italian Sausage, Chorizo Sausage"/>
    <x v="4"/>
  </r>
  <r>
    <n v="24732"/>
    <n v="10878"/>
    <n v="1"/>
    <s v="pepperoni_l"/>
    <n v="1"/>
    <x v="73"/>
    <x v="5"/>
    <x v="2074"/>
    <n v="15.25"/>
    <n v="15.25"/>
    <x v="2"/>
    <x v="0"/>
    <s v="Mozzarella Cheese, Pepperoni"/>
    <x v="3"/>
  </r>
  <r>
    <n v="24742"/>
    <n v="10884"/>
    <n v="1"/>
    <s v="sicilian_s"/>
    <n v="1"/>
    <x v="73"/>
    <x v="5"/>
    <x v="2075"/>
    <n v="12.25"/>
    <n v="12.25"/>
    <x v="1"/>
    <x v="2"/>
    <s v="Coarse Sicilian Salami, Tomatoes, Green Olives, Luganega Sausage, Onions, Garlic"/>
    <x v="7"/>
  </r>
  <r>
    <n v="24743"/>
    <n v="10885"/>
    <n v="1"/>
    <s v="hawaiian_l"/>
    <n v="1"/>
    <x v="73"/>
    <x v="5"/>
    <x v="2076"/>
    <n v="16.5"/>
    <n v="16.5"/>
    <x v="2"/>
    <x v="0"/>
    <s v="Sliced Ham, Pineapple, Mozzarella Cheese"/>
    <x v="0"/>
  </r>
  <r>
    <n v="24746"/>
    <n v="10886"/>
    <n v="1"/>
    <s v="sicilian_s"/>
    <n v="1"/>
    <x v="73"/>
    <x v="5"/>
    <x v="2077"/>
    <n v="12.25"/>
    <n v="12.25"/>
    <x v="1"/>
    <x v="2"/>
    <s v="Coarse Sicilian Salami, Tomatoes, Green Olives, Luganega Sausage, Onions, Garlic"/>
    <x v="7"/>
  </r>
  <r>
    <n v="24749"/>
    <n v="10888"/>
    <n v="1"/>
    <s v="the_greek_xl"/>
    <n v="1"/>
    <x v="73"/>
    <x v="5"/>
    <x v="2078"/>
    <n v="25.5"/>
    <n v="25.5"/>
    <x v="3"/>
    <x v="0"/>
    <s v="Kalamata Olives, Feta Cheese, Tomatoes, Garlic, Beef Chuck Roast, Red Onions"/>
    <x v="2"/>
  </r>
  <r>
    <n v="24751"/>
    <n v="10889"/>
    <n v="0.5"/>
    <s v="hawaiian_s"/>
    <n v="1"/>
    <x v="73"/>
    <x v="5"/>
    <x v="2079"/>
    <n v="10.5"/>
    <n v="10.5"/>
    <x v="1"/>
    <x v="0"/>
    <s v="Sliced Ham, Pineapple, Mozzarella Cheese"/>
    <x v="0"/>
  </r>
  <r>
    <n v="24753"/>
    <n v="10889"/>
    <n v="0.5"/>
    <s v="sicilian_m"/>
    <n v="1"/>
    <x v="73"/>
    <x v="5"/>
    <x v="2079"/>
    <n v="16.25"/>
    <n v="16.25"/>
    <x v="0"/>
    <x v="2"/>
    <s v="Coarse Sicilian Salami, Tomatoes, Green Olives, Luganega Sausage, Onions, Garlic"/>
    <x v="7"/>
  </r>
  <r>
    <n v="24774"/>
    <n v="10899"/>
    <n v="1"/>
    <s v="pepperoni_l"/>
    <n v="1"/>
    <x v="73"/>
    <x v="5"/>
    <x v="2080"/>
    <n v="15.25"/>
    <n v="15.25"/>
    <x v="2"/>
    <x v="0"/>
    <s v="Mozzarella Cheese, Pepperoni"/>
    <x v="3"/>
  </r>
  <r>
    <n v="24777"/>
    <n v="10900"/>
    <n v="1"/>
    <s v="pepperoni_s"/>
    <n v="1"/>
    <x v="73"/>
    <x v="5"/>
    <x v="2081"/>
    <n v="9.75"/>
    <n v="9.75"/>
    <x v="1"/>
    <x v="0"/>
    <s v="Mozzarella Cheese, Pepperoni"/>
    <x v="3"/>
  </r>
  <r>
    <n v="24779"/>
    <n v="10901"/>
    <n v="1"/>
    <s v="brie_carre_s"/>
    <n v="1"/>
    <x v="73"/>
    <x v="5"/>
    <x v="48"/>
    <n v="23.65"/>
    <n v="23.65"/>
    <x v="1"/>
    <x v="2"/>
    <s v="Brie Carre Cheese, Prosciutto, Caramelized Onions, Pears, Thyme, Garlic"/>
    <x v="8"/>
  </r>
  <r>
    <n v="24782"/>
    <n v="10902"/>
    <n v="1"/>
    <s v="pepperoni_s"/>
    <n v="1"/>
    <x v="73"/>
    <x v="5"/>
    <x v="2082"/>
    <n v="9.75"/>
    <n v="9.75"/>
    <x v="1"/>
    <x v="0"/>
    <s v="Mozzarella Cheese, Pepperoni"/>
    <x v="3"/>
  </r>
  <r>
    <n v="24784"/>
    <n v="10903"/>
    <n v="0.5"/>
    <s v="hawaiian_s"/>
    <n v="1"/>
    <x v="73"/>
    <x v="5"/>
    <x v="2083"/>
    <n v="10.5"/>
    <n v="10.5"/>
    <x v="1"/>
    <x v="0"/>
    <s v="Sliced Ham, Pineapple, Mozzarella Cheese"/>
    <x v="0"/>
  </r>
  <r>
    <n v="24786"/>
    <n v="10903"/>
    <n v="0.5"/>
    <s v="pepperoni_m"/>
    <n v="1"/>
    <x v="73"/>
    <x v="5"/>
    <x v="2083"/>
    <n v="12.5"/>
    <n v="12.5"/>
    <x v="0"/>
    <x v="0"/>
    <s v="Mozzarella Cheese, Pepperoni"/>
    <x v="3"/>
  </r>
  <r>
    <n v="24787"/>
    <n v="10904"/>
    <n v="0.5"/>
    <s v="big_meat_s"/>
    <n v="1"/>
    <x v="73"/>
    <x v="5"/>
    <x v="2084"/>
    <n v="12"/>
    <n v="12"/>
    <x v="1"/>
    <x v="0"/>
    <s v="Bacon, Pepperoni, Italian Sausage, Chorizo Sausage"/>
    <x v="4"/>
  </r>
  <r>
    <n v="24788"/>
    <n v="10904"/>
    <n v="0.5"/>
    <s v="hawaiian_m"/>
    <n v="1"/>
    <x v="73"/>
    <x v="5"/>
    <x v="2084"/>
    <n v="13.25"/>
    <n v="13.25"/>
    <x v="0"/>
    <x v="0"/>
    <s v="Sliced Ham, Pineapple, Mozzarella Cheese"/>
    <x v="0"/>
  </r>
  <r>
    <n v="24789"/>
    <n v="10905"/>
    <n v="1"/>
    <s v="hawaiian_l"/>
    <n v="1"/>
    <x v="73"/>
    <x v="5"/>
    <x v="2085"/>
    <n v="16.5"/>
    <n v="16.5"/>
    <x v="2"/>
    <x v="0"/>
    <s v="Sliced Ham, Pineapple, Mozzarella Cheese"/>
    <x v="0"/>
  </r>
  <r>
    <n v="24794"/>
    <n v="10906"/>
    <n v="1"/>
    <s v="pepperoni_l"/>
    <n v="1"/>
    <x v="73"/>
    <x v="5"/>
    <x v="2086"/>
    <n v="15.25"/>
    <n v="15.25"/>
    <x v="2"/>
    <x v="0"/>
    <s v="Mozzarella Cheese, Pepperoni"/>
    <x v="3"/>
  </r>
  <r>
    <n v="24796"/>
    <n v="10907"/>
    <n v="1"/>
    <s v="napolitana_l"/>
    <n v="1"/>
    <x v="73"/>
    <x v="5"/>
    <x v="2087"/>
    <n v="20.5"/>
    <n v="20.5"/>
    <x v="2"/>
    <x v="0"/>
    <s v="Tomatoes, Anchovies, Green Olives, Red Onions, Garlic"/>
    <x v="5"/>
  </r>
  <r>
    <n v="24798"/>
    <n v="10908"/>
    <n v="0.5"/>
    <s v="mexicana_m"/>
    <n v="1"/>
    <x v="73"/>
    <x v="5"/>
    <x v="2088"/>
    <n v="16"/>
    <n v="16"/>
    <x v="0"/>
    <x v="1"/>
    <s v="Tomatoes, Red Peppers, Jalapeno Peppers, Red Onions, Cilantro, Corn, Chipotle Sauce, Garlic"/>
    <x v="1"/>
  </r>
  <r>
    <n v="24799"/>
    <n v="10908"/>
    <n v="0.5"/>
    <s v="napolitana_l"/>
    <n v="1"/>
    <x v="73"/>
    <x v="5"/>
    <x v="2088"/>
    <n v="20.5"/>
    <n v="20.5"/>
    <x v="2"/>
    <x v="0"/>
    <s v="Tomatoes, Anchovies, Green Olives, Red Onions, Garlic"/>
    <x v="5"/>
  </r>
  <r>
    <n v="24803"/>
    <n v="10909"/>
    <n v="1"/>
    <s v="sicilian_l"/>
    <n v="1"/>
    <x v="73"/>
    <x v="5"/>
    <x v="2089"/>
    <n v="20.25"/>
    <n v="20.25"/>
    <x v="2"/>
    <x v="2"/>
    <s v="Coarse Sicilian Salami, Tomatoes, Green Olives, Luganega Sausage, Onions, Garlic"/>
    <x v="7"/>
  </r>
  <r>
    <n v="24805"/>
    <n v="10910"/>
    <n v="1"/>
    <s v="mexicana_m"/>
    <n v="1"/>
    <x v="73"/>
    <x v="5"/>
    <x v="2090"/>
    <n v="16"/>
    <n v="16"/>
    <x v="0"/>
    <x v="1"/>
    <s v="Tomatoes, Red Peppers, Jalapeno Peppers, Red Onions, Cilantro, Corn, Chipotle Sauce, Garlic"/>
    <x v="1"/>
  </r>
  <r>
    <n v="24806"/>
    <n v="10911"/>
    <n v="0.5"/>
    <s v="calabrese_m"/>
    <n v="1"/>
    <x v="73"/>
    <x v="5"/>
    <x v="2091"/>
    <n v="16.25"/>
    <n v="16.25"/>
    <x v="0"/>
    <x v="2"/>
    <s v="?duja Salami, Pancetta, Tomatoes, Red Onions, Friggitello Peppers, Garlic"/>
    <x v="6"/>
  </r>
  <r>
    <n v="24807"/>
    <n v="10911"/>
    <n v="0.5"/>
    <s v="hawaiian_s"/>
    <n v="1"/>
    <x v="73"/>
    <x v="5"/>
    <x v="2091"/>
    <n v="10.5"/>
    <n v="10.5"/>
    <x v="1"/>
    <x v="0"/>
    <s v="Sliced Ham, Pineapple, Mozzarella Cheese"/>
    <x v="0"/>
  </r>
  <r>
    <n v="24809"/>
    <n v="10912"/>
    <n v="1"/>
    <s v="big_meat_s"/>
    <n v="1"/>
    <x v="73"/>
    <x v="5"/>
    <x v="2092"/>
    <n v="12"/>
    <n v="12"/>
    <x v="1"/>
    <x v="0"/>
    <s v="Bacon, Pepperoni, Italian Sausage, Chorizo Sausage"/>
    <x v="4"/>
  </r>
  <r>
    <n v="24810"/>
    <n v="10913"/>
    <n v="1"/>
    <s v="big_meat_s"/>
    <n v="1"/>
    <x v="73"/>
    <x v="5"/>
    <x v="2093"/>
    <n v="12"/>
    <n v="12"/>
    <x v="1"/>
    <x v="0"/>
    <s v="Bacon, Pepperoni, Italian Sausage, Chorizo Sausage"/>
    <x v="4"/>
  </r>
  <r>
    <n v="24811"/>
    <n v="10914"/>
    <n v="0.33333333333333331"/>
    <s v="big_meat_s"/>
    <n v="1"/>
    <x v="73"/>
    <x v="5"/>
    <x v="2094"/>
    <n v="12"/>
    <n v="12"/>
    <x v="1"/>
    <x v="0"/>
    <s v="Bacon, Pepperoni, Italian Sausage, Chorizo Sausage"/>
    <x v="4"/>
  </r>
  <r>
    <n v="24812"/>
    <n v="10914"/>
    <n v="0.33333333333333331"/>
    <s v="the_greek_m"/>
    <n v="1"/>
    <x v="73"/>
    <x v="5"/>
    <x v="2094"/>
    <n v="16"/>
    <n v="16"/>
    <x v="0"/>
    <x v="0"/>
    <s v="Kalamata Olives, Feta Cheese, Tomatoes, Garlic, Beef Chuck Roast, Red Onions"/>
    <x v="2"/>
  </r>
  <r>
    <n v="24813"/>
    <n v="10914"/>
    <n v="0.33333333333333331"/>
    <s v="the_greek_s"/>
    <n v="1"/>
    <x v="73"/>
    <x v="5"/>
    <x v="2094"/>
    <n v="12"/>
    <n v="12"/>
    <x v="1"/>
    <x v="0"/>
    <s v="Kalamata Olives, Feta Cheese, Tomatoes, Garlic, Beef Chuck Roast, Red Onions"/>
    <x v="2"/>
  </r>
  <r>
    <n v="24819"/>
    <n v="10917"/>
    <n v="1"/>
    <s v="sicilian_s"/>
    <n v="1"/>
    <x v="73"/>
    <x v="5"/>
    <x v="2095"/>
    <n v="12.25"/>
    <n v="12.25"/>
    <x v="1"/>
    <x v="2"/>
    <s v="Coarse Sicilian Salami, Tomatoes, Green Olives, Luganega Sausage, Onions, Garlic"/>
    <x v="7"/>
  </r>
  <r>
    <n v="24821"/>
    <n v="10918"/>
    <n v="0.5"/>
    <s v="hawaiian_l"/>
    <n v="1"/>
    <x v="73"/>
    <x v="5"/>
    <x v="2096"/>
    <n v="16.5"/>
    <n v="16.5"/>
    <x v="2"/>
    <x v="0"/>
    <s v="Sliced Ham, Pineapple, Mozzarella Cheese"/>
    <x v="0"/>
  </r>
  <r>
    <n v="24822"/>
    <n v="10918"/>
    <n v="0.5"/>
    <s v="pepperoni_l"/>
    <n v="1"/>
    <x v="73"/>
    <x v="5"/>
    <x v="2096"/>
    <n v="15.25"/>
    <n v="15.25"/>
    <x v="2"/>
    <x v="0"/>
    <s v="Mozzarella Cheese, Pepperoni"/>
    <x v="3"/>
  </r>
  <r>
    <n v="24832"/>
    <n v="10922"/>
    <n v="1"/>
    <s v="the_greek_xl"/>
    <n v="1"/>
    <x v="73"/>
    <x v="5"/>
    <x v="2097"/>
    <n v="25.5"/>
    <n v="25.5"/>
    <x v="3"/>
    <x v="0"/>
    <s v="Kalamata Olives, Feta Cheese, Tomatoes, Garlic, Beef Chuck Roast, Red Onions"/>
    <x v="2"/>
  </r>
  <r>
    <n v="24835"/>
    <n v="10925"/>
    <n v="1"/>
    <s v="sicilian_s"/>
    <n v="1"/>
    <x v="74"/>
    <x v="5"/>
    <x v="2098"/>
    <n v="12.25"/>
    <n v="12.25"/>
    <x v="1"/>
    <x v="2"/>
    <s v="Coarse Sicilian Salami, Tomatoes, Green Olives, Luganega Sausage, Onions, Garlic"/>
    <x v="7"/>
  </r>
  <r>
    <n v="24838"/>
    <n v="10926"/>
    <n v="1"/>
    <s v="pepperoni_m"/>
    <n v="1"/>
    <x v="74"/>
    <x v="5"/>
    <x v="2099"/>
    <n v="12.5"/>
    <n v="12.5"/>
    <x v="0"/>
    <x v="0"/>
    <s v="Mozzarella Cheese, Pepperoni"/>
    <x v="3"/>
  </r>
  <r>
    <n v="24839"/>
    <n v="10927"/>
    <n v="1"/>
    <s v="pepperoni_m"/>
    <n v="1"/>
    <x v="74"/>
    <x v="5"/>
    <x v="2100"/>
    <n v="12.5"/>
    <n v="12.5"/>
    <x v="0"/>
    <x v="0"/>
    <s v="Mozzarella Cheese, Pepperoni"/>
    <x v="3"/>
  </r>
  <r>
    <n v="24840"/>
    <n v="10928"/>
    <n v="1"/>
    <s v="brie_carre_s"/>
    <n v="1"/>
    <x v="74"/>
    <x v="5"/>
    <x v="2101"/>
    <n v="23.65"/>
    <n v="23.65"/>
    <x v="1"/>
    <x v="2"/>
    <s v="Brie Carre Cheese, Prosciutto, Caramelized Onions, Pears, Thyme, Garlic"/>
    <x v="8"/>
  </r>
  <r>
    <n v="24847"/>
    <n v="10931"/>
    <n v="0.5"/>
    <s v="big_meat_s"/>
    <n v="1"/>
    <x v="74"/>
    <x v="5"/>
    <x v="1831"/>
    <n v="12"/>
    <n v="12"/>
    <x v="1"/>
    <x v="0"/>
    <s v="Bacon, Pepperoni, Italian Sausage, Chorizo Sausage"/>
    <x v="4"/>
  </r>
  <r>
    <n v="24853"/>
    <n v="10931"/>
    <n v="0.5"/>
    <s v="pepperoni_l"/>
    <n v="1"/>
    <x v="74"/>
    <x v="5"/>
    <x v="1831"/>
    <n v="15.25"/>
    <n v="15.25"/>
    <x v="2"/>
    <x v="0"/>
    <s v="Mozzarella Cheese, Pepperoni"/>
    <x v="3"/>
  </r>
  <r>
    <n v="24859"/>
    <n v="10932"/>
    <n v="1"/>
    <s v="big_meat_s"/>
    <n v="1"/>
    <x v="74"/>
    <x v="5"/>
    <x v="2102"/>
    <n v="12"/>
    <n v="12"/>
    <x v="1"/>
    <x v="0"/>
    <s v="Bacon, Pepperoni, Italian Sausage, Chorizo Sausage"/>
    <x v="4"/>
  </r>
  <r>
    <n v="24861"/>
    <n v="10933"/>
    <n v="1"/>
    <s v="big_meat_s"/>
    <n v="1"/>
    <x v="74"/>
    <x v="5"/>
    <x v="2103"/>
    <n v="12"/>
    <n v="12"/>
    <x v="1"/>
    <x v="0"/>
    <s v="Bacon, Pepperoni, Italian Sausage, Chorizo Sausage"/>
    <x v="4"/>
  </r>
  <r>
    <n v="24865"/>
    <n v="10934"/>
    <n v="1"/>
    <s v="mexicana_l"/>
    <n v="1"/>
    <x v="74"/>
    <x v="5"/>
    <x v="2104"/>
    <n v="20.25"/>
    <n v="20.25"/>
    <x v="2"/>
    <x v="1"/>
    <s v="Tomatoes, Red Peppers, Jalapeno Peppers, Red Onions, Cilantro, Corn, Chipotle Sauce, Garlic"/>
    <x v="1"/>
  </r>
  <r>
    <n v="24867"/>
    <n v="10935"/>
    <n v="1"/>
    <s v="big_meat_s"/>
    <n v="1"/>
    <x v="74"/>
    <x v="5"/>
    <x v="2105"/>
    <n v="12"/>
    <n v="12"/>
    <x v="1"/>
    <x v="0"/>
    <s v="Bacon, Pepperoni, Italian Sausage, Chorizo Sausage"/>
    <x v="4"/>
  </r>
  <r>
    <n v="24871"/>
    <n v="10936"/>
    <n v="1"/>
    <s v="sicilian_s"/>
    <n v="1"/>
    <x v="74"/>
    <x v="5"/>
    <x v="2106"/>
    <n v="12.25"/>
    <n v="12.25"/>
    <x v="1"/>
    <x v="2"/>
    <s v="Coarse Sicilian Salami, Tomatoes, Green Olives, Luganega Sausage, Onions, Garlic"/>
    <x v="7"/>
  </r>
  <r>
    <n v="24878"/>
    <n v="10941"/>
    <n v="1"/>
    <s v="hawaiian_l"/>
    <n v="1"/>
    <x v="74"/>
    <x v="5"/>
    <x v="2107"/>
    <n v="16.5"/>
    <n v="16.5"/>
    <x v="2"/>
    <x v="0"/>
    <s v="Sliced Ham, Pineapple, Mozzarella Cheese"/>
    <x v="0"/>
  </r>
  <r>
    <n v="24882"/>
    <n v="10942"/>
    <n v="1"/>
    <s v="hawaiian_s"/>
    <n v="1"/>
    <x v="74"/>
    <x v="5"/>
    <x v="884"/>
    <n v="10.5"/>
    <n v="10.5"/>
    <x v="1"/>
    <x v="0"/>
    <s v="Sliced Ham, Pineapple, Mozzarella Cheese"/>
    <x v="0"/>
  </r>
  <r>
    <n v="24885"/>
    <n v="10943"/>
    <n v="1"/>
    <s v="mexicana_l"/>
    <n v="1"/>
    <x v="74"/>
    <x v="5"/>
    <x v="2108"/>
    <n v="20.25"/>
    <n v="20.25"/>
    <x v="2"/>
    <x v="1"/>
    <s v="Tomatoes, Red Peppers, Jalapeno Peppers, Red Onions, Cilantro, Corn, Chipotle Sauce, Garlic"/>
    <x v="1"/>
  </r>
  <r>
    <n v="24890"/>
    <n v="10945"/>
    <n v="0.5"/>
    <s v="hawaiian_l"/>
    <n v="1"/>
    <x v="74"/>
    <x v="5"/>
    <x v="2109"/>
    <n v="16.5"/>
    <n v="16.5"/>
    <x v="2"/>
    <x v="0"/>
    <s v="Sliced Ham, Pineapple, Mozzarella Cheese"/>
    <x v="0"/>
  </r>
  <r>
    <n v="24891"/>
    <n v="10945"/>
    <n v="0.5"/>
    <s v="hawaiian_s"/>
    <n v="1"/>
    <x v="74"/>
    <x v="5"/>
    <x v="2109"/>
    <n v="10.5"/>
    <n v="10.5"/>
    <x v="1"/>
    <x v="0"/>
    <s v="Sliced Ham, Pineapple, Mozzarella Cheese"/>
    <x v="0"/>
  </r>
  <r>
    <n v="24901"/>
    <n v="10950"/>
    <n v="1"/>
    <s v="pepperoni_s"/>
    <n v="1"/>
    <x v="74"/>
    <x v="5"/>
    <x v="2110"/>
    <n v="9.75"/>
    <n v="9.75"/>
    <x v="1"/>
    <x v="0"/>
    <s v="Mozzarella Cheese, Pepperoni"/>
    <x v="3"/>
  </r>
  <r>
    <n v="24902"/>
    <n v="10951"/>
    <n v="1"/>
    <s v="hawaiian_m"/>
    <n v="1"/>
    <x v="74"/>
    <x v="5"/>
    <x v="2111"/>
    <n v="13.25"/>
    <n v="13.25"/>
    <x v="0"/>
    <x v="0"/>
    <s v="Sliced Ham, Pineapple, Mozzarella Cheese"/>
    <x v="0"/>
  </r>
  <r>
    <n v="24908"/>
    <n v="10954"/>
    <n v="0.5"/>
    <s v="pepperoni_l"/>
    <n v="1"/>
    <x v="74"/>
    <x v="5"/>
    <x v="2112"/>
    <n v="15.25"/>
    <n v="15.25"/>
    <x v="2"/>
    <x v="0"/>
    <s v="Mozzarella Cheese, Pepperoni"/>
    <x v="3"/>
  </r>
  <r>
    <n v="24909"/>
    <n v="10954"/>
    <n v="0.5"/>
    <s v="the_greek_m"/>
    <n v="1"/>
    <x v="74"/>
    <x v="5"/>
    <x v="2112"/>
    <n v="16"/>
    <n v="16"/>
    <x v="0"/>
    <x v="0"/>
    <s v="Kalamata Olives, Feta Cheese, Tomatoes, Garlic, Beef Chuck Roast, Red Onions"/>
    <x v="2"/>
  </r>
  <r>
    <n v="24910"/>
    <n v="10955"/>
    <n v="1"/>
    <s v="napolitana_l"/>
    <n v="1"/>
    <x v="74"/>
    <x v="5"/>
    <x v="2113"/>
    <n v="20.5"/>
    <n v="20.5"/>
    <x v="2"/>
    <x v="0"/>
    <s v="Tomatoes, Anchovies, Green Olives, Red Onions, Garlic"/>
    <x v="5"/>
  </r>
  <r>
    <n v="24925"/>
    <n v="10964"/>
    <n v="1"/>
    <s v="pepperoni_l"/>
    <n v="1"/>
    <x v="74"/>
    <x v="5"/>
    <x v="2114"/>
    <n v="15.25"/>
    <n v="15.25"/>
    <x v="2"/>
    <x v="0"/>
    <s v="Mozzarella Cheese, Pepperoni"/>
    <x v="3"/>
  </r>
  <r>
    <n v="24928"/>
    <n v="10966"/>
    <n v="1"/>
    <s v="pepperoni_s"/>
    <n v="1"/>
    <x v="74"/>
    <x v="5"/>
    <x v="2115"/>
    <n v="9.75"/>
    <n v="9.75"/>
    <x v="1"/>
    <x v="0"/>
    <s v="Mozzarella Cheese, Pepperoni"/>
    <x v="3"/>
  </r>
  <r>
    <n v="24935"/>
    <n v="10970"/>
    <n v="1"/>
    <s v="the_greek_s"/>
    <n v="1"/>
    <x v="74"/>
    <x v="5"/>
    <x v="2116"/>
    <n v="12"/>
    <n v="12"/>
    <x v="1"/>
    <x v="0"/>
    <s v="Kalamata Olives, Feta Cheese, Tomatoes, Garlic, Beef Chuck Roast, Red Onions"/>
    <x v="2"/>
  </r>
  <r>
    <n v="24938"/>
    <n v="10972"/>
    <n v="1"/>
    <s v="big_meat_s"/>
    <n v="1"/>
    <x v="74"/>
    <x v="5"/>
    <x v="2117"/>
    <n v="12"/>
    <n v="12"/>
    <x v="1"/>
    <x v="0"/>
    <s v="Bacon, Pepperoni, Italian Sausage, Chorizo Sausage"/>
    <x v="4"/>
  </r>
  <r>
    <n v="24940"/>
    <n v="10973"/>
    <n v="1"/>
    <s v="mexicana_l"/>
    <n v="1"/>
    <x v="74"/>
    <x v="5"/>
    <x v="2118"/>
    <n v="20.25"/>
    <n v="20.25"/>
    <x v="2"/>
    <x v="1"/>
    <s v="Tomatoes, Red Peppers, Jalapeno Peppers, Red Onions, Cilantro, Corn, Chipotle Sauce, Garlic"/>
    <x v="1"/>
  </r>
  <r>
    <n v="24942"/>
    <n v="10974"/>
    <n v="1"/>
    <s v="mexicana_m"/>
    <n v="1"/>
    <x v="74"/>
    <x v="5"/>
    <x v="2119"/>
    <n v="16"/>
    <n v="16"/>
    <x v="0"/>
    <x v="1"/>
    <s v="Tomatoes, Red Peppers, Jalapeno Peppers, Red Onions, Cilantro, Corn, Chipotle Sauce, Garlic"/>
    <x v="1"/>
  </r>
  <r>
    <n v="24944"/>
    <n v="10975"/>
    <n v="1"/>
    <s v="mexicana_l"/>
    <n v="1"/>
    <x v="74"/>
    <x v="5"/>
    <x v="2120"/>
    <n v="20.25"/>
    <n v="20.25"/>
    <x v="2"/>
    <x v="1"/>
    <s v="Tomatoes, Red Peppers, Jalapeno Peppers, Red Onions, Cilantro, Corn, Chipotle Sauce, Garlic"/>
    <x v="1"/>
  </r>
  <r>
    <n v="24946"/>
    <n v="10977"/>
    <n v="0.5"/>
    <s v="big_meat_s"/>
    <n v="2"/>
    <x v="74"/>
    <x v="5"/>
    <x v="2121"/>
    <n v="12"/>
    <n v="24"/>
    <x v="1"/>
    <x v="0"/>
    <s v="Bacon, Pepperoni, Italian Sausage, Chorizo Sausage"/>
    <x v="4"/>
  </r>
  <r>
    <n v="24948"/>
    <n v="10977"/>
    <n v="0.5"/>
    <s v="pepperoni_s"/>
    <n v="1"/>
    <x v="74"/>
    <x v="5"/>
    <x v="2121"/>
    <n v="9.75"/>
    <n v="9.75"/>
    <x v="1"/>
    <x v="0"/>
    <s v="Mozzarella Cheese, Pepperoni"/>
    <x v="3"/>
  </r>
  <r>
    <n v="24950"/>
    <n v="10978"/>
    <n v="1"/>
    <s v="sicilian_l"/>
    <n v="1"/>
    <x v="74"/>
    <x v="5"/>
    <x v="2122"/>
    <n v="20.25"/>
    <n v="20.25"/>
    <x v="2"/>
    <x v="2"/>
    <s v="Coarse Sicilian Salami, Tomatoes, Green Olives, Luganega Sausage, Onions, Garlic"/>
    <x v="7"/>
  </r>
  <r>
    <n v="24954"/>
    <n v="10979"/>
    <n v="1"/>
    <s v="pepperoni_s"/>
    <n v="1"/>
    <x v="74"/>
    <x v="5"/>
    <x v="2123"/>
    <n v="9.75"/>
    <n v="9.75"/>
    <x v="1"/>
    <x v="0"/>
    <s v="Mozzarella Cheese, Pepperoni"/>
    <x v="3"/>
  </r>
  <r>
    <n v="24961"/>
    <n v="10981"/>
    <n v="1"/>
    <s v="calabrese_m"/>
    <n v="1"/>
    <x v="74"/>
    <x v="5"/>
    <x v="2124"/>
    <n v="16.25"/>
    <n v="16.25"/>
    <x v="0"/>
    <x v="2"/>
    <s v="?duja Salami, Pancetta, Tomatoes, Red Onions, Friggitello Peppers, Garlic"/>
    <x v="6"/>
  </r>
  <r>
    <n v="24963"/>
    <n v="10982"/>
    <n v="1"/>
    <s v="pepperoni_m"/>
    <n v="1"/>
    <x v="74"/>
    <x v="5"/>
    <x v="2125"/>
    <n v="12.5"/>
    <n v="12.5"/>
    <x v="0"/>
    <x v="0"/>
    <s v="Mozzarella Cheese, Pepperoni"/>
    <x v="3"/>
  </r>
  <r>
    <n v="24967"/>
    <n v="10984"/>
    <n v="1"/>
    <s v="sicilian_m"/>
    <n v="1"/>
    <x v="74"/>
    <x v="5"/>
    <x v="2126"/>
    <n v="16.25"/>
    <n v="16.25"/>
    <x v="0"/>
    <x v="2"/>
    <s v="Coarse Sicilian Salami, Tomatoes, Green Olives, Luganega Sausage, Onions, Garlic"/>
    <x v="7"/>
  </r>
  <r>
    <n v="24970"/>
    <n v="10985"/>
    <n v="0.5"/>
    <s v="mexicana_m"/>
    <n v="1"/>
    <x v="74"/>
    <x v="5"/>
    <x v="2127"/>
    <n v="16"/>
    <n v="16"/>
    <x v="0"/>
    <x v="1"/>
    <s v="Tomatoes, Red Peppers, Jalapeno Peppers, Red Onions, Cilantro, Corn, Chipotle Sauce, Garlic"/>
    <x v="1"/>
  </r>
  <r>
    <n v="24971"/>
    <n v="10985"/>
    <n v="0.5"/>
    <s v="napolitana_l"/>
    <n v="1"/>
    <x v="74"/>
    <x v="5"/>
    <x v="2127"/>
    <n v="20.5"/>
    <n v="20.5"/>
    <x v="2"/>
    <x v="0"/>
    <s v="Tomatoes, Anchovies, Green Olives, Red Onions, Garlic"/>
    <x v="5"/>
  </r>
  <r>
    <n v="24978"/>
    <n v="10989"/>
    <n v="1"/>
    <s v="big_meat_s"/>
    <n v="1"/>
    <x v="74"/>
    <x v="5"/>
    <x v="2128"/>
    <n v="12"/>
    <n v="12"/>
    <x v="1"/>
    <x v="0"/>
    <s v="Bacon, Pepperoni, Italian Sausage, Chorizo Sausage"/>
    <x v="4"/>
  </r>
  <r>
    <n v="24980"/>
    <n v="10990"/>
    <n v="1"/>
    <s v="pepperoni_m"/>
    <n v="1"/>
    <x v="74"/>
    <x v="5"/>
    <x v="2129"/>
    <n v="12.5"/>
    <n v="12.5"/>
    <x v="0"/>
    <x v="0"/>
    <s v="Mozzarella Cheese, Pepperoni"/>
    <x v="3"/>
  </r>
  <r>
    <n v="24983"/>
    <n v="10992"/>
    <n v="0.5"/>
    <s v="napolitana_m"/>
    <n v="1"/>
    <x v="74"/>
    <x v="5"/>
    <x v="2130"/>
    <n v="16"/>
    <n v="16"/>
    <x v="0"/>
    <x v="0"/>
    <s v="Tomatoes, Anchovies, Green Olives, Red Onions, Garlic"/>
    <x v="5"/>
  </r>
  <r>
    <n v="24984"/>
    <n v="10992"/>
    <n v="0.5"/>
    <s v="pepperoni_s"/>
    <n v="1"/>
    <x v="74"/>
    <x v="5"/>
    <x v="2130"/>
    <n v="9.75"/>
    <n v="9.75"/>
    <x v="1"/>
    <x v="0"/>
    <s v="Mozzarella Cheese, Pepperoni"/>
    <x v="3"/>
  </r>
  <r>
    <n v="24989"/>
    <n v="10994"/>
    <n v="0.5"/>
    <s v="big_meat_s"/>
    <n v="2"/>
    <x v="74"/>
    <x v="5"/>
    <x v="2131"/>
    <n v="12"/>
    <n v="24"/>
    <x v="1"/>
    <x v="0"/>
    <s v="Bacon, Pepperoni, Italian Sausage, Chorizo Sausage"/>
    <x v="4"/>
  </r>
  <r>
    <n v="24991"/>
    <n v="10994"/>
    <n v="0.5"/>
    <s v="the_greek_s"/>
    <n v="1"/>
    <x v="74"/>
    <x v="5"/>
    <x v="2131"/>
    <n v="12"/>
    <n v="12"/>
    <x v="1"/>
    <x v="0"/>
    <s v="Kalamata Olives, Feta Cheese, Tomatoes, Garlic, Beef Chuck Roast, Red Onions"/>
    <x v="2"/>
  </r>
  <r>
    <n v="24998"/>
    <n v="10997"/>
    <n v="1"/>
    <s v="mexicana_l"/>
    <n v="1"/>
    <x v="74"/>
    <x v="5"/>
    <x v="2132"/>
    <n v="20.25"/>
    <n v="20.25"/>
    <x v="2"/>
    <x v="1"/>
    <s v="Tomatoes, Red Peppers, Jalapeno Peppers, Red Onions, Cilantro, Corn, Chipotle Sauce, Garlic"/>
    <x v="1"/>
  </r>
  <r>
    <n v="25000"/>
    <n v="10998"/>
    <n v="0.5"/>
    <s v="big_meat_s"/>
    <n v="1"/>
    <x v="74"/>
    <x v="5"/>
    <x v="2133"/>
    <n v="12"/>
    <n v="12"/>
    <x v="1"/>
    <x v="0"/>
    <s v="Bacon, Pepperoni, Italian Sausage, Chorizo Sausage"/>
    <x v="4"/>
  </r>
  <r>
    <n v="25002"/>
    <n v="10998"/>
    <n v="0.5"/>
    <s v="the_greek_s"/>
    <n v="1"/>
    <x v="74"/>
    <x v="5"/>
    <x v="2133"/>
    <n v="12"/>
    <n v="12"/>
    <x v="1"/>
    <x v="0"/>
    <s v="Kalamata Olives, Feta Cheese, Tomatoes, Garlic, Beef Chuck Roast, Red Onions"/>
    <x v="2"/>
  </r>
  <r>
    <n v="25003"/>
    <n v="10999"/>
    <n v="0.5"/>
    <s v="big_meat_s"/>
    <n v="1"/>
    <x v="74"/>
    <x v="5"/>
    <x v="2134"/>
    <n v="12"/>
    <n v="12"/>
    <x v="1"/>
    <x v="0"/>
    <s v="Bacon, Pepperoni, Italian Sausage, Chorizo Sausage"/>
    <x v="4"/>
  </r>
  <r>
    <n v="25004"/>
    <n v="10999"/>
    <n v="0.5"/>
    <s v="mexicana_l"/>
    <n v="1"/>
    <x v="74"/>
    <x v="5"/>
    <x v="2134"/>
    <n v="20.25"/>
    <n v="20.25"/>
    <x v="2"/>
    <x v="1"/>
    <s v="Tomatoes, Red Peppers, Jalapeno Peppers, Red Onions, Cilantro, Corn, Chipotle Sauce, Garlic"/>
    <x v="1"/>
  </r>
  <r>
    <n v="25006"/>
    <n v="11000"/>
    <n v="1"/>
    <s v="pepperoni_m"/>
    <n v="1"/>
    <x v="74"/>
    <x v="5"/>
    <x v="2135"/>
    <n v="12.5"/>
    <n v="12.5"/>
    <x v="0"/>
    <x v="0"/>
    <s v="Mozzarella Cheese, Pepperoni"/>
    <x v="3"/>
  </r>
  <r>
    <n v="25008"/>
    <n v="11001"/>
    <n v="1"/>
    <s v="big_meat_s"/>
    <n v="1"/>
    <x v="74"/>
    <x v="5"/>
    <x v="2136"/>
    <n v="12"/>
    <n v="12"/>
    <x v="1"/>
    <x v="0"/>
    <s v="Bacon, Pepperoni, Italian Sausage, Chorizo Sausage"/>
    <x v="4"/>
  </r>
  <r>
    <n v="25011"/>
    <n v="11002"/>
    <n v="0.5"/>
    <s v="hawaiian_l"/>
    <n v="1"/>
    <x v="74"/>
    <x v="5"/>
    <x v="2137"/>
    <n v="16.5"/>
    <n v="16.5"/>
    <x v="2"/>
    <x v="0"/>
    <s v="Sliced Ham, Pineapple, Mozzarella Cheese"/>
    <x v="0"/>
  </r>
  <r>
    <n v="25013"/>
    <n v="11002"/>
    <n v="0.5"/>
    <s v="the_greek_l"/>
    <n v="1"/>
    <x v="74"/>
    <x v="5"/>
    <x v="2137"/>
    <n v="20.5"/>
    <n v="20.5"/>
    <x v="2"/>
    <x v="0"/>
    <s v="Kalamata Olives, Feta Cheese, Tomatoes, Garlic, Beef Chuck Roast, Red Onions"/>
    <x v="2"/>
  </r>
  <r>
    <n v="25016"/>
    <n v="11004"/>
    <n v="0.5"/>
    <s v="hawaiian_l"/>
    <n v="1"/>
    <x v="74"/>
    <x v="5"/>
    <x v="2138"/>
    <n v="16.5"/>
    <n v="16.5"/>
    <x v="2"/>
    <x v="0"/>
    <s v="Sliced Ham, Pineapple, Mozzarella Cheese"/>
    <x v="0"/>
  </r>
  <r>
    <n v="25017"/>
    <n v="11004"/>
    <n v="0.5"/>
    <s v="mexicana_m"/>
    <n v="1"/>
    <x v="74"/>
    <x v="5"/>
    <x v="2138"/>
    <n v="16"/>
    <n v="16"/>
    <x v="0"/>
    <x v="1"/>
    <s v="Tomatoes, Red Peppers, Jalapeno Peppers, Red Onions, Cilantro, Corn, Chipotle Sauce, Garlic"/>
    <x v="1"/>
  </r>
  <r>
    <n v="25025"/>
    <n v="11008"/>
    <n v="1"/>
    <s v="pepperoni_s"/>
    <n v="1"/>
    <x v="74"/>
    <x v="5"/>
    <x v="2139"/>
    <n v="9.75"/>
    <n v="9.75"/>
    <x v="1"/>
    <x v="0"/>
    <s v="Mozzarella Cheese, Pepperoni"/>
    <x v="3"/>
  </r>
  <r>
    <n v="25027"/>
    <n v="11009"/>
    <n v="1"/>
    <s v="napolitana_l"/>
    <n v="1"/>
    <x v="74"/>
    <x v="5"/>
    <x v="2140"/>
    <n v="20.5"/>
    <n v="20.5"/>
    <x v="2"/>
    <x v="0"/>
    <s v="Tomatoes, Anchovies, Green Olives, Red Onions, Garlic"/>
    <x v="5"/>
  </r>
  <r>
    <n v="25032"/>
    <n v="11012"/>
    <n v="0.5"/>
    <s v="mexicana_l"/>
    <n v="2"/>
    <x v="74"/>
    <x v="5"/>
    <x v="2141"/>
    <n v="20.25"/>
    <n v="40.5"/>
    <x v="2"/>
    <x v="1"/>
    <s v="Tomatoes, Red Peppers, Jalapeno Peppers, Red Onions, Cilantro, Corn, Chipotle Sauce, Garlic"/>
    <x v="1"/>
  </r>
  <r>
    <n v="25033"/>
    <n v="11012"/>
    <n v="0.5"/>
    <s v="pepperoni_l"/>
    <n v="1"/>
    <x v="74"/>
    <x v="5"/>
    <x v="2141"/>
    <n v="15.25"/>
    <n v="15.25"/>
    <x v="2"/>
    <x v="0"/>
    <s v="Mozzarella Cheese, Pepperoni"/>
    <x v="3"/>
  </r>
  <r>
    <n v="25037"/>
    <n v="11014"/>
    <n v="1"/>
    <s v="napolitana_m"/>
    <n v="1"/>
    <x v="74"/>
    <x v="5"/>
    <x v="2142"/>
    <n v="16"/>
    <n v="16"/>
    <x v="0"/>
    <x v="0"/>
    <s v="Tomatoes, Anchovies, Green Olives, Red Onions, Garlic"/>
    <x v="5"/>
  </r>
  <r>
    <n v="25038"/>
    <n v="11015"/>
    <n v="0.5"/>
    <s v="the_greek_s"/>
    <n v="1"/>
    <x v="74"/>
    <x v="5"/>
    <x v="2143"/>
    <n v="12"/>
    <n v="12"/>
    <x v="1"/>
    <x v="0"/>
    <s v="Kalamata Olives, Feta Cheese, Tomatoes, Garlic, Beef Chuck Roast, Red Onions"/>
    <x v="2"/>
  </r>
  <r>
    <n v="25039"/>
    <n v="11015"/>
    <n v="0.5"/>
    <s v="the_greek_xl"/>
    <n v="1"/>
    <x v="74"/>
    <x v="5"/>
    <x v="2143"/>
    <n v="25.5"/>
    <n v="25.5"/>
    <x v="3"/>
    <x v="0"/>
    <s v="Kalamata Olives, Feta Cheese, Tomatoes, Garlic, Beef Chuck Roast, Red Onions"/>
    <x v="2"/>
  </r>
  <r>
    <n v="25042"/>
    <n v="11018"/>
    <n v="1"/>
    <s v="big_meat_s"/>
    <n v="1"/>
    <x v="75"/>
    <x v="6"/>
    <x v="2144"/>
    <n v="12"/>
    <n v="12"/>
    <x v="1"/>
    <x v="0"/>
    <s v="Bacon, Pepperoni, Italian Sausage, Chorizo Sausage"/>
    <x v="4"/>
  </r>
  <r>
    <n v="25049"/>
    <n v="11019"/>
    <n v="1"/>
    <s v="pepperoni_s"/>
    <n v="1"/>
    <x v="75"/>
    <x v="6"/>
    <x v="2145"/>
    <n v="9.75"/>
    <n v="9.75"/>
    <x v="1"/>
    <x v="0"/>
    <s v="Mozzarella Cheese, Pepperoni"/>
    <x v="3"/>
  </r>
  <r>
    <n v="25050"/>
    <n v="11020"/>
    <n v="1"/>
    <s v="big_meat_s"/>
    <n v="1"/>
    <x v="75"/>
    <x v="6"/>
    <x v="2146"/>
    <n v="12"/>
    <n v="12"/>
    <x v="1"/>
    <x v="0"/>
    <s v="Bacon, Pepperoni, Italian Sausage, Chorizo Sausage"/>
    <x v="4"/>
  </r>
  <r>
    <n v="25051"/>
    <n v="11021"/>
    <n v="0.5"/>
    <s v="big_meat_s"/>
    <n v="1"/>
    <x v="75"/>
    <x v="6"/>
    <x v="2147"/>
    <n v="12"/>
    <n v="12"/>
    <x v="1"/>
    <x v="0"/>
    <s v="Bacon, Pepperoni, Italian Sausage, Chorizo Sausage"/>
    <x v="4"/>
  </r>
  <r>
    <n v="25053"/>
    <n v="11021"/>
    <n v="0.5"/>
    <s v="hawaiian_s"/>
    <n v="1"/>
    <x v="75"/>
    <x v="6"/>
    <x v="2147"/>
    <n v="10.5"/>
    <n v="10.5"/>
    <x v="1"/>
    <x v="0"/>
    <s v="Sliced Ham, Pineapple, Mozzarella Cheese"/>
    <x v="0"/>
  </r>
  <r>
    <n v="25056"/>
    <n v="11023"/>
    <n v="1"/>
    <s v="pepperoni_m"/>
    <n v="1"/>
    <x v="75"/>
    <x v="6"/>
    <x v="2148"/>
    <n v="12.5"/>
    <n v="12.5"/>
    <x v="0"/>
    <x v="0"/>
    <s v="Mozzarella Cheese, Pepperoni"/>
    <x v="3"/>
  </r>
  <r>
    <n v="25062"/>
    <n v="11026"/>
    <n v="1"/>
    <s v="hawaiian_m"/>
    <n v="1"/>
    <x v="75"/>
    <x v="6"/>
    <x v="2149"/>
    <n v="13.25"/>
    <n v="13.25"/>
    <x v="0"/>
    <x v="0"/>
    <s v="Sliced Ham, Pineapple, Mozzarella Cheese"/>
    <x v="0"/>
  </r>
  <r>
    <n v="25068"/>
    <n v="11029"/>
    <n v="0.5"/>
    <s v="hawaiian_m"/>
    <n v="1"/>
    <x v="75"/>
    <x v="6"/>
    <x v="2150"/>
    <n v="13.25"/>
    <n v="13.25"/>
    <x v="0"/>
    <x v="0"/>
    <s v="Sliced Ham, Pineapple, Mozzarella Cheese"/>
    <x v="0"/>
  </r>
  <r>
    <n v="25069"/>
    <n v="11029"/>
    <n v="0.5"/>
    <s v="mexicana_m"/>
    <n v="1"/>
    <x v="75"/>
    <x v="6"/>
    <x v="2150"/>
    <n v="16"/>
    <n v="16"/>
    <x v="0"/>
    <x v="1"/>
    <s v="Tomatoes, Red Peppers, Jalapeno Peppers, Red Onions, Cilantro, Corn, Chipotle Sauce, Garlic"/>
    <x v="1"/>
  </r>
  <r>
    <n v="25080"/>
    <n v="11037"/>
    <n v="1"/>
    <s v="pepperoni_m"/>
    <n v="1"/>
    <x v="75"/>
    <x v="6"/>
    <x v="2151"/>
    <n v="12.5"/>
    <n v="12.5"/>
    <x v="0"/>
    <x v="0"/>
    <s v="Mozzarella Cheese, Pepperoni"/>
    <x v="3"/>
  </r>
  <r>
    <n v="25085"/>
    <n v="11039"/>
    <n v="1"/>
    <s v="brie_carre_s"/>
    <n v="1"/>
    <x v="75"/>
    <x v="6"/>
    <x v="2152"/>
    <n v="23.65"/>
    <n v="23.65"/>
    <x v="1"/>
    <x v="2"/>
    <s v="Brie Carre Cheese, Prosciutto, Caramelized Onions, Pears, Thyme, Garlic"/>
    <x v="8"/>
  </r>
  <r>
    <n v="25092"/>
    <n v="11043"/>
    <n v="1"/>
    <s v="napolitana_m"/>
    <n v="1"/>
    <x v="75"/>
    <x v="6"/>
    <x v="2153"/>
    <n v="16"/>
    <n v="16"/>
    <x v="0"/>
    <x v="0"/>
    <s v="Tomatoes, Anchovies, Green Olives, Red Onions, Garlic"/>
    <x v="5"/>
  </r>
  <r>
    <n v="25097"/>
    <n v="11045"/>
    <n v="1"/>
    <s v="mexicana_m"/>
    <n v="1"/>
    <x v="75"/>
    <x v="6"/>
    <x v="2154"/>
    <n v="16"/>
    <n v="16"/>
    <x v="0"/>
    <x v="1"/>
    <s v="Tomatoes, Red Peppers, Jalapeno Peppers, Red Onions, Cilantro, Corn, Chipotle Sauce, Garlic"/>
    <x v="1"/>
  </r>
  <r>
    <n v="25102"/>
    <n v="11049"/>
    <n v="1"/>
    <s v="pepperoni_s"/>
    <n v="1"/>
    <x v="75"/>
    <x v="6"/>
    <x v="2155"/>
    <n v="9.75"/>
    <n v="9.75"/>
    <x v="1"/>
    <x v="0"/>
    <s v="Mozzarella Cheese, Pepperoni"/>
    <x v="3"/>
  </r>
  <r>
    <n v="25111"/>
    <n v="11053"/>
    <n v="1"/>
    <s v="pepperoni_m"/>
    <n v="1"/>
    <x v="75"/>
    <x v="6"/>
    <x v="2156"/>
    <n v="12.5"/>
    <n v="12.5"/>
    <x v="0"/>
    <x v="0"/>
    <s v="Mozzarella Cheese, Pepperoni"/>
    <x v="3"/>
  </r>
  <r>
    <n v="25114"/>
    <n v="11054"/>
    <n v="1"/>
    <s v="sicilian_l"/>
    <n v="1"/>
    <x v="75"/>
    <x v="6"/>
    <x v="2157"/>
    <n v="20.25"/>
    <n v="20.25"/>
    <x v="2"/>
    <x v="2"/>
    <s v="Coarse Sicilian Salami, Tomatoes, Green Olives, Luganega Sausage, Onions, Garlic"/>
    <x v="7"/>
  </r>
  <r>
    <n v="25116"/>
    <n v="11055"/>
    <n v="1"/>
    <s v="hawaiian_l"/>
    <n v="1"/>
    <x v="75"/>
    <x v="6"/>
    <x v="1583"/>
    <n v="16.5"/>
    <n v="16.5"/>
    <x v="2"/>
    <x v="0"/>
    <s v="Sliced Ham, Pineapple, Mozzarella Cheese"/>
    <x v="0"/>
  </r>
  <r>
    <n v="25118"/>
    <n v="11056"/>
    <n v="0.5"/>
    <s v="calabrese_s"/>
    <n v="1"/>
    <x v="75"/>
    <x v="6"/>
    <x v="2158"/>
    <n v="12.25"/>
    <n v="12.25"/>
    <x v="1"/>
    <x v="2"/>
    <s v="?duja Salami, Pancetta, Tomatoes, Red Onions, Friggitello Peppers, Garlic"/>
    <x v="6"/>
  </r>
  <r>
    <n v="25120"/>
    <n v="11056"/>
    <n v="0.5"/>
    <s v="napolitana_l"/>
    <n v="1"/>
    <x v="75"/>
    <x v="6"/>
    <x v="2158"/>
    <n v="20.5"/>
    <n v="20.5"/>
    <x v="2"/>
    <x v="0"/>
    <s v="Tomatoes, Anchovies, Green Olives, Red Onions, Garlic"/>
    <x v="5"/>
  </r>
  <r>
    <n v="25121"/>
    <n v="11057"/>
    <n v="0.5"/>
    <s v="hawaiian_l"/>
    <n v="1"/>
    <x v="75"/>
    <x v="6"/>
    <x v="2159"/>
    <n v="16.5"/>
    <n v="16.5"/>
    <x v="2"/>
    <x v="0"/>
    <s v="Sliced Ham, Pineapple, Mozzarella Cheese"/>
    <x v="0"/>
  </r>
  <r>
    <n v="25122"/>
    <n v="11057"/>
    <n v="0.5"/>
    <s v="pepperoni_l"/>
    <n v="1"/>
    <x v="75"/>
    <x v="6"/>
    <x v="2159"/>
    <n v="15.25"/>
    <n v="15.25"/>
    <x v="2"/>
    <x v="0"/>
    <s v="Mozzarella Cheese, Pepperoni"/>
    <x v="3"/>
  </r>
  <r>
    <n v="25127"/>
    <n v="11058"/>
    <n v="1"/>
    <s v="sicilian_s"/>
    <n v="1"/>
    <x v="75"/>
    <x v="6"/>
    <x v="2160"/>
    <n v="12.25"/>
    <n v="12.25"/>
    <x v="1"/>
    <x v="2"/>
    <s v="Coarse Sicilian Salami, Tomatoes, Green Olives, Luganega Sausage, Onions, Garlic"/>
    <x v="7"/>
  </r>
  <r>
    <n v="25134"/>
    <n v="11061"/>
    <n v="1"/>
    <s v="brie_carre_s"/>
    <n v="1"/>
    <x v="75"/>
    <x v="6"/>
    <x v="2161"/>
    <n v="23.65"/>
    <n v="23.65"/>
    <x v="1"/>
    <x v="2"/>
    <s v="Brie Carre Cheese, Prosciutto, Caramelized Onions, Pears, Thyme, Garlic"/>
    <x v="8"/>
  </r>
  <r>
    <n v="25135"/>
    <n v="11062"/>
    <n v="1"/>
    <s v="big_meat_s"/>
    <n v="1"/>
    <x v="75"/>
    <x v="6"/>
    <x v="2162"/>
    <n v="12"/>
    <n v="12"/>
    <x v="1"/>
    <x v="0"/>
    <s v="Bacon, Pepperoni, Italian Sausage, Chorizo Sausage"/>
    <x v="4"/>
  </r>
  <r>
    <n v="25143"/>
    <n v="11065"/>
    <n v="1"/>
    <s v="calabrese_l"/>
    <n v="1"/>
    <x v="75"/>
    <x v="6"/>
    <x v="1283"/>
    <n v="20.25"/>
    <n v="20.25"/>
    <x v="2"/>
    <x v="2"/>
    <s v="?duja Salami, Pancetta, Tomatoes, Red Onions, Friggitello Peppers, Garlic"/>
    <x v="6"/>
  </r>
  <r>
    <n v="25145"/>
    <n v="11066"/>
    <n v="1"/>
    <s v="calabrese_l"/>
    <n v="1"/>
    <x v="75"/>
    <x v="6"/>
    <x v="2163"/>
    <n v="20.25"/>
    <n v="20.25"/>
    <x v="2"/>
    <x v="2"/>
    <s v="?duja Salami, Pancetta, Tomatoes, Red Onions, Friggitello Peppers, Garlic"/>
    <x v="6"/>
  </r>
  <r>
    <n v="25148"/>
    <n v="11067"/>
    <n v="1"/>
    <s v="calabrese_m"/>
    <n v="1"/>
    <x v="75"/>
    <x v="6"/>
    <x v="1333"/>
    <n v="16.25"/>
    <n v="16.25"/>
    <x v="0"/>
    <x v="2"/>
    <s v="?duja Salami, Pancetta, Tomatoes, Red Onions, Friggitello Peppers, Garlic"/>
    <x v="6"/>
  </r>
  <r>
    <n v="25152"/>
    <n v="11070"/>
    <n v="0.5"/>
    <s v="hawaiian_s"/>
    <n v="1"/>
    <x v="75"/>
    <x v="6"/>
    <x v="2164"/>
    <n v="10.5"/>
    <n v="10.5"/>
    <x v="1"/>
    <x v="0"/>
    <s v="Sliced Ham, Pineapple, Mozzarella Cheese"/>
    <x v="0"/>
  </r>
  <r>
    <n v="25153"/>
    <n v="11070"/>
    <n v="0.5"/>
    <s v="mexicana_l"/>
    <n v="1"/>
    <x v="75"/>
    <x v="6"/>
    <x v="2164"/>
    <n v="20.25"/>
    <n v="20.25"/>
    <x v="2"/>
    <x v="1"/>
    <s v="Tomatoes, Red Peppers, Jalapeno Peppers, Red Onions, Cilantro, Corn, Chipotle Sauce, Garlic"/>
    <x v="1"/>
  </r>
  <r>
    <n v="25160"/>
    <n v="11075"/>
    <n v="1"/>
    <s v="pepperoni_m"/>
    <n v="1"/>
    <x v="75"/>
    <x v="6"/>
    <x v="2165"/>
    <n v="12.5"/>
    <n v="12.5"/>
    <x v="0"/>
    <x v="0"/>
    <s v="Mozzarella Cheese, Pepperoni"/>
    <x v="3"/>
  </r>
  <r>
    <n v="25164"/>
    <n v="11077"/>
    <n v="1"/>
    <s v="calabrese_m"/>
    <n v="1"/>
    <x v="75"/>
    <x v="6"/>
    <x v="2166"/>
    <n v="16.25"/>
    <n v="16.25"/>
    <x v="0"/>
    <x v="2"/>
    <s v="?duja Salami, Pancetta, Tomatoes, Red Onions, Friggitello Peppers, Garlic"/>
    <x v="6"/>
  </r>
  <r>
    <n v="25168"/>
    <n v="11079"/>
    <n v="1"/>
    <s v="sicilian_l"/>
    <n v="1"/>
    <x v="75"/>
    <x v="6"/>
    <x v="2167"/>
    <n v="20.25"/>
    <n v="20.25"/>
    <x v="2"/>
    <x v="2"/>
    <s v="Coarse Sicilian Salami, Tomatoes, Green Olives, Luganega Sausage, Onions, Garlic"/>
    <x v="7"/>
  </r>
  <r>
    <n v="25171"/>
    <n v="11081"/>
    <n v="1"/>
    <s v="the_greek_m"/>
    <n v="1"/>
    <x v="75"/>
    <x v="6"/>
    <x v="2168"/>
    <n v="16"/>
    <n v="16"/>
    <x v="0"/>
    <x v="0"/>
    <s v="Kalamata Olives, Feta Cheese, Tomatoes, Garlic, Beef Chuck Roast, Red Onions"/>
    <x v="2"/>
  </r>
  <r>
    <n v="25174"/>
    <n v="11083"/>
    <n v="1"/>
    <s v="sicilian_m"/>
    <n v="1"/>
    <x v="75"/>
    <x v="6"/>
    <x v="2169"/>
    <n v="16.25"/>
    <n v="16.25"/>
    <x v="0"/>
    <x v="2"/>
    <s v="Coarse Sicilian Salami, Tomatoes, Green Olives, Luganega Sausage, Onions, Garlic"/>
    <x v="7"/>
  </r>
  <r>
    <n v="25177"/>
    <n v="11085"/>
    <n v="1"/>
    <s v="mexicana_m"/>
    <n v="1"/>
    <x v="75"/>
    <x v="6"/>
    <x v="1902"/>
    <n v="16"/>
    <n v="16"/>
    <x v="0"/>
    <x v="1"/>
    <s v="Tomatoes, Red Peppers, Jalapeno Peppers, Red Onions, Cilantro, Corn, Chipotle Sauce, Garlic"/>
    <x v="1"/>
  </r>
  <r>
    <n v="25179"/>
    <n v="11086"/>
    <n v="0.5"/>
    <s v="big_meat_s"/>
    <n v="1"/>
    <x v="75"/>
    <x v="6"/>
    <x v="2170"/>
    <n v="12"/>
    <n v="12"/>
    <x v="1"/>
    <x v="0"/>
    <s v="Bacon, Pepperoni, Italian Sausage, Chorizo Sausage"/>
    <x v="4"/>
  </r>
  <r>
    <n v="25182"/>
    <n v="11086"/>
    <n v="0.5"/>
    <s v="napolitana_s"/>
    <n v="1"/>
    <x v="75"/>
    <x v="6"/>
    <x v="2170"/>
    <n v="12"/>
    <n v="12"/>
    <x v="1"/>
    <x v="0"/>
    <s v="Tomatoes, Anchovies, Green Olives, Red Onions, Garlic"/>
    <x v="5"/>
  </r>
  <r>
    <n v="25184"/>
    <n v="11087"/>
    <n v="1"/>
    <s v="pepperoni_l"/>
    <n v="1"/>
    <x v="75"/>
    <x v="6"/>
    <x v="2171"/>
    <n v="15.25"/>
    <n v="15.25"/>
    <x v="2"/>
    <x v="0"/>
    <s v="Mozzarella Cheese, Pepperoni"/>
    <x v="3"/>
  </r>
  <r>
    <n v="25187"/>
    <n v="11088"/>
    <n v="1"/>
    <s v="big_meat_s"/>
    <n v="1"/>
    <x v="75"/>
    <x v="6"/>
    <x v="2172"/>
    <n v="12"/>
    <n v="12"/>
    <x v="1"/>
    <x v="0"/>
    <s v="Bacon, Pepperoni, Italian Sausage, Chorizo Sausage"/>
    <x v="4"/>
  </r>
  <r>
    <n v="25192"/>
    <n v="11090"/>
    <n v="1"/>
    <s v="hawaiian_s"/>
    <n v="1"/>
    <x v="75"/>
    <x v="6"/>
    <x v="2173"/>
    <n v="10.5"/>
    <n v="10.5"/>
    <x v="1"/>
    <x v="0"/>
    <s v="Sliced Ham, Pineapple, Mozzarella Cheese"/>
    <x v="0"/>
  </r>
  <r>
    <n v="25200"/>
    <n v="11093"/>
    <n v="1"/>
    <s v="the_greek_l"/>
    <n v="1"/>
    <x v="75"/>
    <x v="6"/>
    <x v="2174"/>
    <n v="20.5"/>
    <n v="20.5"/>
    <x v="2"/>
    <x v="0"/>
    <s v="Kalamata Olives, Feta Cheese, Tomatoes, Garlic, Beef Chuck Roast, Red Onions"/>
    <x v="2"/>
  </r>
  <r>
    <n v="25201"/>
    <n v="11094"/>
    <n v="0.33333333333333331"/>
    <s v="big_meat_s"/>
    <n v="1"/>
    <x v="75"/>
    <x v="6"/>
    <x v="2175"/>
    <n v="12"/>
    <n v="12"/>
    <x v="1"/>
    <x v="0"/>
    <s v="Bacon, Pepperoni, Italian Sausage, Chorizo Sausage"/>
    <x v="4"/>
  </r>
  <r>
    <n v="25202"/>
    <n v="11094"/>
    <n v="0.33333333333333331"/>
    <s v="hawaiian_s"/>
    <n v="1"/>
    <x v="75"/>
    <x v="6"/>
    <x v="2175"/>
    <n v="10.5"/>
    <n v="10.5"/>
    <x v="1"/>
    <x v="0"/>
    <s v="Sliced Ham, Pineapple, Mozzarella Cheese"/>
    <x v="0"/>
  </r>
  <r>
    <n v="25203"/>
    <n v="11094"/>
    <n v="0.33333333333333331"/>
    <s v="napolitana_l"/>
    <n v="1"/>
    <x v="75"/>
    <x v="6"/>
    <x v="2175"/>
    <n v="20.5"/>
    <n v="20.5"/>
    <x v="2"/>
    <x v="0"/>
    <s v="Tomatoes, Anchovies, Green Olives, Red Onions, Garlic"/>
    <x v="5"/>
  </r>
  <r>
    <n v="25204"/>
    <n v="11095"/>
    <n v="1"/>
    <s v="brie_carre_s"/>
    <n v="1"/>
    <x v="75"/>
    <x v="6"/>
    <x v="2176"/>
    <n v="23.65"/>
    <n v="23.65"/>
    <x v="1"/>
    <x v="2"/>
    <s v="Brie Carre Cheese, Prosciutto, Caramelized Onions, Pears, Thyme, Garlic"/>
    <x v="8"/>
  </r>
  <r>
    <n v="25209"/>
    <n v="11096"/>
    <n v="1"/>
    <s v="pepperoni_l"/>
    <n v="1"/>
    <x v="75"/>
    <x v="6"/>
    <x v="2177"/>
    <n v="15.25"/>
    <n v="15.25"/>
    <x v="2"/>
    <x v="0"/>
    <s v="Mozzarella Cheese, Pepperoni"/>
    <x v="3"/>
  </r>
  <r>
    <n v="25211"/>
    <n v="11097"/>
    <n v="0.5"/>
    <s v="calabrese_m"/>
    <n v="1"/>
    <x v="75"/>
    <x v="6"/>
    <x v="2178"/>
    <n v="16.25"/>
    <n v="16.25"/>
    <x v="0"/>
    <x v="2"/>
    <s v="?duja Salami, Pancetta, Tomatoes, Red Onions, Friggitello Peppers, Garlic"/>
    <x v="6"/>
  </r>
  <r>
    <n v="25213"/>
    <n v="11097"/>
    <n v="0.5"/>
    <s v="mexicana_l"/>
    <n v="1"/>
    <x v="75"/>
    <x v="6"/>
    <x v="2178"/>
    <n v="20.25"/>
    <n v="20.25"/>
    <x v="2"/>
    <x v="1"/>
    <s v="Tomatoes, Red Peppers, Jalapeno Peppers, Red Onions, Cilantro, Corn, Chipotle Sauce, Garlic"/>
    <x v="1"/>
  </r>
  <r>
    <n v="25215"/>
    <n v="11098"/>
    <n v="1"/>
    <s v="the_greek_l"/>
    <n v="1"/>
    <x v="75"/>
    <x v="6"/>
    <x v="2179"/>
    <n v="20.5"/>
    <n v="20.5"/>
    <x v="2"/>
    <x v="0"/>
    <s v="Kalamata Olives, Feta Cheese, Tomatoes, Garlic, Beef Chuck Roast, Red Onions"/>
    <x v="2"/>
  </r>
  <r>
    <n v="25228"/>
    <n v="11105"/>
    <n v="1"/>
    <s v="pepperoni_s"/>
    <n v="1"/>
    <x v="75"/>
    <x v="6"/>
    <x v="2180"/>
    <n v="9.75"/>
    <n v="9.75"/>
    <x v="1"/>
    <x v="0"/>
    <s v="Mozzarella Cheese, Pepperoni"/>
    <x v="3"/>
  </r>
  <r>
    <n v="25236"/>
    <n v="11107"/>
    <n v="0.5"/>
    <s v="napolitana_s"/>
    <n v="1"/>
    <x v="75"/>
    <x v="6"/>
    <x v="2181"/>
    <n v="12"/>
    <n v="12"/>
    <x v="1"/>
    <x v="0"/>
    <s v="Tomatoes, Anchovies, Green Olives, Red Onions, Garlic"/>
    <x v="5"/>
  </r>
  <r>
    <n v="25237"/>
    <n v="11107"/>
    <n v="0.5"/>
    <s v="pepperoni_s"/>
    <n v="1"/>
    <x v="75"/>
    <x v="6"/>
    <x v="2181"/>
    <n v="9.75"/>
    <n v="9.75"/>
    <x v="1"/>
    <x v="0"/>
    <s v="Mozzarella Cheese, Pepperoni"/>
    <x v="3"/>
  </r>
  <r>
    <n v="25239"/>
    <n v="11108"/>
    <n v="1"/>
    <s v="napolitana_m"/>
    <n v="1"/>
    <x v="75"/>
    <x v="6"/>
    <x v="2182"/>
    <n v="16"/>
    <n v="16"/>
    <x v="0"/>
    <x v="0"/>
    <s v="Tomatoes, Anchovies, Green Olives, Red Onions, Garlic"/>
    <x v="5"/>
  </r>
  <r>
    <n v="25244"/>
    <n v="11109"/>
    <n v="1"/>
    <s v="hawaiian_s"/>
    <n v="1"/>
    <x v="75"/>
    <x v="6"/>
    <x v="2183"/>
    <n v="10.5"/>
    <n v="10.5"/>
    <x v="1"/>
    <x v="0"/>
    <s v="Sliced Ham, Pineapple, Mozzarella Cheese"/>
    <x v="0"/>
  </r>
  <r>
    <n v="25245"/>
    <n v="11110"/>
    <n v="1"/>
    <s v="calabrese_l"/>
    <n v="1"/>
    <x v="75"/>
    <x v="6"/>
    <x v="2184"/>
    <n v="20.25"/>
    <n v="20.25"/>
    <x v="2"/>
    <x v="2"/>
    <s v="?duja Salami, Pancetta, Tomatoes, Red Onions, Friggitello Peppers, Garlic"/>
    <x v="6"/>
  </r>
  <r>
    <n v="25252"/>
    <n v="11114"/>
    <n v="1"/>
    <s v="big_meat_s"/>
    <n v="1"/>
    <x v="75"/>
    <x v="6"/>
    <x v="2185"/>
    <n v="12"/>
    <n v="12"/>
    <x v="1"/>
    <x v="0"/>
    <s v="Bacon, Pepperoni, Italian Sausage, Chorizo Sausage"/>
    <x v="4"/>
  </r>
  <r>
    <n v="25255"/>
    <n v="11115"/>
    <n v="0.5"/>
    <s v="hawaiian_m"/>
    <n v="1"/>
    <x v="75"/>
    <x v="6"/>
    <x v="2186"/>
    <n v="13.25"/>
    <n v="13.25"/>
    <x v="0"/>
    <x v="0"/>
    <s v="Sliced Ham, Pineapple, Mozzarella Cheese"/>
    <x v="0"/>
  </r>
  <r>
    <n v="25256"/>
    <n v="11115"/>
    <n v="0.5"/>
    <s v="pepperoni_l"/>
    <n v="1"/>
    <x v="75"/>
    <x v="6"/>
    <x v="2186"/>
    <n v="15.25"/>
    <n v="15.25"/>
    <x v="2"/>
    <x v="0"/>
    <s v="Mozzarella Cheese, Pepperoni"/>
    <x v="3"/>
  </r>
  <r>
    <n v="25258"/>
    <n v="11116"/>
    <n v="1"/>
    <s v="pepperoni_m"/>
    <n v="1"/>
    <x v="75"/>
    <x v="6"/>
    <x v="2187"/>
    <n v="12.5"/>
    <n v="12.5"/>
    <x v="0"/>
    <x v="0"/>
    <s v="Mozzarella Cheese, Pepperoni"/>
    <x v="3"/>
  </r>
  <r>
    <n v="25263"/>
    <n v="11118"/>
    <n v="1"/>
    <s v="mexicana_s"/>
    <n v="1"/>
    <x v="75"/>
    <x v="6"/>
    <x v="2188"/>
    <n v="12"/>
    <n v="12"/>
    <x v="1"/>
    <x v="1"/>
    <s v="Tomatoes, Red Peppers, Jalapeno Peppers, Red Onions, Cilantro, Corn, Chipotle Sauce, Garlic"/>
    <x v="1"/>
  </r>
  <r>
    <n v="25265"/>
    <n v="11119"/>
    <n v="0.33333333333333331"/>
    <s v="brie_carre_s"/>
    <n v="1"/>
    <x v="75"/>
    <x v="6"/>
    <x v="2189"/>
    <n v="23.65"/>
    <n v="23.65"/>
    <x v="1"/>
    <x v="2"/>
    <s v="Brie Carre Cheese, Prosciutto, Caramelized Onions, Pears, Thyme, Garlic"/>
    <x v="8"/>
  </r>
  <r>
    <n v="25266"/>
    <n v="11119"/>
    <n v="0.33333333333333331"/>
    <s v="mexicana_l"/>
    <n v="1"/>
    <x v="75"/>
    <x v="6"/>
    <x v="2189"/>
    <n v="20.25"/>
    <n v="20.25"/>
    <x v="2"/>
    <x v="1"/>
    <s v="Tomatoes, Red Peppers, Jalapeno Peppers, Red Onions, Cilantro, Corn, Chipotle Sauce, Garlic"/>
    <x v="1"/>
  </r>
  <r>
    <n v="25267"/>
    <n v="11119"/>
    <n v="0.33333333333333331"/>
    <s v="mexicana_s"/>
    <n v="1"/>
    <x v="75"/>
    <x v="6"/>
    <x v="2189"/>
    <n v="12"/>
    <n v="12"/>
    <x v="1"/>
    <x v="1"/>
    <s v="Tomatoes, Red Peppers, Jalapeno Peppers, Red Onions, Cilantro, Corn, Chipotle Sauce, Garlic"/>
    <x v="1"/>
  </r>
  <r>
    <n v="25278"/>
    <n v="11125"/>
    <n v="1"/>
    <s v="napolitana_m"/>
    <n v="1"/>
    <x v="76"/>
    <x v="0"/>
    <x v="2190"/>
    <n v="16"/>
    <n v="16"/>
    <x v="0"/>
    <x v="0"/>
    <s v="Tomatoes, Anchovies, Green Olives, Red Onions, Garlic"/>
    <x v="5"/>
  </r>
  <r>
    <n v="25280"/>
    <n v="11126"/>
    <n v="0.5"/>
    <s v="pepperoni_l"/>
    <n v="1"/>
    <x v="76"/>
    <x v="0"/>
    <x v="2191"/>
    <n v="15.25"/>
    <n v="15.25"/>
    <x v="2"/>
    <x v="0"/>
    <s v="Mozzarella Cheese, Pepperoni"/>
    <x v="3"/>
  </r>
  <r>
    <n v="25281"/>
    <n v="11126"/>
    <n v="0.5"/>
    <s v="the_greek_s"/>
    <n v="1"/>
    <x v="76"/>
    <x v="0"/>
    <x v="2191"/>
    <n v="12"/>
    <n v="12"/>
    <x v="1"/>
    <x v="0"/>
    <s v="Kalamata Olives, Feta Cheese, Tomatoes, Garlic, Beef Chuck Roast, Red Onions"/>
    <x v="2"/>
  </r>
  <r>
    <n v="25282"/>
    <n v="11127"/>
    <n v="1"/>
    <s v="mexicana_l"/>
    <n v="1"/>
    <x v="76"/>
    <x v="0"/>
    <x v="2192"/>
    <n v="20.25"/>
    <n v="20.25"/>
    <x v="2"/>
    <x v="1"/>
    <s v="Tomatoes, Red Peppers, Jalapeno Peppers, Red Onions, Cilantro, Corn, Chipotle Sauce, Garlic"/>
    <x v="1"/>
  </r>
  <r>
    <n v="25284"/>
    <n v="11128"/>
    <n v="0.16666666666666666"/>
    <s v="calabrese_l"/>
    <n v="1"/>
    <x v="76"/>
    <x v="0"/>
    <x v="2193"/>
    <n v="20.25"/>
    <n v="20.25"/>
    <x v="2"/>
    <x v="2"/>
    <s v="?duja Salami, Pancetta, Tomatoes, Red Onions, Friggitello Peppers, Garlic"/>
    <x v="6"/>
  </r>
  <r>
    <n v="25285"/>
    <n v="11128"/>
    <n v="0.16666666666666666"/>
    <s v="hawaiian_m"/>
    <n v="1"/>
    <x v="76"/>
    <x v="0"/>
    <x v="2193"/>
    <n v="13.25"/>
    <n v="13.25"/>
    <x v="0"/>
    <x v="0"/>
    <s v="Sliced Ham, Pineapple, Mozzarella Cheese"/>
    <x v="0"/>
  </r>
  <r>
    <n v="25288"/>
    <n v="11128"/>
    <n v="0.16666666666666666"/>
    <s v="pepperoni_l"/>
    <n v="1"/>
    <x v="76"/>
    <x v="0"/>
    <x v="2193"/>
    <n v="15.25"/>
    <n v="15.25"/>
    <x v="2"/>
    <x v="0"/>
    <s v="Mozzarella Cheese, Pepperoni"/>
    <x v="3"/>
  </r>
  <r>
    <n v="25290"/>
    <n v="11128"/>
    <n v="0.16666666666666666"/>
    <s v="sicilian_l"/>
    <n v="1"/>
    <x v="76"/>
    <x v="0"/>
    <x v="2193"/>
    <n v="20.25"/>
    <n v="20.25"/>
    <x v="2"/>
    <x v="2"/>
    <s v="Coarse Sicilian Salami, Tomatoes, Green Olives, Luganega Sausage, Onions, Garlic"/>
    <x v="7"/>
  </r>
  <r>
    <n v="25293"/>
    <n v="11128"/>
    <n v="0.16666666666666666"/>
    <s v="the_greek_l"/>
    <n v="1"/>
    <x v="76"/>
    <x v="0"/>
    <x v="2193"/>
    <n v="20.5"/>
    <n v="20.5"/>
    <x v="2"/>
    <x v="0"/>
    <s v="Kalamata Olives, Feta Cheese, Tomatoes, Garlic, Beef Chuck Roast, Red Onions"/>
    <x v="2"/>
  </r>
  <r>
    <n v="25294"/>
    <n v="11128"/>
    <n v="0.16666666666666666"/>
    <s v="the_greek_m"/>
    <n v="1"/>
    <x v="76"/>
    <x v="0"/>
    <x v="2193"/>
    <n v="16"/>
    <n v="16"/>
    <x v="0"/>
    <x v="0"/>
    <s v="Kalamata Olives, Feta Cheese, Tomatoes, Garlic, Beef Chuck Roast, Red Onions"/>
    <x v="2"/>
  </r>
  <r>
    <n v="25295"/>
    <n v="11129"/>
    <n v="1"/>
    <s v="sicilian_l"/>
    <n v="1"/>
    <x v="76"/>
    <x v="0"/>
    <x v="2194"/>
    <n v="20.25"/>
    <n v="20.25"/>
    <x v="2"/>
    <x v="2"/>
    <s v="Coarse Sicilian Salami, Tomatoes, Green Olives, Luganega Sausage, Onions, Garlic"/>
    <x v="7"/>
  </r>
  <r>
    <n v="25296"/>
    <n v="11130"/>
    <n v="1"/>
    <s v="sicilian_m"/>
    <n v="1"/>
    <x v="76"/>
    <x v="0"/>
    <x v="2195"/>
    <n v="16.25"/>
    <n v="16.25"/>
    <x v="0"/>
    <x v="2"/>
    <s v="Coarse Sicilian Salami, Tomatoes, Green Olives, Luganega Sausage, Onions, Garlic"/>
    <x v="7"/>
  </r>
  <r>
    <n v="25297"/>
    <n v="11131"/>
    <n v="1"/>
    <s v="big_meat_s"/>
    <n v="1"/>
    <x v="76"/>
    <x v="0"/>
    <x v="2196"/>
    <n v="12"/>
    <n v="12"/>
    <x v="1"/>
    <x v="0"/>
    <s v="Bacon, Pepperoni, Italian Sausage, Chorizo Sausage"/>
    <x v="4"/>
  </r>
  <r>
    <n v="25300"/>
    <n v="11134"/>
    <n v="0.5"/>
    <s v="big_meat_s"/>
    <n v="1"/>
    <x v="76"/>
    <x v="0"/>
    <x v="2197"/>
    <n v="12"/>
    <n v="12"/>
    <x v="1"/>
    <x v="0"/>
    <s v="Bacon, Pepperoni, Italian Sausage, Chorizo Sausage"/>
    <x v="4"/>
  </r>
  <r>
    <n v="25301"/>
    <n v="11134"/>
    <n v="0.5"/>
    <s v="calabrese_m"/>
    <n v="1"/>
    <x v="76"/>
    <x v="0"/>
    <x v="2197"/>
    <n v="16.25"/>
    <n v="16.25"/>
    <x v="0"/>
    <x v="2"/>
    <s v="?duja Salami, Pancetta, Tomatoes, Red Onions, Friggitello Peppers, Garlic"/>
    <x v="6"/>
  </r>
  <r>
    <n v="25303"/>
    <n v="11135"/>
    <n v="1"/>
    <s v="brie_carre_s"/>
    <n v="1"/>
    <x v="76"/>
    <x v="0"/>
    <x v="2198"/>
    <n v="23.65"/>
    <n v="23.65"/>
    <x v="1"/>
    <x v="2"/>
    <s v="Brie Carre Cheese, Prosciutto, Caramelized Onions, Pears, Thyme, Garlic"/>
    <x v="8"/>
  </r>
  <r>
    <n v="25304"/>
    <n v="11136"/>
    <n v="1"/>
    <s v="sicilian_s"/>
    <n v="1"/>
    <x v="76"/>
    <x v="0"/>
    <x v="2199"/>
    <n v="12.25"/>
    <n v="12.25"/>
    <x v="1"/>
    <x v="2"/>
    <s v="Coarse Sicilian Salami, Tomatoes, Green Olives, Luganega Sausage, Onions, Garlic"/>
    <x v="7"/>
  </r>
  <r>
    <n v="25313"/>
    <n v="11139"/>
    <n v="0.5"/>
    <s v="sicilian_l"/>
    <n v="1"/>
    <x v="76"/>
    <x v="0"/>
    <x v="2200"/>
    <n v="20.25"/>
    <n v="20.25"/>
    <x v="2"/>
    <x v="2"/>
    <s v="Coarse Sicilian Salami, Tomatoes, Green Olives, Luganega Sausage, Onions, Garlic"/>
    <x v="7"/>
  </r>
  <r>
    <n v="25314"/>
    <n v="11139"/>
    <n v="0.5"/>
    <s v="sicilian_m"/>
    <n v="1"/>
    <x v="76"/>
    <x v="0"/>
    <x v="2200"/>
    <n v="16.25"/>
    <n v="16.25"/>
    <x v="0"/>
    <x v="2"/>
    <s v="Coarse Sicilian Salami, Tomatoes, Green Olives, Luganega Sausage, Onions, Garlic"/>
    <x v="7"/>
  </r>
  <r>
    <n v="25316"/>
    <n v="11140"/>
    <n v="1"/>
    <s v="the_greek_s"/>
    <n v="1"/>
    <x v="76"/>
    <x v="0"/>
    <x v="2201"/>
    <n v="12"/>
    <n v="12"/>
    <x v="1"/>
    <x v="0"/>
    <s v="Kalamata Olives, Feta Cheese, Tomatoes, Garlic, Beef Chuck Roast, Red Onions"/>
    <x v="2"/>
  </r>
  <r>
    <n v="25317"/>
    <n v="11141"/>
    <n v="1"/>
    <s v="calabrese_l"/>
    <n v="1"/>
    <x v="76"/>
    <x v="0"/>
    <x v="2202"/>
    <n v="20.25"/>
    <n v="20.25"/>
    <x v="2"/>
    <x v="2"/>
    <s v="?duja Salami, Pancetta, Tomatoes, Red Onions, Friggitello Peppers, Garlic"/>
    <x v="6"/>
  </r>
  <r>
    <n v="25319"/>
    <n v="11142"/>
    <n v="0.33333333333333331"/>
    <s v="big_meat_s"/>
    <n v="2"/>
    <x v="76"/>
    <x v="0"/>
    <x v="2203"/>
    <n v="12"/>
    <n v="24"/>
    <x v="1"/>
    <x v="0"/>
    <s v="Bacon, Pepperoni, Italian Sausage, Chorizo Sausage"/>
    <x v="4"/>
  </r>
  <r>
    <n v="25320"/>
    <n v="11142"/>
    <n v="0.33333333333333331"/>
    <s v="hawaiian_l"/>
    <n v="1"/>
    <x v="76"/>
    <x v="0"/>
    <x v="2203"/>
    <n v="16.5"/>
    <n v="16.5"/>
    <x v="2"/>
    <x v="0"/>
    <s v="Sliced Ham, Pineapple, Mozzarella Cheese"/>
    <x v="0"/>
  </r>
  <r>
    <n v="25321"/>
    <n v="11142"/>
    <n v="0.33333333333333331"/>
    <s v="hawaiian_s"/>
    <n v="1"/>
    <x v="76"/>
    <x v="0"/>
    <x v="2203"/>
    <n v="10.5"/>
    <n v="10.5"/>
    <x v="1"/>
    <x v="0"/>
    <s v="Sliced Ham, Pineapple, Mozzarella Cheese"/>
    <x v="0"/>
  </r>
  <r>
    <n v="25324"/>
    <n v="11143"/>
    <n v="1"/>
    <s v="the_greek_xl"/>
    <n v="1"/>
    <x v="76"/>
    <x v="0"/>
    <x v="2204"/>
    <n v="25.5"/>
    <n v="25.5"/>
    <x v="3"/>
    <x v="0"/>
    <s v="Kalamata Olives, Feta Cheese, Tomatoes, Garlic, Beef Chuck Roast, Red Onions"/>
    <x v="2"/>
  </r>
  <r>
    <n v="25331"/>
    <n v="11149"/>
    <n v="1"/>
    <s v="sicilian_l"/>
    <n v="1"/>
    <x v="76"/>
    <x v="0"/>
    <x v="2205"/>
    <n v="20.25"/>
    <n v="20.25"/>
    <x v="2"/>
    <x v="2"/>
    <s v="Coarse Sicilian Salami, Tomatoes, Green Olives, Luganega Sausage, Onions, Garlic"/>
    <x v="7"/>
  </r>
  <r>
    <n v="25336"/>
    <n v="11151"/>
    <n v="1"/>
    <s v="sicilian_l"/>
    <n v="1"/>
    <x v="76"/>
    <x v="0"/>
    <x v="2206"/>
    <n v="20.25"/>
    <n v="20.25"/>
    <x v="2"/>
    <x v="2"/>
    <s v="Coarse Sicilian Salami, Tomatoes, Green Olives, Luganega Sausage, Onions, Garlic"/>
    <x v="7"/>
  </r>
  <r>
    <n v="25341"/>
    <n v="11153"/>
    <n v="0.5"/>
    <s v="hawaiian_s"/>
    <n v="1"/>
    <x v="76"/>
    <x v="0"/>
    <x v="2207"/>
    <n v="10.5"/>
    <n v="10.5"/>
    <x v="1"/>
    <x v="0"/>
    <s v="Sliced Ham, Pineapple, Mozzarella Cheese"/>
    <x v="0"/>
  </r>
  <r>
    <n v="25342"/>
    <n v="11153"/>
    <n v="0.5"/>
    <s v="sicilian_m"/>
    <n v="1"/>
    <x v="76"/>
    <x v="0"/>
    <x v="2207"/>
    <n v="16.25"/>
    <n v="16.25"/>
    <x v="0"/>
    <x v="2"/>
    <s v="Coarse Sicilian Salami, Tomatoes, Green Olives, Luganega Sausage, Onions, Garlic"/>
    <x v="7"/>
  </r>
  <r>
    <n v="25344"/>
    <n v="11154"/>
    <n v="0.5"/>
    <s v="brie_carre_s"/>
    <n v="1"/>
    <x v="76"/>
    <x v="0"/>
    <x v="2208"/>
    <n v="23.65"/>
    <n v="23.65"/>
    <x v="1"/>
    <x v="2"/>
    <s v="Brie Carre Cheese, Prosciutto, Caramelized Onions, Pears, Thyme, Garlic"/>
    <x v="8"/>
  </r>
  <r>
    <n v="25345"/>
    <n v="11154"/>
    <n v="0.5"/>
    <s v="hawaiian_m"/>
    <n v="1"/>
    <x v="76"/>
    <x v="0"/>
    <x v="2208"/>
    <n v="13.25"/>
    <n v="13.25"/>
    <x v="0"/>
    <x v="0"/>
    <s v="Sliced Ham, Pineapple, Mozzarella Cheese"/>
    <x v="0"/>
  </r>
  <r>
    <n v="25348"/>
    <n v="11155"/>
    <n v="0.5"/>
    <s v="napolitana_l"/>
    <n v="1"/>
    <x v="76"/>
    <x v="0"/>
    <x v="2209"/>
    <n v="20.5"/>
    <n v="20.5"/>
    <x v="2"/>
    <x v="0"/>
    <s v="Tomatoes, Anchovies, Green Olives, Red Onions, Garlic"/>
    <x v="5"/>
  </r>
  <r>
    <n v="25349"/>
    <n v="11155"/>
    <n v="0.5"/>
    <s v="napolitana_s"/>
    <n v="1"/>
    <x v="76"/>
    <x v="0"/>
    <x v="2209"/>
    <n v="12"/>
    <n v="12"/>
    <x v="1"/>
    <x v="0"/>
    <s v="Tomatoes, Anchovies, Green Olives, Red Onions, Garlic"/>
    <x v="5"/>
  </r>
  <r>
    <n v="25352"/>
    <n v="11156"/>
    <n v="1"/>
    <s v="pepperoni_m"/>
    <n v="1"/>
    <x v="76"/>
    <x v="0"/>
    <x v="2210"/>
    <n v="12.5"/>
    <n v="12.5"/>
    <x v="0"/>
    <x v="0"/>
    <s v="Mozzarella Cheese, Pepperoni"/>
    <x v="3"/>
  </r>
  <r>
    <n v="25353"/>
    <n v="11157"/>
    <n v="1"/>
    <s v="sicilian_m"/>
    <n v="1"/>
    <x v="76"/>
    <x v="0"/>
    <x v="2211"/>
    <n v="16.25"/>
    <n v="16.25"/>
    <x v="0"/>
    <x v="2"/>
    <s v="Coarse Sicilian Salami, Tomatoes, Green Olives, Luganega Sausage, Onions, Garlic"/>
    <x v="7"/>
  </r>
  <r>
    <n v="25355"/>
    <n v="11158"/>
    <n v="1"/>
    <s v="pepperoni_s"/>
    <n v="1"/>
    <x v="76"/>
    <x v="0"/>
    <x v="2212"/>
    <n v="9.75"/>
    <n v="9.75"/>
    <x v="1"/>
    <x v="0"/>
    <s v="Mozzarella Cheese, Pepperoni"/>
    <x v="3"/>
  </r>
  <r>
    <n v="25358"/>
    <n v="11159"/>
    <n v="1"/>
    <s v="sicilian_m"/>
    <n v="1"/>
    <x v="76"/>
    <x v="0"/>
    <x v="2213"/>
    <n v="16.25"/>
    <n v="16.25"/>
    <x v="0"/>
    <x v="2"/>
    <s v="Coarse Sicilian Salami, Tomatoes, Green Olives, Luganega Sausage, Onions, Garlic"/>
    <x v="7"/>
  </r>
  <r>
    <n v="25364"/>
    <n v="11161"/>
    <n v="1"/>
    <s v="mexicana_m"/>
    <n v="1"/>
    <x v="76"/>
    <x v="0"/>
    <x v="2214"/>
    <n v="16"/>
    <n v="16"/>
    <x v="0"/>
    <x v="1"/>
    <s v="Tomatoes, Red Peppers, Jalapeno Peppers, Red Onions, Cilantro, Corn, Chipotle Sauce, Garlic"/>
    <x v="1"/>
  </r>
  <r>
    <n v="25368"/>
    <n v="11163"/>
    <n v="1"/>
    <s v="napolitana_s"/>
    <n v="1"/>
    <x v="76"/>
    <x v="0"/>
    <x v="2215"/>
    <n v="12"/>
    <n v="12"/>
    <x v="1"/>
    <x v="0"/>
    <s v="Tomatoes, Anchovies, Green Olives, Red Onions, Garlic"/>
    <x v="5"/>
  </r>
  <r>
    <n v="25376"/>
    <n v="11166"/>
    <n v="1"/>
    <s v="pepperoni_m"/>
    <n v="1"/>
    <x v="77"/>
    <x v="1"/>
    <x v="2216"/>
    <n v="12.5"/>
    <n v="12.5"/>
    <x v="0"/>
    <x v="0"/>
    <s v="Mozzarella Cheese, Pepperoni"/>
    <x v="3"/>
  </r>
  <r>
    <n v="25378"/>
    <n v="11167"/>
    <n v="1"/>
    <s v="hawaiian_l"/>
    <n v="1"/>
    <x v="77"/>
    <x v="1"/>
    <x v="2217"/>
    <n v="16.5"/>
    <n v="16.5"/>
    <x v="2"/>
    <x v="0"/>
    <s v="Sliced Ham, Pineapple, Mozzarella Cheese"/>
    <x v="0"/>
  </r>
  <r>
    <n v="25384"/>
    <n v="11170"/>
    <n v="1"/>
    <s v="napolitana_s"/>
    <n v="1"/>
    <x v="77"/>
    <x v="1"/>
    <x v="1012"/>
    <n v="12"/>
    <n v="12"/>
    <x v="1"/>
    <x v="0"/>
    <s v="Tomatoes, Anchovies, Green Olives, Red Onions, Garlic"/>
    <x v="5"/>
  </r>
  <r>
    <n v="25385"/>
    <n v="11171"/>
    <n v="1"/>
    <s v="pepperoni_s"/>
    <n v="1"/>
    <x v="77"/>
    <x v="1"/>
    <x v="2218"/>
    <n v="9.75"/>
    <n v="9.75"/>
    <x v="1"/>
    <x v="0"/>
    <s v="Mozzarella Cheese, Pepperoni"/>
    <x v="3"/>
  </r>
  <r>
    <n v="25390"/>
    <n v="11174"/>
    <n v="1"/>
    <s v="big_meat_s"/>
    <n v="1"/>
    <x v="77"/>
    <x v="1"/>
    <x v="720"/>
    <n v="12"/>
    <n v="12"/>
    <x v="1"/>
    <x v="0"/>
    <s v="Bacon, Pepperoni, Italian Sausage, Chorizo Sausage"/>
    <x v="4"/>
  </r>
  <r>
    <n v="25399"/>
    <n v="11175"/>
    <n v="1"/>
    <s v="hawaiian_s"/>
    <n v="1"/>
    <x v="77"/>
    <x v="1"/>
    <x v="2219"/>
    <n v="10.5"/>
    <n v="10.5"/>
    <x v="1"/>
    <x v="0"/>
    <s v="Sliced Ham, Pineapple, Mozzarella Cheese"/>
    <x v="0"/>
  </r>
  <r>
    <n v="25403"/>
    <n v="11176"/>
    <n v="0.5"/>
    <s v="big_meat_s"/>
    <n v="1"/>
    <x v="77"/>
    <x v="1"/>
    <x v="2220"/>
    <n v="12"/>
    <n v="12"/>
    <x v="1"/>
    <x v="0"/>
    <s v="Bacon, Pepperoni, Italian Sausage, Chorizo Sausage"/>
    <x v="4"/>
  </r>
  <r>
    <n v="25404"/>
    <n v="11176"/>
    <n v="0.5"/>
    <s v="calabrese_l"/>
    <n v="1"/>
    <x v="77"/>
    <x v="1"/>
    <x v="2220"/>
    <n v="20.25"/>
    <n v="20.25"/>
    <x v="2"/>
    <x v="2"/>
    <s v="?duja Salami, Pancetta, Tomatoes, Red Onions, Friggitello Peppers, Garlic"/>
    <x v="6"/>
  </r>
  <r>
    <n v="25419"/>
    <n v="11181"/>
    <n v="0.5"/>
    <s v="big_meat_s"/>
    <n v="1"/>
    <x v="77"/>
    <x v="1"/>
    <x v="2221"/>
    <n v="12"/>
    <n v="12"/>
    <x v="1"/>
    <x v="0"/>
    <s v="Bacon, Pepperoni, Italian Sausage, Chorizo Sausage"/>
    <x v="4"/>
  </r>
  <r>
    <n v="25422"/>
    <n v="11181"/>
    <n v="0.5"/>
    <s v="napolitana_m"/>
    <n v="1"/>
    <x v="77"/>
    <x v="1"/>
    <x v="2221"/>
    <n v="16"/>
    <n v="16"/>
    <x v="0"/>
    <x v="0"/>
    <s v="Tomatoes, Anchovies, Green Olives, Red Onions, Garlic"/>
    <x v="5"/>
  </r>
  <r>
    <n v="25423"/>
    <n v="11182"/>
    <n v="0.5"/>
    <s v="big_meat_s"/>
    <n v="1"/>
    <x v="77"/>
    <x v="1"/>
    <x v="2222"/>
    <n v="12"/>
    <n v="12"/>
    <x v="1"/>
    <x v="0"/>
    <s v="Bacon, Pepperoni, Italian Sausage, Chorizo Sausage"/>
    <x v="4"/>
  </r>
  <r>
    <n v="25424"/>
    <n v="11182"/>
    <n v="0.5"/>
    <s v="pepperoni_s"/>
    <n v="1"/>
    <x v="77"/>
    <x v="1"/>
    <x v="2222"/>
    <n v="9.75"/>
    <n v="9.75"/>
    <x v="1"/>
    <x v="0"/>
    <s v="Mozzarella Cheese, Pepperoni"/>
    <x v="3"/>
  </r>
  <r>
    <n v="25427"/>
    <n v="11183"/>
    <n v="1"/>
    <s v="mexicana_l"/>
    <n v="1"/>
    <x v="77"/>
    <x v="1"/>
    <x v="2223"/>
    <n v="20.25"/>
    <n v="20.25"/>
    <x v="2"/>
    <x v="1"/>
    <s v="Tomatoes, Red Peppers, Jalapeno Peppers, Red Onions, Cilantro, Corn, Chipotle Sauce, Garlic"/>
    <x v="1"/>
  </r>
  <r>
    <n v="25436"/>
    <n v="11188"/>
    <n v="1"/>
    <s v="hawaiian_s"/>
    <n v="1"/>
    <x v="77"/>
    <x v="1"/>
    <x v="2224"/>
    <n v="10.5"/>
    <n v="10.5"/>
    <x v="1"/>
    <x v="0"/>
    <s v="Sliced Ham, Pineapple, Mozzarella Cheese"/>
    <x v="0"/>
  </r>
  <r>
    <n v="25439"/>
    <n v="11190"/>
    <n v="1"/>
    <s v="sicilian_m"/>
    <n v="1"/>
    <x v="77"/>
    <x v="1"/>
    <x v="1816"/>
    <n v="16.25"/>
    <n v="16.25"/>
    <x v="0"/>
    <x v="2"/>
    <s v="Coarse Sicilian Salami, Tomatoes, Green Olives, Luganega Sausage, Onions, Garlic"/>
    <x v="7"/>
  </r>
  <r>
    <n v="25441"/>
    <n v="11191"/>
    <n v="1"/>
    <s v="sicilian_m"/>
    <n v="1"/>
    <x v="77"/>
    <x v="1"/>
    <x v="2225"/>
    <n v="16.25"/>
    <n v="16.25"/>
    <x v="0"/>
    <x v="2"/>
    <s v="Coarse Sicilian Salami, Tomatoes, Green Olives, Luganega Sausage, Onions, Garlic"/>
    <x v="7"/>
  </r>
  <r>
    <n v="25447"/>
    <n v="11196"/>
    <n v="1"/>
    <s v="mexicana_l"/>
    <n v="1"/>
    <x v="77"/>
    <x v="1"/>
    <x v="2226"/>
    <n v="20.25"/>
    <n v="20.25"/>
    <x v="2"/>
    <x v="1"/>
    <s v="Tomatoes, Red Peppers, Jalapeno Peppers, Red Onions, Cilantro, Corn, Chipotle Sauce, Garlic"/>
    <x v="1"/>
  </r>
  <r>
    <n v="25448"/>
    <n v="11197"/>
    <n v="1"/>
    <s v="calabrese_l"/>
    <n v="1"/>
    <x v="77"/>
    <x v="1"/>
    <x v="2227"/>
    <n v="20.25"/>
    <n v="20.25"/>
    <x v="2"/>
    <x v="2"/>
    <s v="?duja Salami, Pancetta, Tomatoes, Red Onions, Friggitello Peppers, Garlic"/>
    <x v="6"/>
  </r>
  <r>
    <n v="25452"/>
    <n v="11198"/>
    <n v="0.5"/>
    <s v="napolitana_m"/>
    <n v="1"/>
    <x v="77"/>
    <x v="1"/>
    <x v="2228"/>
    <n v="16"/>
    <n v="16"/>
    <x v="0"/>
    <x v="0"/>
    <s v="Tomatoes, Anchovies, Green Olives, Red Onions, Garlic"/>
    <x v="5"/>
  </r>
  <r>
    <n v="25453"/>
    <n v="11198"/>
    <n v="0.5"/>
    <s v="pepperoni_s"/>
    <n v="1"/>
    <x v="77"/>
    <x v="1"/>
    <x v="2228"/>
    <n v="9.75"/>
    <n v="9.75"/>
    <x v="1"/>
    <x v="0"/>
    <s v="Mozzarella Cheese, Pepperoni"/>
    <x v="3"/>
  </r>
  <r>
    <n v="25459"/>
    <n v="11200"/>
    <n v="1"/>
    <s v="hawaiian_m"/>
    <n v="1"/>
    <x v="77"/>
    <x v="1"/>
    <x v="2229"/>
    <n v="13.25"/>
    <n v="13.25"/>
    <x v="0"/>
    <x v="0"/>
    <s v="Sliced Ham, Pineapple, Mozzarella Cheese"/>
    <x v="0"/>
  </r>
  <r>
    <n v="25467"/>
    <n v="11206"/>
    <n v="1"/>
    <s v="pepperoni_s"/>
    <n v="1"/>
    <x v="77"/>
    <x v="1"/>
    <x v="2230"/>
    <n v="9.75"/>
    <n v="9.75"/>
    <x v="1"/>
    <x v="0"/>
    <s v="Mozzarella Cheese, Pepperoni"/>
    <x v="3"/>
  </r>
  <r>
    <n v="25472"/>
    <n v="11207"/>
    <n v="1"/>
    <s v="hawaiian_s"/>
    <n v="1"/>
    <x v="77"/>
    <x v="1"/>
    <x v="2231"/>
    <n v="10.5"/>
    <n v="10.5"/>
    <x v="1"/>
    <x v="0"/>
    <s v="Sliced Ham, Pineapple, Mozzarella Cheese"/>
    <x v="0"/>
  </r>
  <r>
    <n v="25474"/>
    <n v="11208"/>
    <n v="1"/>
    <s v="mexicana_l"/>
    <n v="1"/>
    <x v="77"/>
    <x v="1"/>
    <x v="2232"/>
    <n v="20.25"/>
    <n v="20.25"/>
    <x v="2"/>
    <x v="1"/>
    <s v="Tomatoes, Red Peppers, Jalapeno Peppers, Red Onions, Cilantro, Corn, Chipotle Sauce, Garlic"/>
    <x v="1"/>
  </r>
  <r>
    <n v="25475"/>
    <n v="11209"/>
    <n v="1"/>
    <s v="hawaiian_m"/>
    <n v="1"/>
    <x v="77"/>
    <x v="1"/>
    <x v="2233"/>
    <n v="13.25"/>
    <n v="13.25"/>
    <x v="0"/>
    <x v="0"/>
    <s v="Sliced Ham, Pineapple, Mozzarella Cheese"/>
    <x v="0"/>
  </r>
  <r>
    <n v="25477"/>
    <n v="11210"/>
    <n v="1"/>
    <s v="hawaiian_m"/>
    <n v="1"/>
    <x v="77"/>
    <x v="1"/>
    <x v="2234"/>
    <n v="13.25"/>
    <n v="13.25"/>
    <x v="0"/>
    <x v="0"/>
    <s v="Sliced Ham, Pineapple, Mozzarella Cheese"/>
    <x v="0"/>
  </r>
  <r>
    <n v="25482"/>
    <n v="11212"/>
    <n v="1"/>
    <s v="mexicana_l"/>
    <n v="1"/>
    <x v="77"/>
    <x v="1"/>
    <x v="2235"/>
    <n v="20.25"/>
    <n v="20.25"/>
    <x v="2"/>
    <x v="1"/>
    <s v="Tomatoes, Red Peppers, Jalapeno Peppers, Red Onions, Cilantro, Corn, Chipotle Sauce, Garlic"/>
    <x v="1"/>
  </r>
  <r>
    <n v="25483"/>
    <n v="11213"/>
    <n v="1"/>
    <s v="big_meat_s"/>
    <n v="1"/>
    <x v="77"/>
    <x v="1"/>
    <x v="2236"/>
    <n v="12"/>
    <n v="12"/>
    <x v="1"/>
    <x v="0"/>
    <s v="Bacon, Pepperoni, Italian Sausage, Chorizo Sausage"/>
    <x v="4"/>
  </r>
  <r>
    <n v="25485"/>
    <n v="11214"/>
    <n v="1"/>
    <s v="calabrese_s"/>
    <n v="1"/>
    <x v="77"/>
    <x v="1"/>
    <x v="2237"/>
    <n v="12.25"/>
    <n v="12.25"/>
    <x v="1"/>
    <x v="2"/>
    <s v="?duja Salami, Pancetta, Tomatoes, Red Onions, Friggitello Peppers, Garlic"/>
    <x v="6"/>
  </r>
  <r>
    <n v="25486"/>
    <n v="11215"/>
    <n v="1"/>
    <s v="napolitana_m"/>
    <n v="1"/>
    <x v="77"/>
    <x v="1"/>
    <x v="2238"/>
    <n v="16"/>
    <n v="16"/>
    <x v="0"/>
    <x v="0"/>
    <s v="Tomatoes, Anchovies, Green Olives, Red Onions, Garlic"/>
    <x v="5"/>
  </r>
  <r>
    <n v="25489"/>
    <n v="11216"/>
    <n v="1"/>
    <s v="big_meat_s"/>
    <n v="1"/>
    <x v="77"/>
    <x v="1"/>
    <x v="2239"/>
    <n v="12"/>
    <n v="12"/>
    <x v="1"/>
    <x v="0"/>
    <s v="Bacon, Pepperoni, Italian Sausage, Chorizo Sausage"/>
    <x v="4"/>
  </r>
  <r>
    <n v="25495"/>
    <n v="11221"/>
    <n v="1"/>
    <s v="mexicana_m"/>
    <n v="1"/>
    <x v="77"/>
    <x v="1"/>
    <x v="2240"/>
    <n v="16"/>
    <n v="16"/>
    <x v="0"/>
    <x v="1"/>
    <s v="Tomatoes, Red Peppers, Jalapeno Peppers, Red Onions, Cilantro, Corn, Chipotle Sauce, Garlic"/>
    <x v="1"/>
  </r>
  <r>
    <n v="25500"/>
    <n v="11223"/>
    <n v="1"/>
    <s v="hawaiian_m"/>
    <n v="1"/>
    <x v="78"/>
    <x v="6"/>
    <x v="2241"/>
    <n v="13.25"/>
    <n v="13.25"/>
    <x v="0"/>
    <x v="0"/>
    <s v="Sliced Ham, Pineapple, Mozzarella Cheese"/>
    <x v="0"/>
  </r>
  <r>
    <n v="25509"/>
    <n v="11226"/>
    <n v="1"/>
    <s v="hawaiian_l"/>
    <n v="2"/>
    <x v="78"/>
    <x v="6"/>
    <x v="2242"/>
    <n v="16.5"/>
    <n v="33"/>
    <x v="2"/>
    <x v="0"/>
    <s v="Sliced Ham, Pineapple, Mozzarella Cheese"/>
    <x v="0"/>
  </r>
  <r>
    <n v="25510"/>
    <n v="11227"/>
    <n v="1"/>
    <s v="napolitana_l"/>
    <n v="1"/>
    <x v="78"/>
    <x v="6"/>
    <x v="2243"/>
    <n v="20.5"/>
    <n v="20.5"/>
    <x v="2"/>
    <x v="0"/>
    <s v="Tomatoes, Anchovies, Green Olives, Red Onions, Garlic"/>
    <x v="5"/>
  </r>
  <r>
    <n v="25514"/>
    <n v="11228"/>
    <n v="1"/>
    <s v="big_meat_s"/>
    <n v="1"/>
    <x v="78"/>
    <x v="6"/>
    <x v="1203"/>
    <n v="12"/>
    <n v="12"/>
    <x v="1"/>
    <x v="0"/>
    <s v="Bacon, Pepperoni, Italian Sausage, Chorizo Sausage"/>
    <x v="4"/>
  </r>
  <r>
    <n v="25519"/>
    <n v="11230"/>
    <n v="1"/>
    <s v="big_meat_s"/>
    <n v="1"/>
    <x v="78"/>
    <x v="6"/>
    <x v="2244"/>
    <n v="12"/>
    <n v="12"/>
    <x v="1"/>
    <x v="0"/>
    <s v="Bacon, Pepperoni, Italian Sausage, Chorizo Sausage"/>
    <x v="4"/>
  </r>
  <r>
    <n v="25523"/>
    <n v="11231"/>
    <n v="1"/>
    <s v="napolitana_l"/>
    <n v="1"/>
    <x v="78"/>
    <x v="6"/>
    <x v="2245"/>
    <n v="20.5"/>
    <n v="20.5"/>
    <x v="2"/>
    <x v="0"/>
    <s v="Tomatoes, Anchovies, Green Olives, Red Onions, Garlic"/>
    <x v="5"/>
  </r>
  <r>
    <n v="25531"/>
    <n v="11234"/>
    <n v="1"/>
    <s v="mexicana_l"/>
    <n v="1"/>
    <x v="78"/>
    <x v="6"/>
    <x v="2246"/>
    <n v="20.25"/>
    <n v="20.25"/>
    <x v="2"/>
    <x v="1"/>
    <s v="Tomatoes, Red Peppers, Jalapeno Peppers, Red Onions, Cilantro, Corn, Chipotle Sauce, Garlic"/>
    <x v="1"/>
  </r>
  <r>
    <n v="25537"/>
    <n v="11235"/>
    <n v="0.2"/>
    <s v="mexicana_l"/>
    <n v="1"/>
    <x v="78"/>
    <x v="6"/>
    <x v="2247"/>
    <n v="20.25"/>
    <n v="20.25"/>
    <x v="2"/>
    <x v="1"/>
    <s v="Tomatoes, Red Peppers, Jalapeno Peppers, Red Onions, Cilantro, Corn, Chipotle Sauce, Garlic"/>
    <x v="1"/>
  </r>
  <r>
    <n v="25538"/>
    <n v="11235"/>
    <n v="0.2"/>
    <s v="napolitana_l"/>
    <n v="1"/>
    <x v="78"/>
    <x v="6"/>
    <x v="2247"/>
    <n v="20.5"/>
    <n v="20.5"/>
    <x v="2"/>
    <x v="0"/>
    <s v="Tomatoes, Anchovies, Green Olives, Red Onions, Garlic"/>
    <x v="5"/>
  </r>
  <r>
    <n v="25539"/>
    <n v="11235"/>
    <n v="0.2"/>
    <s v="napolitana_s"/>
    <n v="1"/>
    <x v="78"/>
    <x v="6"/>
    <x v="2247"/>
    <n v="12"/>
    <n v="12"/>
    <x v="1"/>
    <x v="0"/>
    <s v="Tomatoes, Anchovies, Green Olives, Red Onions, Garlic"/>
    <x v="5"/>
  </r>
  <r>
    <n v="25540"/>
    <n v="11235"/>
    <n v="0.2"/>
    <s v="pepperoni_m"/>
    <n v="1"/>
    <x v="78"/>
    <x v="6"/>
    <x v="2247"/>
    <n v="12.5"/>
    <n v="12.5"/>
    <x v="0"/>
    <x v="0"/>
    <s v="Mozzarella Cheese, Pepperoni"/>
    <x v="3"/>
  </r>
  <r>
    <n v="25545"/>
    <n v="11235"/>
    <n v="0.2"/>
    <s v="the_greek_xl"/>
    <n v="1"/>
    <x v="78"/>
    <x v="6"/>
    <x v="2247"/>
    <n v="25.5"/>
    <n v="25.5"/>
    <x v="3"/>
    <x v="0"/>
    <s v="Kalamata Olives, Feta Cheese, Tomatoes, Garlic, Beef Chuck Roast, Red Onions"/>
    <x v="2"/>
  </r>
  <r>
    <n v="25547"/>
    <n v="11236"/>
    <n v="1"/>
    <s v="pepperoni_l"/>
    <n v="1"/>
    <x v="78"/>
    <x v="6"/>
    <x v="2248"/>
    <n v="15.25"/>
    <n v="15.25"/>
    <x v="2"/>
    <x v="0"/>
    <s v="Mozzarella Cheese, Pepperoni"/>
    <x v="3"/>
  </r>
  <r>
    <n v="25559"/>
    <n v="11240"/>
    <n v="0.5"/>
    <s v="mexicana_l"/>
    <n v="1"/>
    <x v="78"/>
    <x v="6"/>
    <x v="2249"/>
    <n v="20.25"/>
    <n v="20.25"/>
    <x v="2"/>
    <x v="1"/>
    <s v="Tomatoes, Red Peppers, Jalapeno Peppers, Red Onions, Cilantro, Corn, Chipotle Sauce, Garlic"/>
    <x v="1"/>
  </r>
  <r>
    <n v="25560"/>
    <n v="11240"/>
    <n v="0.5"/>
    <s v="mexicana_m"/>
    <n v="1"/>
    <x v="78"/>
    <x v="6"/>
    <x v="2249"/>
    <n v="16"/>
    <n v="16"/>
    <x v="0"/>
    <x v="1"/>
    <s v="Tomatoes, Red Peppers, Jalapeno Peppers, Red Onions, Cilantro, Corn, Chipotle Sauce, Garlic"/>
    <x v="1"/>
  </r>
  <r>
    <n v="25561"/>
    <n v="11241"/>
    <n v="0.5"/>
    <s v="big_meat_s"/>
    <n v="2"/>
    <x v="78"/>
    <x v="6"/>
    <x v="2250"/>
    <n v="12"/>
    <n v="24"/>
    <x v="1"/>
    <x v="0"/>
    <s v="Bacon, Pepperoni, Italian Sausage, Chorizo Sausage"/>
    <x v="4"/>
  </r>
  <r>
    <n v="25562"/>
    <n v="11241"/>
    <n v="0.5"/>
    <s v="sicilian_l"/>
    <n v="1"/>
    <x v="78"/>
    <x v="6"/>
    <x v="2250"/>
    <n v="20.25"/>
    <n v="20.25"/>
    <x v="2"/>
    <x v="2"/>
    <s v="Coarse Sicilian Salami, Tomatoes, Green Olives, Luganega Sausage, Onions, Garlic"/>
    <x v="7"/>
  </r>
  <r>
    <n v="25570"/>
    <n v="11244"/>
    <n v="0.5"/>
    <s v="napolitana_l"/>
    <n v="1"/>
    <x v="78"/>
    <x v="6"/>
    <x v="2251"/>
    <n v="20.5"/>
    <n v="20.5"/>
    <x v="2"/>
    <x v="0"/>
    <s v="Tomatoes, Anchovies, Green Olives, Red Onions, Garlic"/>
    <x v="5"/>
  </r>
  <r>
    <n v="25571"/>
    <n v="11244"/>
    <n v="0.5"/>
    <s v="sicilian_s"/>
    <n v="1"/>
    <x v="78"/>
    <x v="6"/>
    <x v="2251"/>
    <n v="12.25"/>
    <n v="12.25"/>
    <x v="1"/>
    <x v="2"/>
    <s v="Coarse Sicilian Salami, Tomatoes, Green Olives, Luganega Sausage, Onions, Garlic"/>
    <x v="7"/>
  </r>
  <r>
    <n v="25573"/>
    <n v="11245"/>
    <n v="1"/>
    <s v="hawaiian_s"/>
    <n v="2"/>
    <x v="78"/>
    <x v="6"/>
    <x v="2252"/>
    <n v="10.5"/>
    <n v="21"/>
    <x v="1"/>
    <x v="0"/>
    <s v="Sliced Ham, Pineapple, Mozzarella Cheese"/>
    <x v="0"/>
  </r>
  <r>
    <n v="25576"/>
    <n v="11246"/>
    <n v="1"/>
    <s v="hawaiian_s"/>
    <n v="1"/>
    <x v="78"/>
    <x v="6"/>
    <x v="1487"/>
    <n v="10.5"/>
    <n v="10.5"/>
    <x v="1"/>
    <x v="0"/>
    <s v="Sliced Ham, Pineapple, Mozzarella Cheese"/>
    <x v="0"/>
  </r>
  <r>
    <n v="25578"/>
    <n v="11247"/>
    <n v="1"/>
    <s v="sicilian_s"/>
    <n v="1"/>
    <x v="78"/>
    <x v="6"/>
    <x v="2253"/>
    <n v="12.25"/>
    <n v="12.25"/>
    <x v="1"/>
    <x v="2"/>
    <s v="Coarse Sicilian Salami, Tomatoes, Green Olives, Luganega Sausage, Onions, Garlic"/>
    <x v="7"/>
  </r>
  <r>
    <n v="25581"/>
    <n v="11249"/>
    <n v="1"/>
    <s v="the_greek_xl"/>
    <n v="1"/>
    <x v="78"/>
    <x v="6"/>
    <x v="2254"/>
    <n v="25.5"/>
    <n v="25.5"/>
    <x v="3"/>
    <x v="0"/>
    <s v="Kalamata Olives, Feta Cheese, Tomatoes, Garlic, Beef Chuck Roast, Red Onions"/>
    <x v="2"/>
  </r>
  <r>
    <n v="25583"/>
    <n v="11250"/>
    <n v="1"/>
    <s v="mexicana_l"/>
    <n v="1"/>
    <x v="78"/>
    <x v="6"/>
    <x v="2255"/>
    <n v="20.25"/>
    <n v="20.25"/>
    <x v="2"/>
    <x v="1"/>
    <s v="Tomatoes, Red Peppers, Jalapeno Peppers, Red Onions, Cilantro, Corn, Chipotle Sauce, Garlic"/>
    <x v="1"/>
  </r>
  <r>
    <n v="25585"/>
    <n v="11251"/>
    <n v="1"/>
    <s v="mexicana_l"/>
    <n v="1"/>
    <x v="78"/>
    <x v="6"/>
    <x v="2256"/>
    <n v="20.25"/>
    <n v="20.25"/>
    <x v="2"/>
    <x v="1"/>
    <s v="Tomatoes, Red Peppers, Jalapeno Peppers, Red Onions, Cilantro, Corn, Chipotle Sauce, Garlic"/>
    <x v="1"/>
  </r>
  <r>
    <n v="25587"/>
    <n v="11252"/>
    <n v="1"/>
    <s v="big_meat_s"/>
    <n v="1"/>
    <x v="78"/>
    <x v="6"/>
    <x v="2257"/>
    <n v="12"/>
    <n v="12"/>
    <x v="1"/>
    <x v="0"/>
    <s v="Bacon, Pepperoni, Italian Sausage, Chorizo Sausage"/>
    <x v="4"/>
  </r>
  <r>
    <n v="25594"/>
    <n v="11254"/>
    <n v="1"/>
    <s v="the_greek_l"/>
    <n v="1"/>
    <x v="78"/>
    <x v="6"/>
    <x v="2258"/>
    <n v="20.5"/>
    <n v="20.5"/>
    <x v="2"/>
    <x v="0"/>
    <s v="Kalamata Olives, Feta Cheese, Tomatoes, Garlic, Beef Chuck Roast, Red Onions"/>
    <x v="2"/>
  </r>
  <r>
    <n v="25595"/>
    <n v="11255"/>
    <n v="1"/>
    <s v="hawaiian_l"/>
    <n v="1"/>
    <x v="78"/>
    <x v="6"/>
    <x v="2259"/>
    <n v="16.5"/>
    <n v="16.5"/>
    <x v="2"/>
    <x v="0"/>
    <s v="Sliced Ham, Pineapple, Mozzarella Cheese"/>
    <x v="0"/>
  </r>
  <r>
    <n v="25602"/>
    <n v="11258"/>
    <n v="1"/>
    <s v="hawaiian_m"/>
    <n v="1"/>
    <x v="78"/>
    <x v="6"/>
    <x v="2260"/>
    <n v="13.25"/>
    <n v="13.25"/>
    <x v="0"/>
    <x v="0"/>
    <s v="Sliced Ham, Pineapple, Mozzarella Cheese"/>
    <x v="0"/>
  </r>
  <r>
    <n v="25606"/>
    <n v="11261"/>
    <n v="1"/>
    <s v="big_meat_s"/>
    <n v="1"/>
    <x v="78"/>
    <x v="6"/>
    <x v="2261"/>
    <n v="12"/>
    <n v="12"/>
    <x v="1"/>
    <x v="0"/>
    <s v="Bacon, Pepperoni, Italian Sausage, Chorizo Sausage"/>
    <x v="4"/>
  </r>
  <r>
    <n v="25614"/>
    <n v="11265"/>
    <n v="0.33333333333333331"/>
    <s v="big_meat_s"/>
    <n v="1"/>
    <x v="78"/>
    <x v="6"/>
    <x v="2262"/>
    <n v="12"/>
    <n v="12"/>
    <x v="1"/>
    <x v="0"/>
    <s v="Bacon, Pepperoni, Italian Sausage, Chorizo Sausage"/>
    <x v="4"/>
  </r>
  <r>
    <n v="25615"/>
    <n v="11265"/>
    <n v="0.33333333333333331"/>
    <s v="calabrese_l"/>
    <n v="1"/>
    <x v="78"/>
    <x v="6"/>
    <x v="2262"/>
    <n v="20.25"/>
    <n v="20.25"/>
    <x v="2"/>
    <x v="2"/>
    <s v="?duja Salami, Pancetta, Tomatoes, Red Onions, Friggitello Peppers, Garlic"/>
    <x v="6"/>
  </r>
  <r>
    <n v="25617"/>
    <n v="11265"/>
    <n v="0.33333333333333331"/>
    <s v="pepperoni_s"/>
    <n v="1"/>
    <x v="78"/>
    <x v="6"/>
    <x v="2262"/>
    <n v="9.75"/>
    <n v="9.75"/>
    <x v="1"/>
    <x v="0"/>
    <s v="Mozzarella Cheese, Pepperoni"/>
    <x v="3"/>
  </r>
  <r>
    <n v="25619"/>
    <n v="11266"/>
    <n v="1"/>
    <s v="calabrese_m"/>
    <n v="1"/>
    <x v="78"/>
    <x v="6"/>
    <x v="2263"/>
    <n v="16.25"/>
    <n v="16.25"/>
    <x v="0"/>
    <x v="2"/>
    <s v="?duja Salami, Pancetta, Tomatoes, Red Onions, Friggitello Peppers, Garlic"/>
    <x v="6"/>
  </r>
  <r>
    <n v="25623"/>
    <n v="11268"/>
    <n v="1"/>
    <s v="the_greek_s"/>
    <n v="1"/>
    <x v="78"/>
    <x v="6"/>
    <x v="2264"/>
    <n v="12"/>
    <n v="12"/>
    <x v="1"/>
    <x v="0"/>
    <s v="Kalamata Olives, Feta Cheese, Tomatoes, Garlic, Beef Chuck Roast, Red Onions"/>
    <x v="2"/>
  </r>
  <r>
    <n v="25625"/>
    <n v="11269"/>
    <n v="0.5"/>
    <s v="napolitana_m"/>
    <n v="1"/>
    <x v="78"/>
    <x v="6"/>
    <x v="2265"/>
    <n v="16"/>
    <n v="16"/>
    <x v="0"/>
    <x v="0"/>
    <s v="Tomatoes, Anchovies, Green Olives, Red Onions, Garlic"/>
    <x v="5"/>
  </r>
  <r>
    <n v="25626"/>
    <n v="11269"/>
    <n v="0.5"/>
    <s v="pepperoni_l"/>
    <n v="1"/>
    <x v="78"/>
    <x v="6"/>
    <x v="2265"/>
    <n v="15.25"/>
    <n v="15.25"/>
    <x v="2"/>
    <x v="0"/>
    <s v="Mozzarella Cheese, Pepperoni"/>
    <x v="3"/>
  </r>
  <r>
    <n v="25628"/>
    <n v="11270"/>
    <n v="1"/>
    <s v="pepperoni_s"/>
    <n v="1"/>
    <x v="78"/>
    <x v="6"/>
    <x v="2266"/>
    <n v="9.75"/>
    <n v="9.75"/>
    <x v="1"/>
    <x v="0"/>
    <s v="Mozzarella Cheese, Pepperoni"/>
    <x v="3"/>
  </r>
  <r>
    <n v="25634"/>
    <n v="11275"/>
    <n v="1"/>
    <s v="mexicana_l"/>
    <n v="1"/>
    <x v="79"/>
    <x v="3"/>
    <x v="2267"/>
    <n v="20.25"/>
    <n v="20.25"/>
    <x v="2"/>
    <x v="1"/>
    <s v="Tomatoes, Red Peppers, Jalapeno Peppers, Red Onions, Cilantro, Corn, Chipotle Sauce, Garlic"/>
    <x v="1"/>
  </r>
  <r>
    <n v="25636"/>
    <n v="11276"/>
    <n v="0.5"/>
    <s v="pepperoni_s"/>
    <n v="1"/>
    <x v="79"/>
    <x v="3"/>
    <x v="2268"/>
    <n v="9.75"/>
    <n v="9.75"/>
    <x v="1"/>
    <x v="0"/>
    <s v="Mozzarella Cheese, Pepperoni"/>
    <x v="3"/>
  </r>
  <r>
    <n v="25637"/>
    <n v="11276"/>
    <n v="0.5"/>
    <s v="sicilian_l"/>
    <n v="1"/>
    <x v="79"/>
    <x v="3"/>
    <x v="2268"/>
    <n v="20.25"/>
    <n v="20.25"/>
    <x v="2"/>
    <x v="2"/>
    <s v="Coarse Sicilian Salami, Tomatoes, Green Olives, Luganega Sausage, Onions, Garlic"/>
    <x v="7"/>
  </r>
  <r>
    <n v="25639"/>
    <n v="11277"/>
    <n v="1"/>
    <s v="pepperoni_m"/>
    <n v="1"/>
    <x v="79"/>
    <x v="3"/>
    <x v="2269"/>
    <n v="12.5"/>
    <n v="12.5"/>
    <x v="0"/>
    <x v="0"/>
    <s v="Mozzarella Cheese, Pepperoni"/>
    <x v="3"/>
  </r>
  <r>
    <n v="25642"/>
    <n v="11280"/>
    <n v="0.5"/>
    <s v="big_meat_s"/>
    <n v="1"/>
    <x v="79"/>
    <x v="3"/>
    <x v="2270"/>
    <n v="12"/>
    <n v="12"/>
    <x v="1"/>
    <x v="0"/>
    <s v="Bacon, Pepperoni, Italian Sausage, Chorizo Sausage"/>
    <x v="4"/>
  </r>
  <r>
    <n v="25643"/>
    <n v="11280"/>
    <n v="0.5"/>
    <s v="hawaiian_m"/>
    <n v="1"/>
    <x v="79"/>
    <x v="3"/>
    <x v="2270"/>
    <n v="13.25"/>
    <n v="13.25"/>
    <x v="0"/>
    <x v="0"/>
    <s v="Sliced Ham, Pineapple, Mozzarella Cheese"/>
    <x v="0"/>
  </r>
  <r>
    <n v="25645"/>
    <n v="11281"/>
    <n v="1"/>
    <s v="mexicana_m"/>
    <n v="1"/>
    <x v="79"/>
    <x v="3"/>
    <x v="2271"/>
    <n v="16"/>
    <n v="16"/>
    <x v="0"/>
    <x v="1"/>
    <s v="Tomatoes, Red Peppers, Jalapeno Peppers, Red Onions, Cilantro, Corn, Chipotle Sauce, Garlic"/>
    <x v="1"/>
  </r>
  <r>
    <n v="25652"/>
    <n v="11285"/>
    <n v="0.5"/>
    <s v="brie_carre_s"/>
    <n v="1"/>
    <x v="79"/>
    <x v="3"/>
    <x v="2272"/>
    <n v="23.65"/>
    <n v="23.65"/>
    <x v="1"/>
    <x v="2"/>
    <s v="Brie Carre Cheese, Prosciutto, Caramelized Onions, Pears, Thyme, Garlic"/>
    <x v="8"/>
  </r>
  <r>
    <n v="25654"/>
    <n v="11285"/>
    <n v="0.5"/>
    <s v="pepperoni_l"/>
    <n v="1"/>
    <x v="79"/>
    <x v="3"/>
    <x v="2272"/>
    <n v="15.25"/>
    <n v="15.25"/>
    <x v="2"/>
    <x v="0"/>
    <s v="Mozzarella Cheese, Pepperoni"/>
    <x v="3"/>
  </r>
  <r>
    <n v="25659"/>
    <n v="11289"/>
    <n v="1"/>
    <s v="calabrese_l"/>
    <n v="1"/>
    <x v="79"/>
    <x v="3"/>
    <x v="2273"/>
    <n v="20.25"/>
    <n v="20.25"/>
    <x v="2"/>
    <x v="2"/>
    <s v="?duja Salami, Pancetta, Tomatoes, Red Onions, Friggitello Peppers, Garlic"/>
    <x v="6"/>
  </r>
  <r>
    <n v="25661"/>
    <n v="11290"/>
    <n v="1"/>
    <s v="big_meat_s"/>
    <n v="1"/>
    <x v="79"/>
    <x v="3"/>
    <x v="2274"/>
    <n v="12"/>
    <n v="12"/>
    <x v="1"/>
    <x v="0"/>
    <s v="Bacon, Pepperoni, Italian Sausage, Chorizo Sausage"/>
    <x v="4"/>
  </r>
  <r>
    <n v="25664"/>
    <n v="11291"/>
    <n v="0.5"/>
    <s v="hawaiian_s"/>
    <n v="1"/>
    <x v="79"/>
    <x v="3"/>
    <x v="2275"/>
    <n v="10.5"/>
    <n v="10.5"/>
    <x v="1"/>
    <x v="0"/>
    <s v="Sliced Ham, Pineapple, Mozzarella Cheese"/>
    <x v="0"/>
  </r>
  <r>
    <n v="25665"/>
    <n v="11291"/>
    <n v="0.5"/>
    <s v="pepperoni_l"/>
    <n v="1"/>
    <x v="79"/>
    <x v="3"/>
    <x v="2275"/>
    <n v="15.25"/>
    <n v="15.25"/>
    <x v="2"/>
    <x v="0"/>
    <s v="Mozzarella Cheese, Pepperoni"/>
    <x v="3"/>
  </r>
  <r>
    <n v="25670"/>
    <n v="11293"/>
    <n v="1"/>
    <s v="pepperoni_s"/>
    <n v="1"/>
    <x v="79"/>
    <x v="3"/>
    <x v="2276"/>
    <n v="9.75"/>
    <n v="9.75"/>
    <x v="1"/>
    <x v="0"/>
    <s v="Mozzarella Cheese, Pepperoni"/>
    <x v="3"/>
  </r>
  <r>
    <n v="25673"/>
    <n v="11295"/>
    <n v="0.5"/>
    <s v="calabrese_m"/>
    <n v="1"/>
    <x v="79"/>
    <x v="3"/>
    <x v="2277"/>
    <n v="16.25"/>
    <n v="16.25"/>
    <x v="0"/>
    <x v="2"/>
    <s v="?duja Salami, Pancetta, Tomatoes, Red Onions, Friggitello Peppers, Garlic"/>
    <x v="6"/>
  </r>
  <r>
    <n v="25677"/>
    <n v="11295"/>
    <n v="0.5"/>
    <s v="napolitana_l"/>
    <n v="1"/>
    <x v="79"/>
    <x v="3"/>
    <x v="2277"/>
    <n v="20.5"/>
    <n v="20.5"/>
    <x v="2"/>
    <x v="0"/>
    <s v="Tomatoes, Anchovies, Green Olives, Red Onions, Garlic"/>
    <x v="5"/>
  </r>
  <r>
    <n v="25679"/>
    <n v="11296"/>
    <n v="1"/>
    <s v="brie_carre_s"/>
    <n v="1"/>
    <x v="79"/>
    <x v="3"/>
    <x v="2278"/>
    <n v="23.65"/>
    <n v="23.65"/>
    <x v="1"/>
    <x v="2"/>
    <s v="Brie Carre Cheese, Prosciutto, Caramelized Onions, Pears, Thyme, Garlic"/>
    <x v="8"/>
  </r>
  <r>
    <n v="25683"/>
    <n v="11298"/>
    <n v="1"/>
    <s v="the_greek_m"/>
    <n v="1"/>
    <x v="79"/>
    <x v="3"/>
    <x v="2279"/>
    <n v="16"/>
    <n v="16"/>
    <x v="0"/>
    <x v="0"/>
    <s v="Kalamata Olives, Feta Cheese, Tomatoes, Garlic, Beef Chuck Roast, Red Onions"/>
    <x v="2"/>
  </r>
  <r>
    <n v="25688"/>
    <n v="11299"/>
    <n v="1"/>
    <s v="pepperoni_s"/>
    <n v="1"/>
    <x v="79"/>
    <x v="3"/>
    <x v="2280"/>
    <n v="9.75"/>
    <n v="9.75"/>
    <x v="1"/>
    <x v="0"/>
    <s v="Mozzarella Cheese, Pepperoni"/>
    <x v="3"/>
  </r>
  <r>
    <n v="25700"/>
    <n v="11306"/>
    <n v="1"/>
    <s v="calabrese_m"/>
    <n v="1"/>
    <x v="79"/>
    <x v="3"/>
    <x v="2281"/>
    <n v="16.25"/>
    <n v="16.25"/>
    <x v="0"/>
    <x v="2"/>
    <s v="?duja Salami, Pancetta, Tomatoes, Red Onions, Friggitello Peppers, Garlic"/>
    <x v="6"/>
  </r>
  <r>
    <n v="25706"/>
    <n v="11308"/>
    <n v="1"/>
    <s v="mexicana_l"/>
    <n v="1"/>
    <x v="79"/>
    <x v="3"/>
    <x v="2282"/>
    <n v="20.25"/>
    <n v="20.25"/>
    <x v="2"/>
    <x v="1"/>
    <s v="Tomatoes, Red Peppers, Jalapeno Peppers, Red Onions, Cilantro, Corn, Chipotle Sauce, Garlic"/>
    <x v="1"/>
  </r>
  <r>
    <n v="25707"/>
    <n v="11309"/>
    <n v="1"/>
    <s v="the_greek_l"/>
    <n v="1"/>
    <x v="79"/>
    <x v="3"/>
    <x v="2283"/>
    <n v="20.5"/>
    <n v="20.5"/>
    <x v="2"/>
    <x v="0"/>
    <s v="Kalamata Olives, Feta Cheese, Tomatoes, Garlic, Beef Chuck Roast, Red Onions"/>
    <x v="2"/>
  </r>
  <r>
    <n v="25711"/>
    <n v="11311"/>
    <n v="1"/>
    <s v="the_greek_xl"/>
    <n v="1"/>
    <x v="79"/>
    <x v="3"/>
    <x v="2284"/>
    <n v="25.5"/>
    <n v="25.5"/>
    <x v="3"/>
    <x v="0"/>
    <s v="Kalamata Olives, Feta Cheese, Tomatoes, Garlic, Beef Chuck Roast, Red Onions"/>
    <x v="2"/>
  </r>
  <r>
    <n v="25721"/>
    <n v="11318"/>
    <n v="1"/>
    <s v="napolitana_s"/>
    <n v="1"/>
    <x v="79"/>
    <x v="3"/>
    <x v="2285"/>
    <n v="12"/>
    <n v="12"/>
    <x v="1"/>
    <x v="0"/>
    <s v="Tomatoes, Anchovies, Green Olives, Red Onions, Garlic"/>
    <x v="5"/>
  </r>
  <r>
    <n v="25727"/>
    <n v="11320"/>
    <n v="1"/>
    <s v="hawaiian_l"/>
    <n v="1"/>
    <x v="79"/>
    <x v="3"/>
    <x v="2286"/>
    <n v="16.5"/>
    <n v="16.5"/>
    <x v="2"/>
    <x v="0"/>
    <s v="Sliced Ham, Pineapple, Mozzarella Cheese"/>
    <x v="0"/>
  </r>
  <r>
    <n v="25736"/>
    <n v="11324"/>
    <n v="0.5"/>
    <s v="napolitana_l"/>
    <n v="1"/>
    <x v="79"/>
    <x v="3"/>
    <x v="2287"/>
    <n v="20.5"/>
    <n v="20.5"/>
    <x v="2"/>
    <x v="0"/>
    <s v="Tomatoes, Anchovies, Green Olives, Red Onions, Garlic"/>
    <x v="5"/>
  </r>
  <r>
    <n v="25737"/>
    <n v="11324"/>
    <n v="0.5"/>
    <s v="pepperoni_s"/>
    <n v="1"/>
    <x v="79"/>
    <x v="3"/>
    <x v="2287"/>
    <n v="9.75"/>
    <n v="9.75"/>
    <x v="1"/>
    <x v="0"/>
    <s v="Mozzarella Cheese, Pepperoni"/>
    <x v="3"/>
  </r>
  <r>
    <n v="25744"/>
    <n v="11327"/>
    <n v="1"/>
    <s v="the_greek_s"/>
    <n v="1"/>
    <x v="79"/>
    <x v="3"/>
    <x v="2288"/>
    <n v="12"/>
    <n v="12"/>
    <x v="1"/>
    <x v="0"/>
    <s v="Kalamata Olives, Feta Cheese, Tomatoes, Garlic, Beef Chuck Roast, Red Onions"/>
    <x v="2"/>
  </r>
  <r>
    <n v="25747"/>
    <n v="11329"/>
    <n v="1"/>
    <s v="brie_carre_s"/>
    <n v="1"/>
    <x v="79"/>
    <x v="3"/>
    <x v="2289"/>
    <n v="23.65"/>
    <n v="23.65"/>
    <x v="1"/>
    <x v="2"/>
    <s v="Brie Carre Cheese, Prosciutto, Caramelized Onions, Pears, Thyme, Garlic"/>
    <x v="8"/>
  </r>
  <r>
    <n v="25749"/>
    <n v="11330"/>
    <n v="1"/>
    <s v="brie_carre_s"/>
    <n v="1"/>
    <x v="79"/>
    <x v="3"/>
    <x v="2290"/>
    <n v="23.65"/>
    <n v="23.65"/>
    <x v="1"/>
    <x v="2"/>
    <s v="Brie Carre Cheese, Prosciutto, Caramelized Onions, Pears, Thyme, Garlic"/>
    <x v="8"/>
  </r>
  <r>
    <n v="25757"/>
    <n v="11334"/>
    <n v="1"/>
    <s v="pepperoni_l"/>
    <n v="1"/>
    <x v="79"/>
    <x v="3"/>
    <x v="2291"/>
    <n v="15.25"/>
    <n v="15.25"/>
    <x v="2"/>
    <x v="0"/>
    <s v="Mozzarella Cheese, Pepperoni"/>
    <x v="3"/>
  </r>
  <r>
    <n v="25767"/>
    <n v="11339"/>
    <n v="1"/>
    <s v="the_greek_m"/>
    <n v="1"/>
    <x v="79"/>
    <x v="3"/>
    <x v="2292"/>
    <n v="16"/>
    <n v="16"/>
    <x v="0"/>
    <x v="0"/>
    <s v="Kalamata Olives, Feta Cheese, Tomatoes, Garlic, Beef Chuck Roast, Red Onions"/>
    <x v="2"/>
  </r>
  <r>
    <n v="25770"/>
    <n v="11340"/>
    <n v="1"/>
    <s v="pepperoni_m"/>
    <n v="1"/>
    <x v="79"/>
    <x v="3"/>
    <x v="2293"/>
    <n v="12.5"/>
    <n v="12.5"/>
    <x v="0"/>
    <x v="0"/>
    <s v="Mozzarella Cheese, Pepperoni"/>
    <x v="3"/>
  </r>
  <r>
    <n v="25773"/>
    <n v="11341"/>
    <n v="1"/>
    <s v="calabrese_m"/>
    <n v="1"/>
    <x v="80"/>
    <x v="4"/>
    <x v="2294"/>
    <n v="16.25"/>
    <n v="16.25"/>
    <x v="0"/>
    <x v="2"/>
    <s v="?duja Salami, Pancetta, Tomatoes, Red Onions, Friggitello Peppers, Garlic"/>
    <x v="6"/>
  </r>
  <r>
    <n v="25781"/>
    <n v="11347"/>
    <n v="1"/>
    <s v="sicilian_s"/>
    <n v="1"/>
    <x v="80"/>
    <x v="4"/>
    <x v="2295"/>
    <n v="12.25"/>
    <n v="12.25"/>
    <x v="1"/>
    <x v="2"/>
    <s v="Coarse Sicilian Salami, Tomatoes, Green Olives, Luganega Sausage, Onions, Garlic"/>
    <x v="7"/>
  </r>
  <r>
    <n v="25783"/>
    <n v="11348"/>
    <n v="1"/>
    <s v="mexicana_l"/>
    <n v="1"/>
    <x v="80"/>
    <x v="4"/>
    <x v="2296"/>
    <n v="20.25"/>
    <n v="20.25"/>
    <x v="2"/>
    <x v="1"/>
    <s v="Tomatoes, Red Peppers, Jalapeno Peppers, Red Onions, Cilantro, Corn, Chipotle Sauce, Garlic"/>
    <x v="1"/>
  </r>
  <r>
    <n v="25786"/>
    <n v="11350"/>
    <n v="0.25"/>
    <s v="big_meat_s"/>
    <n v="1"/>
    <x v="80"/>
    <x v="4"/>
    <x v="2297"/>
    <n v="12"/>
    <n v="12"/>
    <x v="1"/>
    <x v="0"/>
    <s v="Bacon, Pepperoni, Italian Sausage, Chorizo Sausage"/>
    <x v="4"/>
  </r>
  <r>
    <n v="25787"/>
    <n v="11350"/>
    <n v="0.25"/>
    <s v="brie_carre_s"/>
    <n v="1"/>
    <x v="80"/>
    <x v="4"/>
    <x v="2297"/>
    <n v="23.65"/>
    <n v="23.65"/>
    <x v="1"/>
    <x v="2"/>
    <s v="Brie Carre Cheese, Prosciutto, Caramelized Onions, Pears, Thyme, Garlic"/>
    <x v="8"/>
  </r>
  <r>
    <n v="25788"/>
    <n v="11350"/>
    <n v="0.25"/>
    <s v="calabrese_l"/>
    <n v="1"/>
    <x v="80"/>
    <x v="4"/>
    <x v="2297"/>
    <n v="20.25"/>
    <n v="20.25"/>
    <x v="2"/>
    <x v="2"/>
    <s v="?duja Salami, Pancetta, Tomatoes, Red Onions, Friggitello Peppers, Garlic"/>
    <x v="6"/>
  </r>
  <r>
    <n v="25794"/>
    <n v="11350"/>
    <n v="0.25"/>
    <s v="mexicana_m"/>
    <n v="1"/>
    <x v="80"/>
    <x v="4"/>
    <x v="2297"/>
    <n v="16"/>
    <n v="16"/>
    <x v="0"/>
    <x v="1"/>
    <s v="Tomatoes, Red Peppers, Jalapeno Peppers, Red Onions, Cilantro, Corn, Chipotle Sauce, Garlic"/>
    <x v="1"/>
  </r>
  <r>
    <n v="25798"/>
    <n v="11351"/>
    <n v="0.5"/>
    <s v="big_meat_s"/>
    <n v="1"/>
    <x v="80"/>
    <x v="4"/>
    <x v="2298"/>
    <n v="12"/>
    <n v="12"/>
    <x v="1"/>
    <x v="0"/>
    <s v="Bacon, Pepperoni, Italian Sausage, Chorizo Sausage"/>
    <x v="4"/>
  </r>
  <r>
    <n v="25799"/>
    <n v="11351"/>
    <n v="0.5"/>
    <s v="mexicana_l"/>
    <n v="1"/>
    <x v="80"/>
    <x v="4"/>
    <x v="2298"/>
    <n v="20.25"/>
    <n v="20.25"/>
    <x v="2"/>
    <x v="1"/>
    <s v="Tomatoes, Red Peppers, Jalapeno Peppers, Red Onions, Cilantro, Corn, Chipotle Sauce, Garlic"/>
    <x v="1"/>
  </r>
  <r>
    <n v="25800"/>
    <n v="11352"/>
    <n v="1"/>
    <s v="big_meat_s"/>
    <n v="1"/>
    <x v="80"/>
    <x v="4"/>
    <x v="2299"/>
    <n v="12"/>
    <n v="12"/>
    <x v="1"/>
    <x v="0"/>
    <s v="Bacon, Pepperoni, Italian Sausage, Chorizo Sausage"/>
    <x v="4"/>
  </r>
  <r>
    <n v="25805"/>
    <n v="11356"/>
    <n v="1"/>
    <s v="sicilian_s"/>
    <n v="1"/>
    <x v="80"/>
    <x v="4"/>
    <x v="2300"/>
    <n v="12.25"/>
    <n v="12.25"/>
    <x v="1"/>
    <x v="2"/>
    <s v="Coarse Sicilian Salami, Tomatoes, Green Olives, Luganega Sausage, Onions, Garlic"/>
    <x v="7"/>
  </r>
  <r>
    <n v="25807"/>
    <n v="11357"/>
    <n v="1"/>
    <s v="mexicana_m"/>
    <n v="1"/>
    <x v="80"/>
    <x v="4"/>
    <x v="2301"/>
    <n v="16"/>
    <n v="16"/>
    <x v="0"/>
    <x v="1"/>
    <s v="Tomatoes, Red Peppers, Jalapeno Peppers, Red Onions, Cilantro, Corn, Chipotle Sauce, Garlic"/>
    <x v="1"/>
  </r>
  <r>
    <n v="25809"/>
    <n v="11358"/>
    <n v="0.33333333333333331"/>
    <s v="big_meat_s"/>
    <n v="1"/>
    <x v="80"/>
    <x v="4"/>
    <x v="2302"/>
    <n v="12"/>
    <n v="12"/>
    <x v="1"/>
    <x v="0"/>
    <s v="Bacon, Pepperoni, Italian Sausage, Chorizo Sausage"/>
    <x v="4"/>
  </r>
  <r>
    <n v="25812"/>
    <n v="11358"/>
    <n v="0.33333333333333331"/>
    <s v="hawaiian_l"/>
    <n v="1"/>
    <x v="80"/>
    <x v="4"/>
    <x v="2302"/>
    <n v="16.5"/>
    <n v="16.5"/>
    <x v="2"/>
    <x v="0"/>
    <s v="Sliced Ham, Pineapple, Mozzarella Cheese"/>
    <x v="0"/>
  </r>
  <r>
    <n v="25814"/>
    <n v="11358"/>
    <n v="0.33333333333333331"/>
    <s v="mexicana_m"/>
    <n v="1"/>
    <x v="80"/>
    <x v="4"/>
    <x v="2302"/>
    <n v="16"/>
    <n v="16"/>
    <x v="0"/>
    <x v="1"/>
    <s v="Tomatoes, Red Peppers, Jalapeno Peppers, Red Onions, Cilantro, Corn, Chipotle Sauce, Garlic"/>
    <x v="1"/>
  </r>
  <r>
    <n v="25824"/>
    <n v="11362"/>
    <n v="1"/>
    <s v="hawaiian_l"/>
    <n v="1"/>
    <x v="80"/>
    <x v="4"/>
    <x v="2303"/>
    <n v="16.5"/>
    <n v="16.5"/>
    <x v="2"/>
    <x v="0"/>
    <s v="Sliced Ham, Pineapple, Mozzarella Cheese"/>
    <x v="0"/>
  </r>
  <r>
    <n v="25826"/>
    <n v="11364"/>
    <n v="1"/>
    <s v="calabrese_m"/>
    <n v="1"/>
    <x v="80"/>
    <x v="4"/>
    <x v="2304"/>
    <n v="16.25"/>
    <n v="16.25"/>
    <x v="0"/>
    <x v="2"/>
    <s v="?duja Salami, Pancetta, Tomatoes, Red Onions, Friggitello Peppers, Garlic"/>
    <x v="6"/>
  </r>
  <r>
    <n v="25833"/>
    <n v="11369"/>
    <n v="0.5"/>
    <s v="napolitana_s"/>
    <n v="1"/>
    <x v="80"/>
    <x v="4"/>
    <x v="2305"/>
    <n v="12"/>
    <n v="12"/>
    <x v="1"/>
    <x v="0"/>
    <s v="Tomatoes, Anchovies, Green Olives, Red Onions, Garlic"/>
    <x v="5"/>
  </r>
  <r>
    <n v="25834"/>
    <n v="11369"/>
    <n v="0.5"/>
    <s v="pepperoni_s"/>
    <n v="1"/>
    <x v="80"/>
    <x v="4"/>
    <x v="2305"/>
    <n v="9.75"/>
    <n v="9.75"/>
    <x v="1"/>
    <x v="0"/>
    <s v="Mozzarella Cheese, Pepperoni"/>
    <x v="3"/>
  </r>
  <r>
    <n v="25841"/>
    <n v="11371"/>
    <n v="1"/>
    <s v="pepperoni_l"/>
    <n v="1"/>
    <x v="80"/>
    <x v="4"/>
    <x v="2306"/>
    <n v="15.25"/>
    <n v="15.25"/>
    <x v="2"/>
    <x v="0"/>
    <s v="Mozzarella Cheese, Pepperoni"/>
    <x v="3"/>
  </r>
  <r>
    <n v="25848"/>
    <n v="11375"/>
    <n v="1"/>
    <s v="the_greek_m"/>
    <n v="1"/>
    <x v="80"/>
    <x v="4"/>
    <x v="2307"/>
    <n v="16"/>
    <n v="16"/>
    <x v="0"/>
    <x v="0"/>
    <s v="Kalamata Olives, Feta Cheese, Tomatoes, Garlic, Beef Chuck Roast, Red Onions"/>
    <x v="2"/>
  </r>
  <r>
    <n v="25855"/>
    <n v="11378"/>
    <n v="1"/>
    <s v="pepperoni_m"/>
    <n v="1"/>
    <x v="80"/>
    <x v="4"/>
    <x v="2308"/>
    <n v="12.5"/>
    <n v="12.5"/>
    <x v="0"/>
    <x v="0"/>
    <s v="Mozzarella Cheese, Pepperoni"/>
    <x v="3"/>
  </r>
  <r>
    <n v="25857"/>
    <n v="11379"/>
    <n v="1"/>
    <s v="pepperoni_l"/>
    <n v="1"/>
    <x v="80"/>
    <x v="4"/>
    <x v="2309"/>
    <n v="15.25"/>
    <n v="15.25"/>
    <x v="2"/>
    <x v="0"/>
    <s v="Mozzarella Cheese, Pepperoni"/>
    <x v="3"/>
  </r>
  <r>
    <n v="25865"/>
    <n v="11383"/>
    <n v="1"/>
    <s v="big_meat_s"/>
    <n v="1"/>
    <x v="80"/>
    <x v="4"/>
    <x v="497"/>
    <n v="12"/>
    <n v="12"/>
    <x v="1"/>
    <x v="0"/>
    <s v="Bacon, Pepperoni, Italian Sausage, Chorizo Sausage"/>
    <x v="4"/>
  </r>
  <r>
    <n v="25873"/>
    <n v="11385"/>
    <n v="1"/>
    <s v="napolitana_s"/>
    <n v="1"/>
    <x v="80"/>
    <x v="4"/>
    <x v="2310"/>
    <n v="12"/>
    <n v="12"/>
    <x v="1"/>
    <x v="0"/>
    <s v="Tomatoes, Anchovies, Green Olives, Red Onions, Garlic"/>
    <x v="5"/>
  </r>
  <r>
    <n v="25875"/>
    <n v="11386"/>
    <n v="1"/>
    <s v="hawaiian_m"/>
    <n v="1"/>
    <x v="80"/>
    <x v="4"/>
    <x v="2311"/>
    <n v="13.25"/>
    <n v="13.25"/>
    <x v="0"/>
    <x v="0"/>
    <s v="Sliced Ham, Pineapple, Mozzarella Cheese"/>
    <x v="0"/>
  </r>
  <r>
    <n v="25877"/>
    <n v="11387"/>
    <n v="0.33333333333333331"/>
    <s v="calabrese_l"/>
    <n v="1"/>
    <x v="80"/>
    <x v="4"/>
    <x v="2312"/>
    <n v="20.25"/>
    <n v="20.25"/>
    <x v="2"/>
    <x v="2"/>
    <s v="?duja Salami, Pancetta, Tomatoes, Red Onions, Friggitello Peppers, Garlic"/>
    <x v="6"/>
  </r>
  <r>
    <n v="25878"/>
    <n v="11387"/>
    <n v="0.33333333333333331"/>
    <s v="sicilian_l"/>
    <n v="1"/>
    <x v="80"/>
    <x v="4"/>
    <x v="2312"/>
    <n v="20.25"/>
    <n v="20.25"/>
    <x v="2"/>
    <x v="2"/>
    <s v="Coarse Sicilian Salami, Tomatoes, Green Olives, Luganega Sausage, Onions, Garlic"/>
    <x v="7"/>
  </r>
  <r>
    <n v="25880"/>
    <n v="11387"/>
    <n v="0.33333333333333331"/>
    <s v="the_greek_s"/>
    <n v="1"/>
    <x v="80"/>
    <x v="4"/>
    <x v="2312"/>
    <n v="12"/>
    <n v="12"/>
    <x v="1"/>
    <x v="0"/>
    <s v="Kalamata Olives, Feta Cheese, Tomatoes, Garlic, Beef Chuck Roast, Red Onions"/>
    <x v="2"/>
  </r>
  <r>
    <n v="25882"/>
    <n v="11388"/>
    <n v="1"/>
    <s v="mexicana_l"/>
    <n v="2"/>
    <x v="80"/>
    <x v="4"/>
    <x v="2313"/>
    <n v="20.25"/>
    <n v="40.5"/>
    <x v="2"/>
    <x v="1"/>
    <s v="Tomatoes, Red Peppers, Jalapeno Peppers, Red Onions, Cilantro, Corn, Chipotle Sauce, Garlic"/>
    <x v="1"/>
  </r>
  <r>
    <n v="25885"/>
    <n v="11390"/>
    <n v="1"/>
    <s v="sicilian_l"/>
    <n v="1"/>
    <x v="80"/>
    <x v="4"/>
    <x v="2314"/>
    <n v="20.25"/>
    <n v="20.25"/>
    <x v="2"/>
    <x v="2"/>
    <s v="Coarse Sicilian Salami, Tomatoes, Green Olives, Luganega Sausage, Onions, Garlic"/>
    <x v="7"/>
  </r>
  <r>
    <n v="25889"/>
    <n v="11391"/>
    <n v="1"/>
    <s v="sicilian_m"/>
    <n v="1"/>
    <x v="80"/>
    <x v="4"/>
    <x v="2315"/>
    <n v="16.25"/>
    <n v="16.25"/>
    <x v="0"/>
    <x v="2"/>
    <s v="Coarse Sicilian Salami, Tomatoes, Green Olives, Luganega Sausage, Onions, Garlic"/>
    <x v="7"/>
  </r>
  <r>
    <n v="25897"/>
    <n v="11395"/>
    <n v="1"/>
    <s v="pepperoni_m"/>
    <n v="1"/>
    <x v="80"/>
    <x v="4"/>
    <x v="2316"/>
    <n v="12.5"/>
    <n v="12.5"/>
    <x v="0"/>
    <x v="0"/>
    <s v="Mozzarella Cheese, Pepperoni"/>
    <x v="3"/>
  </r>
  <r>
    <n v="25905"/>
    <n v="11398"/>
    <n v="1"/>
    <s v="the_greek_m"/>
    <n v="1"/>
    <x v="80"/>
    <x v="4"/>
    <x v="2317"/>
    <n v="16"/>
    <n v="16"/>
    <x v="0"/>
    <x v="0"/>
    <s v="Kalamata Olives, Feta Cheese, Tomatoes, Garlic, Beef Chuck Roast, Red Onions"/>
    <x v="2"/>
  </r>
  <r>
    <n v="25907"/>
    <n v="11400"/>
    <n v="1"/>
    <s v="mexicana_m"/>
    <n v="1"/>
    <x v="81"/>
    <x v="2"/>
    <x v="2318"/>
    <n v="16"/>
    <n v="16"/>
    <x v="0"/>
    <x v="1"/>
    <s v="Tomatoes, Red Peppers, Jalapeno Peppers, Red Onions, Cilantro, Corn, Chipotle Sauce, Garlic"/>
    <x v="1"/>
  </r>
  <r>
    <n v="25911"/>
    <n v="11404"/>
    <n v="1"/>
    <s v="hawaiian_s"/>
    <n v="1"/>
    <x v="81"/>
    <x v="2"/>
    <x v="2319"/>
    <n v="10.5"/>
    <n v="10.5"/>
    <x v="1"/>
    <x v="0"/>
    <s v="Sliced Ham, Pineapple, Mozzarella Cheese"/>
    <x v="0"/>
  </r>
  <r>
    <n v="25912"/>
    <n v="11405"/>
    <n v="1"/>
    <s v="calabrese_m"/>
    <n v="1"/>
    <x v="81"/>
    <x v="2"/>
    <x v="2320"/>
    <n v="16.25"/>
    <n v="16.25"/>
    <x v="0"/>
    <x v="2"/>
    <s v="?duja Salami, Pancetta, Tomatoes, Red Onions, Friggitello Peppers, Garlic"/>
    <x v="6"/>
  </r>
  <r>
    <n v="25919"/>
    <n v="11408"/>
    <n v="1"/>
    <s v="big_meat_s"/>
    <n v="1"/>
    <x v="81"/>
    <x v="2"/>
    <x v="2321"/>
    <n v="12"/>
    <n v="12"/>
    <x v="1"/>
    <x v="0"/>
    <s v="Bacon, Pepperoni, Italian Sausage, Chorizo Sausage"/>
    <x v="4"/>
  </r>
  <r>
    <n v="25923"/>
    <n v="11410"/>
    <n v="0.5"/>
    <s v="pepperoni_m"/>
    <n v="1"/>
    <x v="81"/>
    <x v="2"/>
    <x v="2322"/>
    <n v="12.5"/>
    <n v="12.5"/>
    <x v="0"/>
    <x v="0"/>
    <s v="Mozzarella Cheese, Pepperoni"/>
    <x v="3"/>
  </r>
  <r>
    <n v="25924"/>
    <n v="11410"/>
    <n v="0.5"/>
    <s v="sicilian_s"/>
    <n v="1"/>
    <x v="81"/>
    <x v="2"/>
    <x v="2322"/>
    <n v="12.25"/>
    <n v="12.25"/>
    <x v="1"/>
    <x v="2"/>
    <s v="Coarse Sicilian Salami, Tomatoes, Green Olives, Luganega Sausage, Onions, Garlic"/>
    <x v="7"/>
  </r>
  <r>
    <n v="25933"/>
    <n v="11412"/>
    <n v="1"/>
    <s v="pepperoni_s"/>
    <n v="1"/>
    <x v="81"/>
    <x v="2"/>
    <x v="2323"/>
    <n v="9.75"/>
    <n v="9.75"/>
    <x v="1"/>
    <x v="0"/>
    <s v="Mozzarella Cheese, Pepperoni"/>
    <x v="3"/>
  </r>
  <r>
    <n v="25938"/>
    <n v="11415"/>
    <n v="1"/>
    <s v="napolitana_m"/>
    <n v="1"/>
    <x v="81"/>
    <x v="2"/>
    <x v="2324"/>
    <n v="16"/>
    <n v="16"/>
    <x v="0"/>
    <x v="0"/>
    <s v="Tomatoes, Anchovies, Green Olives, Red Onions, Garlic"/>
    <x v="5"/>
  </r>
  <r>
    <n v="25939"/>
    <n v="11416"/>
    <n v="0.5"/>
    <s v="mexicana_s"/>
    <n v="1"/>
    <x v="81"/>
    <x v="2"/>
    <x v="2325"/>
    <n v="12"/>
    <n v="12"/>
    <x v="1"/>
    <x v="1"/>
    <s v="Tomatoes, Red Peppers, Jalapeno Peppers, Red Onions, Cilantro, Corn, Chipotle Sauce, Garlic"/>
    <x v="1"/>
  </r>
  <r>
    <n v="25940"/>
    <n v="11416"/>
    <n v="0.5"/>
    <s v="pepperoni_m"/>
    <n v="1"/>
    <x v="81"/>
    <x v="2"/>
    <x v="2325"/>
    <n v="12.5"/>
    <n v="12.5"/>
    <x v="0"/>
    <x v="0"/>
    <s v="Mozzarella Cheese, Pepperoni"/>
    <x v="3"/>
  </r>
  <r>
    <n v="25946"/>
    <n v="11420"/>
    <n v="1"/>
    <s v="the_greek_l"/>
    <n v="1"/>
    <x v="81"/>
    <x v="2"/>
    <x v="2326"/>
    <n v="20.5"/>
    <n v="20.5"/>
    <x v="2"/>
    <x v="0"/>
    <s v="Kalamata Olives, Feta Cheese, Tomatoes, Garlic, Beef Chuck Roast, Red Onions"/>
    <x v="2"/>
  </r>
  <r>
    <n v="25950"/>
    <n v="11424"/>
    <n v="1"/>
    <s v="pepperoni_s"/>
    <n v="1"/>
    <x v="81"/>
    <x v="2"/>
    <x v="520"/>
    <n v="9.75"/>
    <n v="9.75"/>
    <x v="1"/>
    <x v="0"/>
    <s v="Mozzarella Cheese, Pepperoni"/>
    <x v="3"/>
  </r>
  <r>
    <n v="25952"/>
    <n v="11425"/>
    <n v="1"/>
    <s v="hawaiian_l"/>
    <n v="1"/>
    <x v="81"/>
    <x v="2"/>
    <x v="2327"/>
    <n v="16.5"/>
    <n v="16.5"/>
    <x v="2"/>
    <x v="0"/>
    <s v="Sliced Ham, Pineapple, Mozzarella Cheese"/>
    <x v="0"/>
  </r>
  <r>
    <n v="25955"/>
    <n v="11427"/>
    <n v="1"/>
    <s v="mexicana_m"/>
    <n v="1"/>
    <x v="81"/>
    <x v="2"/>
    <x v="2328"/>
    <n v="16"/>
    <n v="16"/>
    <x v="0"/>
    <x v="1"/>
    <s v="Tomatoes, Red Peppers, Jalapeno Peppers, Red Onions, Cilantro, Corn, Chipotle Sauce, Garlic"/>
    <x v="1"/>
  </r>
  <r>
    <n v="25964"/>
    <n v="11428"/>
    <n v="0.33333333333333331"/>
    <s v="mexicana_l"/>
    <n v="1"/>
    <x v="81"/>
    <x v="2"/>
    <x v="2329"/>
    <n v="20.25"/>
    <n v="20.25"/>
    <x v="2"/>
    <x v="1"/>
    <s v="Tomatoes, Red Peppers, Jalapeno Peppers, Red Onions, Cilantro, Corn, Chipotle Sauce, Garlic"/>
    <x v="1"/>
  </r>
  <r>
    <n v="25965"/>
    <n v="11428"/>
    <n v="0.33333333333333331"/>
    <s v="mexicana_m"/>
    <n v="1"/>
    <x v="81"/>
    <x v="2"/>
    <x v="2329"/>
    <n v="16"/>
    <n v="16"/>
    <x v="0"/>
    <x v="1"/>
    <s v="Tomatoes, Red Peppers, Jalapeno Peppers, Red Onions, Cilantro, Corn, Chipotle Sauce, Garlic"/>
    <x v="1"/>
  </r>
  <r>
    <n v="25968"/>
    <n v="11428"/>
    <n v="0.33333333333333331"/>
    <s v="the_greek_m"/>
    <n v="1"/>
    <x v="81"/>
    <x v="2"/>
    <x v="2329"/>
    <n v="16"/>
    <n v="16"/>
    <x v="0"/>
    <x v="0"/>
    <s v="Kalamata Olives, Feta Cheese, Tomatoes, Garlic, Beef Chuck Roast, Red Onions"/>
    <x v="2"/>
  </r>
  <r>
    <n v="25970"/>
    <n v="11429"/>
    <n v="1"/>
    <s v="brie_carre_s"/>
    <n v="1"/>
    <x v="81"/>
    <x v="2"/>
    <x v="2330"/>
    <n v="23.65"/>
    <n v="23.65"/>
    <x v="1"/>
    <x v="2"/>
    <s v="Brie Carre Cheese, Prosciutto, Caramelized Onions, Pears, Thyme, Garlic"/>
    <x v="8"/>
  </r>
  <r>
    <n v="25972"/>
    <n v="11431"/>
    <n v="0.5"/>
    <s v="brie_carre_s"/>
    <n v="1"/>
    <x v="81"/>
    <x v="2"/>
    <x v="2331"/>
    <n v="23.65"/>
    <n v="23.65"/>
    <x v="1"/>
    <x v="2"/>
    <s v="Brie Carre Cheese, Prosciutto, Caramelized Onions, Pears, Thyme, Garlic"/>
    <x v="8"/>
  </r>
  <r>
    <n v="25974"/>
    <n v="11431"/>
    <n v="0.5"/>
    <s v="mexicana_s"/>
    <n v="1"/>
    <x v="81"/>
    <x v="2"/>
    <x v="2331"/>
    <n v="12"/>
    <n v="12"/>
    <x v="1"/>
    <x v="1"/>
    <s v="Tomatoes, Red Peppers, Jalapeno Peppers, Red Onions, Cilantro, Corn, Chipotle Sauce, Garlic"/>
    <x v="1"/>
  </r>
  <r>
    <n v="25977"/>
    <n v="11432"/>
    <n v="1"/>
    <s v="napolitana_l"/>
    <n v="1"/>
    <x v="81"/>
    <x v="2"/>
    <x v="2332"/>
    <n v="20.5"/>
    <n v="20.5"/>
    <x v="2"/>
    <x v="0"/>
    <s v="Tomatoes, Anchovies, Green Olives, Red Onions, Garlic"/>
    <x v="5"/>
  </r>
  <r>
    <n v="25978"/>
    <n v="11433"/>
    <n v="1"/>
    <s v="pepperoni_m"/>
    <n v="1"/>
    <x v="81"/>
    <x v="2"/>
    <x v="2333"/>
    <n v="12.5"/>
    <n v="12.5"/>
    <x v="0"/>
    <x v="0"/>
    <s v="Mozzarella Cheese, Pepperoni"/>
    <x v="3"/>
  </r>
  <r>
    <n v="25989"/>
    <n v="11439"/>
    <n v="1"/>
    <s v="calabrese_m"/>
    <n v="1"/>
    <x v="81"/>
    <x v="2"/>
    <x v="2334"/>
    <n v="16.25"/>
    <n v="16.25"/>
    <x v="0"/>
    <x v="2"/>
    <s v="?duja Salami, Pancetta, Tomatoes, Red Onions, Friggitello Peppers, Garlic"/>
    <x v="6"/>
  </r>
  <r>
    <n v="25993"/>
    <n v="11441"/>
    <n v="1"/>
    <s v="calabrese_m"/>
    <n v="1"/>
    <x v="81"/>
    <x v="2"/>
    <x v="2335"/>
    <n v="16.25"/>
    <n v="16.25"/>
    <x v="0"/>
    <x v="2"/>
    <s v="?duja Salami, Pancetta, Tomatoes, Red Onions, Friggitello Peppers, Garlic"/>
    <x v="6"/>
  </r>
  <r>
    <n v="25999"/>
    <n v="11444"/>
    <n v="1"/>
    <s v="sicilian_m"/>
    <n v="1"/>
    <x v="81"/>
    <x v="2"/>
    <x v="2336"/>
    <n v="16.25"/>
    <n v="16.25"/>
    <x v="0"/>
    <x v="2"/>
    <s v="Coarse Sicilian Salami, Tomatoes, Green Olives, Luganega Sausage, Onions, Garlic"/>
    <x v="7"/>
  </r>
  <r>
    <n v="26001"/>
    <n v="11445"/>
    <n v="1"/>
    <s v="pepperoni_s"/>
    <n v="1"/>
    <x v="81"/>
    <x v="2"/>
    <x v="2337"/>
    <n v="9.75"/>
    <n v="9.75"/>
    <x v="1"/>
    <x v="0"/>
    <s v="Mozzarella Cheese, Pepperoni"/>
    <x v="3"/>
  </r>
  <r>
    <n v="26003"/>
    <n v="11447"/>
    <n v="1"/>
    <s v="brie_carre_s"/>
    <n v="1"/>
    <x v="81"/>
    <x v="2"/>
    <x v="2338"/>
    <n v="23.65"/>
    <n v="23.65"/>
    <x v="1"/>
    <x v="2"/>
    <s v="Brie Carre Cheese, Prosciutto, Caramelized Onions, Pears, Thyme, Garlic"/>
    <x v="8"/>
  </r>
  <r>
    <n v="26010"/>
    <n v="11450"/>
    <n v="1"/>
    <s v="napolitana_l"/>
    <n v="1"/>
    <x v="81"/>
    <x v="2"/>
    <x v="2339"/>
    <n v="20.5"/>
    <n v="20.5"/>
    <x v="2"/>
    <x v="0"/>
    <s v="Tomatoes, Anchovies, Green Olives, Red Onions, Garlic"/>
    <x v="5"/>
  </r>
  <r>
    <n v="26013"/>
    <n v="11451"/>
    <n v="1"/>
    <s v="pepperoni_s"/>
    <n v="1"/>
    <x v="81"/>
    <x v="2"/>
    <x v="2340"/>
    <n v="9.75"/>
    <n v="9.75"/>
    <x v="1"/>
    <x v="0"/>
    <s v="Mozzarella Cheese, Pepperoni"/>
    <x v="3"/>
  </r>
  <r>
    <n v="26019"/>
    <n v="11454"/>
    <n v="1"/>
    <s v="hawaiian_m"/>
    <n v="1"/>
    <x v="81"/>
    <x v="2"/>
    <x v="2341"/>
    <n v="13.25"/>
    <n v="13.25"/>
    <x v="0"/>
    <x v="0"/>
    <s v="Sliced Ham, Pineapple, Mozzarella Cheese"/>
    <x v="0"/>
  </r>
  <r>
    <n v="26021"/>
    <n v="11456"/>
    <n v="1"/>
    <s v="big_meat_s"/>
    <n v="1"/>
    <x v="81"/>
    <x v="2"/>
    <x v="2342"/>
    <n v="12"/>
    <n v="12"/>
    <x v="1"/>
    <x v="0"/>
    <s v="Bacon, Pepperoni, Italian Sausage, Chorizo Sausage"/>
    <x v="4"/>
  </r>
  <r>
    <n v="26022"/>
    <n v="11457"/>
    <n v="1"/>
    <s v="sicilian_l"/>
    <n v="1"/>
    <x v="81"/>
    <x v="2"/>
    <x v="2343"/>
    <n v="20.25"/>
    <n v="20.25"/>
    <x v="2"/>
    <x v="2"/>
    <s v="Coarse Sicilian Salami, Tomatoes, Green Olives, Luganega Sausage, Onions, Garlic"/>
    <x v="7"/>
  </r>
  <r>
    <n v="26023"/>
    <n v="11458"/>
    <n v="1"/>
    <s v="calabrese_m"/>
    <n v="1"/>
    <x v="81"/>
    <x v="2"/>
    <x v="2344"/>
    <n v="16.25"/>
    <n v="16.25"/>
    <x v="0"/>
    <x v="2"/>
    <s v="?duja Salami, Pancetta, Tomatoes, Red Onions, Friggitello Peppers, Garlic"/>
    <x v="6"/>
  </r>
  <r>
    <n v="26029"/>
    <n v="11462"/>
    <n v="1"/>
    <s v="pepperoni_s"/>
    <n v="1"/>
    <x v="81"/>
    <x v="2"/>
    <x v="2345"/>
    <n v="9.75"/>
    <n v="9.75"/>
    <x v="1"/>
    <x v="0"/>
    <s v="Mozzarella Cheese, Pepperoni"/>
    <x v="3"/>
  </r>
  <r>
    <n v="26041"/>
    <n v="11467"/>
    <n v="0.5"/>
    <s v="hawaiian_l"/>
    <n v="1"/>
    <x v="81"/>
    <x v="2"/>
    <x v="2346"/>
    <n v="16.5"/>
    <n v="16.5"/>
    <x v="2"/>
    <x v="0"/>
    <s v="Sliced Ham, Pineapple, Mozzarella Cheese"/>
    <x v="0"/>
  </r>
  <r>
    <n v="26042"/>
    <n v="11467"/>
    <n v="0.5"/>
    <s v="hawaiian_m"/>
    <n v="1"/>
    <x v="81"/>
    <x v="2"/>
    <x v="2346"/>
    <n v="13.25"/>
    <n v="13.25"/>
    <x v="0"/>
    <x v="0"/>
    <s v="Sliced Ham, Pineapple, Mozzarella Cheese"/>
    <x v="0"/>
  </r>
  <r>
    <n v="26043"/>
    <n v="11468"/>
    <n v="1"/>
    <s v="pepperoni_m"/>
    <n v="1"/>
    <x v="81"/>
    <x v="2"/>
    <x v="2347"/>
    <n v="12.5"/>
    <n v="12.5"/>
    <x v="0"/>
    <x v="0"/>
    <s v="Mozzarella Cheese, Pepperoni"/>
    <x v="3"/>
  </r>
  <r>
    <n v="26047"/>
    <n v="11469"/>
    <n v="1"/>
    <s v="sicilian_l"/>
    <n v="1"/>
    <x v="81"/>
    <x v="2"/>
    <x v="2348"/>
    <n v="20.25"/>
    <n v="20.25"/>
    <x v="2"/>
    <x v="2"/>
    <s v="Coarse Sicilian Salami, Tomatoes, Green Olives, Luganega Sausage, Onions, Garlic"/>
    <x v="7"/>
  </r>
  <r>
    <n v="26052"/>
    <n v="11471"/>
    <n v="1"/>
    <s v="sicilian_l"/>
    <n v="1"/>
    <x v="82"/>
    <x v="5"/>
    <x v="2349"/>
    <n v="20.25"/>
    <n v="20.25"/>
    <x v="2"/>
    <x v="2"/>
    <s v="Coarse Sicilian Salami, Tomatoes, Green Olives, Luganega Sausage, Onions, Garlic"/>
    <x v="7"/>
  </r>
  <r>
    <n v="26057"/>
    <n v="11474"/>
    <n v="1"/>
    <s v="napolitana_s"/>
    <n v="1"/>
    <x v="82"/>
    <x v="5"/>
    <x v="2350"/>
    <n v="12"/>
    <n v="12"/>
    <x v="1"/>
    <x v="0"/>
    <s v="Tomatoes, Anchovies, Green Olives, Red Onions, Garlic"/>
    <x v="5"/>
  </r>
  <r>
    <n v="26059"/>
    <n v="11475"/>
    <n v="1"/>
    <s v="pepperoni_s"/>
    <n v="1"/>
    <x v="82"/>
    <x v="5"/>
    <x v="2351"/>
    <n v="9.75"/>
    <n v="9.75"/>
    <x v="1"/>
    <x v="0"/>
    <s v="Mozzarella Cheese, Pepperoni"/>
    <x v="3"/>
  </r>
  <r>
    <n v="26062"/>
    <n v="11476"/>
    <n v="1"/>
    <s v="mexicana_m"/>
    <n v="1"/>
    <x v="82"/>
    <x v="5"/>
    <x v="2352"/>
    <n v="16"/>
    <n v="16"/>
    <x v="0"/>
    <x v="1"/>
    <s v="Tomatoes, Red Peppers, Jalapeno Peppers, Red Onions, Cilantro, Corn, Chipotle Sauce, Garlic"/>
    <x v="1"/>
  </r>
  <r>
    <n v="26066"/>
    <n v="11478"/>
    <n v="0.5"/>
    <s v="big_meat_s"/>
    <n v="1"/>
    <x v="82"/>
    <x v="5"/>
    <x v="2353"/>
    <n v="12"/>
    <n v="12"/>
    <x v="1"/>
    <x v="0"/>
    <s v="Bacon, Pepperoni, Italian Sausage, Chorizo Sausage"/>
    <x v="4"/>
  </r>
  <r>
    <n v="26073"/>
    <n v="11478"/>
    <n v="0.5"/>
    <s v="sicilian_s"/>
    <n v="1"/>
    <x v="82"/>
    <x v="5"/>
    <x v="2353"/>
    <n v="12.25"/>
    <n v="12.25"/>
    <x v="1"/>
    <x v="2"/>
    <s v="Coarse Sicilian Salami, Tomatoes, Green Olives, Luganega Sausage, Onions, Garlic"/>
    <x v="7"/>
  </r>
  <r>
    <n v="26078"/>
    <n v="11481"/>
    <n v="1"/>
    <s v="pepperoni_m"/>
    <n v="1"/>
    <x v="82"/>
    <x v="5"/>
    <x v="2354"/>
    <n v="12.5"/>
    <n v="12.5"/>
    <x v="0"/>
    <x v="0"/>
    <s v="Mozzarella Cheese, Pepperoni"/>
    <x v="3"/>
  </r>
  <r>
    <n v="26080"/>
    <n v="11482"/>
    <n v="1"/>
    <s v="napolitana_m"/>
    <n v="1"/>
    <x v="82"/>
    <x v="5"/>
    <x v="2355"/>
    <n v="16"/>
    <n v="16"/>
    <x v="0"/>
    <x v="0"/>
    <s v="Tomatoes, Anchovies, Green Olives, Red Onions, Garlic"/>
    <x v="5"/>
  </r>
  <r>
    <n v="26084"/>
    <n v="11485"/>
    <n v="1"/>
    <s v="big_meat_s"/>
    <n v="1"/>
    <x v="82"/>
    <x v="5"/>
    <x v="2356"/>
    <n v="12"/>
    <n v="12"/>
    <x v="1"/>
    <x v="0"/>
    <s v="Bacon, Pepperoni, Italian Sausage, Chorizo Sausage"/>
    <x v="4"/>
  </r>
  <r>
    <n v="26088"/>
    <n v="11486"/>
    <n v="0.5"/>
    <s v="hawaiian_m"/>
    <n v="1"/>
    <x v="82"/>
    <x v="5"/>
    <x v="2357"/>
    <n v="13.25"/>
    <n v="13.25"/>
    <x v="0"/>
    <x v="0"/>
    <s v="Sliced Ham, Pineapple, Mozzarella Cheese"/>
    <x v="0"/>
  </r>
  <r>
    <n v="26089"/>
    <n v="11486"/>
    <n v="0.5"/>
    <s v="sicilian_l"/>
    <n v="2"/>
    <x v="82"/>
    <x v="5"/>
    <x v="2357"/>
    <n v="20.25"/>
    <n v="40.5"/>
    <x v="2"/>
    <x v="2"/>
    <s v="Coarse Sicilian Salami, Tomatoes, Green Olives, Luganega Sausage, Onions, Garlic"/>
    <x v="7"/>
  </r>
  <r>
    <n v="26097"/>
    <n v="11491"/>
    <n v="1"/>
    <s v="big_meat_s"/>
    <n v="1"/>
    <x v="82"/>
    <x v="5"/>
    <x v="2358"/>
    <n v="12"/>
    <n v="12"/>
    <x v="1"/>
    <x v="0"/>
    <s v="Bacon, Pepperoni, Italian Sausage, Chorizo Sausage"/>
    <x v="4"/>
  </r>
  <r>
    <n v="26101"/>
    <n v="11494"/>
    <n v="1"/>
    <s v="big_meat_s"/>
    <n v="1"/>
    <x v="82"/>
    <x v="5"/>
    <x v="2359"/>
    <n v="12"/>
    <n v="12"/>
    <x v="1"/>
    <x v="0"/>
    <s v="Bacon, Pepperoni, Italian Sausage, Chorizo Sausage"/>
    <x v="4"/>
  </r>
  <r>
    <n v="26108"/>
    <n v="11497"/>
    <n v="1"/>
    <s v="hawaiian_m"/>
    <n v="1"/>
    <x v="82"/>
    <x v="5"/>
    <x v="699"/>
    <n v="13.25"/>
    <n v="13.25"/>
    <x v="0"/>
    <x v="0"/>
    <s v="Sliced Ham, Pineapple, Mozzarella Cheese"/>
    <x v="0"/>
  </r>
  <r>
    <n v="26110"/>
    <n v="11498"/>
    <n v="1"/>
    <s v="sicilian_m"/>
    <n v="1"/>
    <x v="82"/>
    <x v="5"/>
    <x v="2360"/>
    <n v="16.25"/>
    <n v="16.25"/>
    <x v="0"/>
    <x v="2"/>
    <s v="Coarse Sicilian Salami, Tomatoes, Green Olives, Luganega Sausage, Onions, Garlic"/>
    <x v="7"/>
  </r>
  <r>
    <n v="26111"/>
    <n v="11499"/>
    <n v="0.5"/>
    <s v="mexicana_m"/>
    <n v="1"/>
    <x v="82"/>
    <x v="5"/>
    <x v="2361"/>
    <n v="16"/>
    <n v="16"/>
    <x v="0"/>
    <x v="1"/>
    <s v="Tomatoes, Red Peppers, Jalapeno Peppers, Red Onions, Cilantro, Corn, Chipotle Sauce, Garlic"/>
    <x v="1"/>
  </r>
  <r>
    <n v="26112"/>
    <n v="11499"/>
    <n v="0.5"/>
    <s v="the_greek_xl"/>
    <n v="1"/>
    <x v="82"/>
    <x v="5"/>
    <x v="2361"/>
    <n v="25.5"/>
    <n v="25.5"/>
    <x v="3"/>
    <x v="0"/>
    <s v="Kalamata Olives, Feta Cheese, Tomatoes, Garlic, Beef Chuck Roast, Red Onions"/>
    <x v="2"/>
  </r>
  <r>
    <n v="26117"/>
    <n v="11502"/>
    <n v="1"/>
    <s v="hawaiian_l"/>
    <n v="1"/>
    <x v="82"/>
    <x v="5"/>
    <x v="2362"/>
    <n v="16.5"/>
    <n v="16.5"/>
    <x v="2"/>
    <x v="0"/>
    <s v="Sliced Ham, Pineapple, Mozzarella Cheese"/>
    <x v="0"/>
  </r>
  <r>
    <n v="26123"/>
    <n v="11504"/>
    <n v="1"/>
    <s v="big_meat_s"/>
    <n v="1"/>
    <x v="82"/>
    <x v="5"/>
    <x v="2363"/>
    <n v="12"/>
    <n v="12"/>
    <x v="1"/>
    <x v="0"/>
    <s v="Bacon, Pepperoni, Italian Sausage, Chorizo Sausage"/>
    <x v="4"/>
  </r>
  <r>
    <n v="26133"/>
    <n v="11507"/>
    <n v="1"/>
    <s v="mexicana_l"/>
    <n v="1"/>
    <x v="82"/>
    <x v="5"/>
    <x v="2364"/>
    <n v="20.25"/>
    <n v="20.25"/>
    <x v="2"/>
    <x v="1"/>
    <s v="Tomatoes, Red Peppers, Jalapeno Peppers, Red Onions, Cilantro, Corn, Chipotle Sauce, Garlic"/>
    <x v="1"/>
  </r>
  <r>
    <n v="26137"/>
    <n v="11508"/>
    <n v="1"/>
    <s v="big_meat_s"/>
    <n v="1"/>
    <x v="82"/>
    <x v="5"/>
    <x v="2365"/>
    <n v="12"/>
    <n v="12"/>
    <x v="1"/>
    <x v="0"/>
    <s v="Bacon, Pepperoni, Italian Sausage, Chorizo Sausage"/>
    <x v="4"/>
  </r>
  <r>
    <n v="26139"/>
    <n v="11509"/>
    <n v="1"/>
    <s v="brie_carre_s"/>
    <n v="1"/>
    <x v="82"/>
    <x v="5"/>
    <x v="2366"/>
    <n v="23.65"/>
    <n v="23.65"/>
    <x v="1"/>
    <x v="2"/>
    <s v="Brie Carre Cheese, Prosciutto, Caramelized Onions, Pears, Thyme, Garlic"/>
    <x v="8"/>
  </r>
  <r>
    <n v="26145"/>
    <n v="11512"/>
    <n v="1"/>
    <s v="the_greek_xl"/>
    <n v="1"/>
    <x v="82"/>
    <x v="5"/>
    <x v="2367"/>
    <n v="25.5"/>
    <n v="25.5"/>
    <x v="3"/>
    <x v="0"/>
    <s v="Kalamata Olives, Feta Cheese, Tomatoes, Garlic, Beef Chuck Roast, Red Onions"/>
    <x v="2"/>
  </r>
  <r>
    <n v="26147"/>
    <n v="11514"/>
    <n v="1"/>
    <s v="brie_carre_s"/>
    <n v="1"/>
    <x v="82"/>
    <x v="5"/>
    <x v="2368"/>
    <n v="23.65"/>
    <n v="23.65"/>
    <x v="1"/>
    <x v="2"/>
    <s v="Brie Carre Cheese, Prosciutto, Caramelized Onions, Pears, Thyme, Garlic"/>
    <x v="8"/>
  </r>
  <r>
    <n v="26149"/>
    <n v="11515"/>
    <n v="1"/>
    <s v="calabrese_m"/>
    <n v="1"/>
    <x v="82"/>
    <x v="5"/>
    <x v="2369"/>
    <n v="16.25"/>
    <n v="16.25"/>
    <x v="0"/>
    <x v="2"/>
    <s v="?duja Salami, Pancetta, Tomatoes, Red Onions, Friggitello Peppers, Garlic"/>
    <x v="6"/>
  </r>
  <r>
    <n v="26157"/>
    <n v="11517"/>
    <n v="1"/>
    <s v="hawaiian_s"/>
    <n v="1"/>
    <x v="82"/>
    <x v="5"/>
    <x v="2370"/>
    <n v="10.5"/>
    <n v="10.5"/>
    <x v="1"/>
    <x v="0"/>
    <s v="Sliced Ham, Pineapple, Mozzarella Cheese"/>
    <x v="0"/>
  </r>
  <r>
    <n v="26160"/>
    <n v="11518"/>
    <n v="1"/>
    <s v="hawaiian_m"/>
    <n v="1"/>
    <x v="82"/>
    <x v="5"/>
    <x v="2371"/>
    <n v="13.25"/>
    <n v="13.25"/>
    <x v="0"/>
    <x v="0"/>
    <s v="Sliced Ham, Pineapple, Mozzarella Cheese"/>
    <x v="0"/>
  </r>
  <r>
    <n v="26164"/>
    <n v="11520"/>
    <n v="0.33333333333333331"/>
    <s v="big_meat_s"/>
    <n v="1"/>
    <x v="82"/>
    <x v="5"/>
    <x v="2372"/>
    <n v="12"/>
    <n v="12"/>
    <x v="1"/>
    <x v="0"/>
    <s v="Bacon, Pepperoni, Italian Sausage, Chorizo Sausage"/>
    <x v="4"/>
  </r>
  <r>
    <n v="26165"/>
    <n v="11520"/>
    <n v="0.33333333333333331"/>
    <s v="calabrese_l"/>
    <n v="1"/>
    <x v="82"/>
    <x v="5"/>
    <x v="2372"/>
    <n v="20.25"/>
    <n v="20.25"/>
    <x v="2"/>
    <x v="2"/>
    <s v="?duja Salami, Pancetta, Tomatoes, Red Onions, Friggitello Peppers, Garlic"/>
    <x v="6"/>
  </r>
  <r>
    <n v="26166"/>
    <n v="11520"/>
    <n v="0.33333333333333331"/>
    <s v="sicilian_m"/>
    <n v="1"/>
    <x v="82"/>
    <x v="5"/>
    <x v="2372"/>
    <n v="16.25"/>
    <n v="16.25"/>
    <x v="0"/>
    <x v="2"/>
    <s v="Coarse Sicilian Salami, Tomatoes, Green Olives, Luganega Sausage, Onions, Garlic"/>
    <x v="7"/>
  </r>
  <r>
    <n v="26169"/>
    <n v="11521"/>
    <n v="1"/>
    <s v="pepperoni_m"/>
    <n v="1"/>
    <x v="82"/>
    <x v="5"/>
    <x v="2373"/>
    <n v="12.5"/>
    <n v="12.5"/>
    <x v="0"/>
    <x v="0"/>
    <s v="Mozzarella Cheese, Pepperoni"/>
    <x v="3"/>
  </r>
  <r>
    <n v="26172"/>
    <n v="11522"/>
    <n v="0.5"/>
    <s v="pepperoni_m"/>
    <n v="1"/>
    <x v="82"/>
    <x v="5"/>
    <x v="2374"/>
    <n v="12.5"/>
    <n v="12.5"/>
    <x v="0"/>
    <x v="0"/>
    <s v="Mozzarella Cheese, Pepperoni"/>
    <x v="3"/>
  </r>
  <r>
    <n v="26173"/>
    <n v="11522"/>
    <n v="0.5"/>
    <s v="the_greek_s"/>
    <n v="1"/>
    <x v="82"/>
    <x v="5"/>
    <x v="2374"/>
    <n v="12"/>
    <n v="12"/>
    <x v="1"/>
    <x v="0"/>
    <s v="Kalamata Olives, Feta Cheese, Tomatoes, Garlic, Beef Chuck Roast, Red Onions"/>
    <x v="2"/>
  </r>
  <r>
    <n v="26175"/>
    <n v="11523"/>
    <n v="1"/>
    <s v="pepperoni_m"/>
    <n v="1"/>
    <x v="83"/>
    <x v="4"/>
    <x v="2375"/>
    <n v="12.5"/>
    <n v="12.5"/>
    <x v="0"/>
    <x v="0"/>
    <s v="Mozzarella Cheese, Pepperoni"/>
    <x v="3"/>
  </r>
  <r>
    <n v="26176"/>
    <n v="11524"/>
    <n v="1"/>
    <s v="the_greek_xl"/>
    <n v="1"/>
    <x v="83"/>
    <x v="4"/>
    <x v="2376"/>
    <n v="25.5"/>
    <n v="25.5"/>
    <x v="3"/>
    <x v="0"/>
    <s v="Kalamata Olives, Feta Cheese, Tomatoes, Garlic, Beef Chuck Roast, Red Onions"/>
    <x v="2"/>
  </r>
  <r>
    <n v="26179"/>
    <n v="11526"/>
    <n v="0.5"/>
    <s v="mexicana_m"/>
    <n v="1"/>
    <x v="83"/>
    <x v="4"/>
    <x v="1448"/>
    <n v="16"/>
    <n v="16"/>
    <x v="0"/>
    <x v="1"/>
    <s v="Tomatoes, Red Peppers, Jalapeno Peppers, Red Onions, Cilantro, Corn, Chipotle Sauce, Garlic"/>
    <x v="1"/>
  </r>
  <r>
    <n v="26180"/>
    <n v="11526"/>
    <n v="0.5"/>
    <s v="the_greek_s"/>
    <n v="1"/>
    <x v="83"/>
    <x v="4"/>
    <x v="1448"/>
    <n v="12"/>
    <n v="12"/>
    <x v="1"/>
    <x v="0"/>
    <s v="Kalamata Olives, Feta Cheese, Tomatoes, Garlic, Beef Chuck Roast, Red Onions"/>
    <x v="2"/>
  </r>
  <r>
    <n v="26183"/>
    <n v="11527"/>
    <n v="1"/>
    <s v="pepperoni_m"/>
    <n v="1"/>
    <x v="83"/>
    <x v="4"/>
    <x v="987"/>
    <n v="12.5"/>
    <n v="12.5"/>
    <x v="0"/>
    <x v="0"/>
    <s v="Mozzarella Cheese, Pepperoni"/>
    <x v="3"/>
  </r>
  <r>
    <n v="26187"/>
    <n v="11531"/>
    <n v="1"/>
    <s v="brie_carre_s"/>
    <n v="1"/>
    <x v="83"/>
    <x v="4"/>
    <x v="2377"/>
    <n v="23.65"/>
    <n v="23.65"/>
    <x v="1"/>
    <x v="2"/>
    <s v="Brie Carre Cheese, Prosciutto, Caramelized Onions, Pears, Thyme, Garlic"/>
    <x v="8"/>
  </r>
  <r>
    <n v="26191"/>
    <n v="11532"/>
    <n v="0.5"/>
    <s v="pepperoni_m"/>
    <n v="1"/>
    <x v="83"/>
    <x v="4"/>
    <x v="2378"/>
    <n v="12.5"/>
    <n v="12.5"/>
    <x v="0"/>
    <x v="0"/>
    <s v="Mozzarella Cheese, Pepperoni"/>
    <x v="3"/>
  </r>
  <r>
    <n v="26192"/>
    <n v="11532"/>
    <n v="0.5"/>
    <s v="pepperoni_s"/>
    <n v="1"/>
    <x v="83"/>
    <x v="4"/>
    <x v="2378"/>
    <n v="9.75"/>
    <n v="9.75"/>
    <x v="1"/>
    <x v="0"/>
    <s v="Mozzarella Cheese, Pepperoni"/>
    <x v="3"/>
  </r>
  <r>
    <n v="26203"/>
    <n v="11536"/>
    <n v="1"/>
    <s v="sicilian_l"/>
    <n v="1"/>
    <x v="83"/>
    <x v="4"/>
    <x v="2379"/>
    <n v="20.25"/>
    <n v="20.25"/>
    <x v="2"/>
    <x v="2"/>
    <s v="Coarse Sicilian Salami, Tomatoes, Green Olives, Luganega Sausage, Onions, Garlic"/>
    <x v="7"/>
  </r>
  <r>
    <n v="26205"/>
    <n v="11538"/>
    <n v="0.5"/>
    <s v="hawaiian_s"/>
    <n v="1"/>
    <x v="83"/>
    <x v="4"/>
    <x v="2380"/>
    <n v="10.5"/>
    <n v="10.5"/>
    <x v="1"/>
    <x v="0"/>
    <s v="Sliced Ham, Pineapple, Mozzarella Cheese"/>
    <x v="0"/>
  </r>
  <r>
    <n v="26207"/>
    <n v="11538"/>
    <n v="0.5"/>
    <s v="pepperoni_m"/>
    <n v="1"/>
    <x v="83"/>
    <x v="4"/>
    <x v="2380"/>
    <n v="12.5"/>
    <n v="12.5"/>
    <x v="0"/>
    <x v="0"/>
    <s v="Mozzarella Cheese, Pepperoni"/>
    <x v="3"/>
  </r>
  <r>
    <n v="26228"/>
    <n v="11548"/>
    <n v="1"/>
    <s v="big_meat_s"/>
    <n v="1"/>
    <x v="83"/>
    <x v="4"/>
    <x v="2381"/>
    <n v="12"/>
    <n v="12"/>
    <x v="1"/>
    <x v="0"/>
    <s v="Bacon, Pepperoni, Italian Sausage, Chorizo Sausage"/>
    <x v="4"/>
  </r>
  <r>
    <n v="26229"/>
    <n v="11549"/>
    <n v="1"/>
    <s v="hawaiian_l"/>
    <n v="1"/>
    <x v="83"/>
    <x v="4"/>
    <x v="2382"/>
    <n v="16.5"/>
    <n v="16.5"/>
    <x v="2"/>
    <x v="0"/>
    <s v="Sliced Ham, Pineapple, Mozzarella Cheese"/>
    <x v="0"/>
  </r>
  <r>
    <n v="26239"/>
    <n v="11553"/>
    <n v="1"/>
    <s v="napolitana_l"/>
    <n v="1"/>
    <x v="83"/>
    <x v="4"/>
    <x v="2383"/>
    <n v="20.5"/>
    <n v="20.5"/>
    <x v="2"/>
    <x v="0"/>
    <s v="Tomatoes, Anchovies, Green Olives, Red Onions, Garlic"/>
    <x v="5"/>
  </r>
  <r>
    <n v="26243"/>
    <n v="11554"/>
    <n v="1"/>
    <s v="the_greek_m"/>
    <n v="1"/>
    <x v="83"/>
    <x v="4"/>
    <x v="2384"/>
    <n v="16"/>
    <n v="16"/>
    <x v="0"/>
    <x v="0"/>
    <s v="Kalamata Olives, Feta Cheese, Tomatoes, Garlic, Beef Chuck Roast, Red Onions"/>
    <x v="2"/>
  </r>
  <r>
    <n v="26249"/>
    <n v="11558"/>
    <n v="0.5"/>
    <s v="hawaiian_m"/>
    <n v="1"/>
    <x v="83"/>
    <x v="4"/>
    <x v="2385"/>
    <n v="13.25"/>
    <n v="13.25"/>
    <x v="0"/>
    <x v="0"/>
    <s v="Sliced Ham, Pineapple, Mozzarella Cheese"/>
    <x v="0"/>
  </r>
  <r>
    <n v="26250"/>
    <n v="11558"/>
    <n v="0.5"/>
    <s v="sicilian_m"/>
    <n v="1"/>
    <x v="83"/>
    <x v="4"/>
    <x v="2385"/>
    <n v="16.25"/>
    <n v="16.25"/>
    <x v="0"/>
    <x v="2"/>
    <s v="Coarse Sicilian Salami, Tomatoes, Green Olives, Luganega Sausage, Onions, Garlic"/>
    <x v="7"/>
  </r>
  <r>
    <n v="26251"/>
    <n v="11559"/>
    <n v="0.5"/>
    <s v="big_meat_s"/>
    <n v="1"/>
    <x v="83"/>
    <x v="4"/>
    <x v="2386"/>
    <n v="12"/>
    <n v="12"/>
    <x v="1"/>
    <x v="0"/>
    <s v="Bacon, Pepperoni, Italian Sausage, Chorizo Sausage"/>
    <x v="4"/>
  </r>
  <r>
    <n v="26252"/>
    <n v="11559"/>
    <n v="0.5"/>
    <s v="napolitana_m"/>
    <n v="1"/>
    <x v="83"/>
    <x v="4"/>
    <x v="2386"/>
    <n v="16"/>
    <n v="16"/>
    <x v="0"/>
    <x v="0"/>
    <s v="Tomatoes, Anchovies, Green Olives, Red Onions, Garlic"/>
    <x v="5"/>
  </r>
  <r>
    <n v="26258"/>
    <n v="11561"/>
    <n v="1"/>
    <s v="pepperoni_m"/>
    <n v="1"/>
    <x v="83"/>
    <x v="4"/>
    <x v="2387"/>
    <n v="12.5"/>
    <n v="12.5"/>
    <x v="0"/>
    <x v="0"/>
    <s v="Mozzarella Cheese, Pepperoni"/>
    <x v="3"/>
  </r>
  <r>
    <n v="26260"/>
    <n v="11562"/>
    <n v="0.5"/>
    <s v="mexicana_l"/>
    <n v="1"/>
    <x v="83"/>
    <x v="4"/>
    <x v="2388"/>
    <n v="20.25"/>
    <n v="20.25"/>
    <x v="2"/>
    <x v="1"/>
    <s v="Tomatoes, Red Peppers, Jalapeno Peppers, Red Onions, Cilantro, Corn, Chipotle Sauce, Garlic"/>
    <x v="1"/>
  </r>
  <r>
    <n v="26263"/>
    <n v="11562"/>
    <n v="0.5"/>
    <s v="the_greek_xl"/>
    <n v="1"/>
    <x v="83"/>
    <x v="4"/>
    <x v="2388"/>
    <n v="25.5"/>
    <n v="25.5"/>
    <x v="3"/>
    <x v="0"/>
    <s v="Kalamata Olives, Feta Cheese, Tomatoes, Garlic, Beef Chuck Roast, Red Onions"/>
    <x v="2"/>
  </r>
  <r>
    <n v="26266"/>
    <n v="11563"/>
    <n v="1"/>
    <s v="the_greek_xl"/>
    <n v="1"/>
    <x v="83"/>
    <x v="4"/>
    <x v="2389"/>
    <n v="25.5"/>
    <n v="25.5"/>
    <x v="3"/>
    <x v="0"/>
    <s v="Kalamata Olives, Feta Cheese, Tomatoes, Garlic, Beef Chuck Roast, Red Onions"/>
    <x v="2"/>
  </r>
  <r>
    <n v="26268"/>
    <n v="11564"/>
    <n v="1"/>
    <s v="pepperoni_s"/>
    <n v="1"/>
    <x v="83"/>
    <x v="4"/>
    <x v="2390"/>
    <n v="9.75"/>
    <n v="9.75"/>
    <x v="1"/>
    <x v="0"/>
    <s v="Mozzarella Cheese, Pepperoni"/>
    <x v="3"/>
  </r>
  <r>
    <n v="26270"/>
    <n v="11566"/>
    <n v="1"/>
    <s v="mexicana_m"/>
    <n v="1"/>
    <x v="83"/>
    <x v="4"/>
    <x v="2391"/>
    <n v="16"/>
    <n v="16"/>
    <x v="0"/>
    <x v="1"/>
    <s v="Tomatoes, Red Peppers, Jalapeno Peppers, Red Onions, Cilantro, Corn, Chipotle Sauce, Garlic"/>
    <x v="1"/>
  </r>
  <r>
    <n v="26274"/>
    <n v="11568"/>
    <n v="0.5"/>
    <s v="pepperoni_s"/>
    <n v="1"/>
    <x v="83"/>
    <x v="4"/>
    <x v="2392"/>
    <n v="9.75"/>
    <n v="9.75"/>
    <x v="1"/>
    <x v="0"/>
    <s v="Mozzarella Cheese, Pepperoni"/>
    <x v="3"/>
  </r>
  <r>
    <n v="26275"/>
    <n v="11568"/>
    <n v="0.5"/>
    <s v="sicilian_m"/>
    <n v="1"/>
    <x v="83"/>
    <x v="4"/>
    <x v="2392"/>
    <n v="16.25"/>
    <n v="16.25"/>
    <x v="0"/>
    <x v="2"/>
    <s v="Coarse Sicilian Salami, Tomatoes, Green Olives, Luganega Sausage, Onions, Garlic"/>
    <x v="7"/>
  </r>
  <r>
    <n v="26278"/>
    <n v="11570"/>
    <n v="1"/>
    <s v="pepperoni_l"/>
    <n v="1"/>
    <x v="83"/>
    <x v="4"/>
    <x v="2393"/>
    <n v="15.25"/>
    <n v="15.25"/>
    <x v="2"/>
    <x v="0"/>
    <s v="Mozzarella Cheese, Pepperoni"/>
    <x v="3"/>
  </r>
  <r>
    <n v="26280"/>
    <n v="11572"/>
    <n v="1"/>
    <s v="calabrese_m"/>
    <n v="1"/>
    <x v="83"/>
    <x v="4"/>
    <x v="2394"/>
    <n v="16.25"/>
    <n v="16.25"/>
    <x v="0"/>
    <x v="2"/>
    <s v="?duja Salami, Pancetta, Tomatoes, Red Onions, Friggitello Peppers, Garlic"/>
    <x v="6"/>
  </r>
  <r>
    <n v="26283"/>
    <n v="11573"/>
    <n v="0.5"/>
    <s v="sicilian_l"/>
    <n v="1"/>
    <x v="83"/>
    <x v="4"/>
    <x v="2395"/>
    <n v="20.25"/>
    <n v="20.25"/>
    <x v="2"/>
    <x v="2"/>
    <s v="Coarse Sicilian Salami, Tomatoes, Green Olives, Luganega Sausage, Onions, Garlic"/>
    <x v="7"/>
  </r>
  <r>
    <n v="26284"/>
    <n v="11573"/>
    <n v="0.5"/>
    <s v="sicilian_s"/>
    <n v="1"/>
    <x v="83"/>
    <x v="4"/>
    <x v="2395"/>
    <n v="12.25"/>
    <n v="12.25"/>
    <x v="1"/>
    <x v="2"/>
    <s v="Coarse Sicilian Salami, Tomatoes, Green Olives, Luganega Sausage, Onions, Garlic"/>
    <x v="7"/>
  </r>
  <r>
    <n v="26285"/>
    <n v="11574"/>
    <n v="1"/>
    <s v="pepperoni_l"/>
    <n v="1"/>
    <x v="83"/>
    <x v="4"/>
    <x v="2396"/>
    <n v="15.25"/>
    <n v="15.25"/>
    <x v="2"/>
    <x v="0"/>
    <s v="Mozzarella Cheese, Pepperoni"/>
    <x v="3"/>
  </r>
  <r>
    <n v="26289"/>
    <n v="11577"/>
    <n v="1"/>
    <s v="big_meat_s"/>
    <n v="1"/>
    <x v="83"/>
    <x v="4"/>
    <x v="2397"/>
    <n v="12"/>
    <n v="12"/>
    <x v="1"/>
    <x v="0"/>
    <s v="Bacon, Pepperoni, Italian Sausage, Chorizo Sausage"/>
    <x v="4"/>
  </r>
  <r>
    <n v="26296"/>
    <n v="11579"/>
    <n v="1"/>
    <s v="calabrese_m"/>
    <n v="1"/>
    <x v="83"/>
    <x v="4"/>
    <x v="2398"/>
    <n v="16.25"/>
    <n v="16.25"/>
    <x v="0"/>
    <x v="2"/>
    <s v="?duja Salami, Pancetta, Tomatoes, Red Onions, Friggitello Peppers, Garlic"/>
    <x v="6"/>
  </r>
  <r>
    <n v="28869"/>
    <n v="12731"/>
    <n v="1"/>
    <s v="sicilian_s"/>
    <n v="1"/>
    <x v="84"/>
    <x v="0"/>
    <x v="2399"/>
    <n v="12.25"/>
    <n v="12.25"/>
    <x v="1"/>
    <x v="2"/>
    <s v="Coarse Sicilian Salami, Tomatoes, Green Olives, Luganega Sausage, Onions, Garlic"/>
    <x v="7"/>
  </r>
  <r>
    <n v="28873"/>
    <n v="12734"/>
    <n v="1"/>
    <s v="big_meat_s"/>
    <n v="1"/>
    <x v="84"/>
    <x v="0"/>
    <x v="2400"/>
    <n v="12"/>
    <n v="12"/>
    <x v="1"/>
    <x v="0"/>
    <s v="Bacon, Pepperoni, Italian Sausage, Chorizo Sausage"/>
    <x v="4"/>
  </r>
  <r>
    <n v="28880"/>
    <n v="12737"/>
    <n v="1"/>
    <s v="pepperoni_m"/>
    <n v="1"/>
    <x v="84"/>
    <x v="0"/>
    <x v="2401"/>
    <n v="12.5"/>
    <n v="12.5"/>
    <x v="0"/>
    <x v="0"/>
    <s v="Mozzarella Cheese, Pepperoni"/>
    <x v="3"/>
  </r>
  <r>
    <n v="28883"/>
    <n v="12740"/>
    <n v="1"/>
    <s v="hawaiian_l"/>
    <n v="1"/>
    <x v="84"/>
    <x v="0"/>
    <x v="2402"/>
    <n v="16.5"/>
    <n v="16.5"/>
    <x v="2"/>
    <x v="0"/>
    <s v="Sliced Ham, Pineapple, Mozzarella Cheese"/>
    <x v="0"/>
  </r>
  <r>
    <n v="28885"/>
    <n v="12742"/>
    <n v="1"/>
    <s v="big_meat_s"/>
    <n v="1"/>
    <x v="84"/>
    <x v="0"/>
    <x v="2403"/>
    <n v="12"/>
    <n v="12"/>
    <x v="1"/>
    <x v="0"/>
    <s v="Bacon, Pepperoni, Italian Sausage, Chorizo Sausage"/>
    <x v="4"/>
  </r>
  <r>
    <n v="28888"/>
    <n v="12743"/>
    <n v="1"/>
    <s v="mexicana_m"/>
    <n v="1"/>
    <x v="84"/>
    <x v="0"/>
    <x v="2404"/>
    <n v="16"/>
    <n v="16"/>
    <x v="0"/>
    <x v="1"/>
    <s v="Tomatoes, Red Peppers, Jalapeno Peppers, Red Onions, Cilantro, Corn, Chipotle Sauce, Garlic"/>
    <x v="1"/>
  </r>
  <r>
    <n v="28890"/>
    <n v="12745"/>
    <n v="1"/>
    <s v="napolitana_m"/>
    <n v="1"/>
    <x v="84"/>
    <x v="0"/>
    <x v="2405"/>
    <n v="16"/>
    <n v="16"/>
    <x v="0"/>
    <x v="0"/>
    <s v="Tomatoes, Anchovies, Green Olives, Red Onions, Garlic"/>
    <x v="5"/>
  </r>
  <r>
    <n v="28892"/>
    <n v="12746"/>
    <n v="0.2"/>
    <s v="big_meat_s"/>
    <n v="2"/>
    <x v="84"/>
    <x v="0"/>
    <x v="2406"/>
    <n v="12"/>
    <n v="24"/>
    <x v="1"/>
    <x v="0"/>
    <s v="Bacon, Pepperoni, Italian Sausage, Chorizo Sausage"/>
    <x v="4"/>
  </r>
  <r>
    <n v="28895"/>
    <n v="12746"/>
    <n v="0.2"/>
    <s v="hawaiian_l"/>
    <n v="1"/>
    <x v="84"/>
    <x v="0"/>
    <x v="2406"/>
    <n v="16.5"/>
    <n v="16.5"/>
    <x v="2"/>
    <x v="0"/>
    <s v="Sliced Ham, Pineapple, Mozzarella Cheese"/>
    <x v="0"/>
  </r>
  <r>
    <n v="28896"/>
    <n v="12746"/>
    <n v="0.2"/>
    <s v="mexicana_l"/>
    <n v="1"/>
    <x v="84"/>
    <x v="0"/>
    <x v="2406"/>
    <n v="20.25"/>
    <n v="20.25"/>
    <x v="2"/>
    <x v="1"/>
    <s v="Tomatoes, Red Peppers, Jalapeno Peppers, Red Onions, Cilantro, Corn, Chipotle Sauce, Garlic"/>
    <x v="1"/>
  </r>
  <r>
    <n v="28897"/>
    <n v="12746"/>
    <n v="0.2"/>
    <s v="napolitana_l"/>
    <n v="1"/>
    <x v="84"/>
    <x v="0"/>
    <x v="2406"/>
    <n v="20.5"/>
    <n v="20.5"/>
    <x v="2"/>
    <x v="0"/>
    <s v="Tomatoes, Anchovies, Green Olives, Red Onions, Garlic"/>
    <x v="5"/>
  </r>
  <r>
    <n v="28899"/>
    <n v="12746"/>
    <n v="0.2"/>
    <s v="sicilian_s"/>
    <n v="2"/>
    <x v="84"/>
    <x v="0"/>
    <x v="2406"/>
    <n v="12.25"/>
    <n v="24.5"/>
    <x v="1"/>
    <x v="2"/>
    <s v="Coarse Sicilian Salami, Tomatoes, Green Olives, Luganega Sausage, Onions, Garlic"/>
    <x v="7"/>
  </r>
  <r>
    <n v="28902"/>
    <n v="12747"/>
    <n v="1"/>
    <s v="sicilian_s"/>
    <n v="1"/>
    <x v="84"/>
    <x v="0"/>
    <x v="2407"/>
    <n v="12.25"/>
    <n v="12.25"/>
    <x v="1"/>
    <x v="2"/>
    <s v="Coarse Sicilian Salami, Tomatoes, Green Olives, Luganega Sausage, Onions, Garlic"/>
    <x v="7"/>
  </r>
  <r>
    <n v="28904"/>
    <n v="12748"/>
    <n v="1"/>
    <s v="brie_carre_s"/>
    <n v="1"/>
    <x v="84"/>
    <x v="0"/>
    <x v="2408"/>
    <n v="23.65"/>
    <n v="23.65"/>
    <x v="1"/>
    <x v="2"/>
    <s v="Brie Carre Cheese, Prosciutto, Caramelized Onions, Pears, Thyme, Garlic"/>
    <x v="8"/>
  </r>
  <r>
    <n v="28905"/>
    <n v="12749"/>
    <n v="1"/>
    <s v="big_meat_s"/>
    <n v="1"/>
    <x v="84"/>
    <x v="0"/>
    <x v="2409"/>
    <n v="12"/>
    <n v="12"/>
    <x v="1"/>
    <x v="0"/>
    <s v="Bacon, Pepperoni, Italian Sausage, Chorizo Sausage"/>
    <x v="4"/>
  </r>
  <r>
    <n v="28912"/>
    <n v="12753"/>
    <n v="1"/>
    <s v="calabrese_l"/>
    <n v="1"/>
    <x v="84"/>
    <x v="0"/>
    <x v="2410"/>
    <n v="20.25"/>
    <n v="20.25"/>
    <x v="2"/>
    <x v="2"/>
    <s v="?duja Salami, Pancetta, Tomatoes, Red Onions, Friggitello Peppers, Garlic"/>
    <x v="6"/>
  </r>
  <r>
    <n v="28918"/>
    <n v="12755"/>
    <n v="0.5"/>
    <s v="hawaiian_s"/>
    <n v="1"/>
    <x v="84"/>
    <x v="0"/>
    <x v="2411"/>
    <n v="10.5"/>
    <n v="10.5"/>
    <x v="1"/>
    <x v="0"/>
    <s v="Sliced Ham, Pineapple, Mozzarella Cheese"/>
    <x v="0"/>
  </r>
  <r>
    <n v="28919"/>
    <n v="12755"/>
    <n v="0.5"/>
    <s v="pepperoni_s"/>
    <n v="1"/>
    <x v="84"/>
    <x v="0"/>
    <x v="2411"/>
    <n v="9.75"/>
    <n v="9.75"/>
    <x v="1"/>
    <x v="0"/>
    <s v="Mozzarella Cheese, Pepperoni"/>
    <x v="3"/>
  </r>
  <r>
    <n v="28927"/>
    <n v="12757"/>
    <n v="1"/>
    <s v="hawaiian_s"/>
    <n v="1"/>
    <x v="84"/>
    <x v="0"/>
    <x v="2412"/>
    <n v="10.5"/>
    <n v="10.5"/>
    <x v="1"/>
    <x v="0"/>
    <s v="Sliced Ham, Pineapple, Mozzarella Cheese"/>
    <x v="0"/>
  </r>
  <r>
    <n v="28931"/>
    <n v="12759"/>
    <n v="1"/>
    <s v="napolitana_s"/>
    <n v="1"/>
    <x v="84"/>
    <x v="0"/>
    <x v="2413"/>
    <n v="12"/>
    <n v="12"/>
    <x v="1"/>
    <x v="0"/>
    <s v="Tomatoes, Anchovies, Green Olives, Red Onions, Garlic"/>
    <x v="5"/>
  </r>
  <r>
    <n v="28933"/>
    <n v="12761"/>
    <n v="1"/>
    <s v="mexicana_s"/>
    <n v="1"/>
    <x v="84"/>
    <x v="0"/>
    <x v="2414"/>
    <n v="12"/>
    <n v="12"/>
    <x v="1"/>
    <x v="1"/>
    <s v="Tomatoes, Red Peppers, Jalapeno Peppers, Red Onions, Cilantro, Corn, Chipotle Sauce, Garlic"/>
    <x v="1"/>
  </r>
  <r>
    <n v="28937"/>
    <n v="12763"/>
    <n v="1"/>
    <s v="hawaiian_s"/>
    <n v="1"/>
    <x v="84"/>
    <x v="0"/>
    <x v="2415"/>
    <n v="10.5"/>
    <n v="10.5"/>
    <x v="1"/>
    <x v="0"/>
    <s v="Sliced Ham, Pineapple, Mozzarella Cheese"/>
    <x v="0"/>
  </r>
  <r>
    <n v="28939"/>
    <n v="12764"/>
    <n v="1"/>
    <s v="napolitana_l"/>
    <n v="1"/>
    <x v="84"/>
    <x v="0"/>
    <x v="2416"/>
    <n v="20.5"/>
    <n v="20.5"/>
    <x v="2"/>
    <x v="0"/>
    <s v="Tomatoes, Anchovies, Green Olives, Red Onions, Garlic"/>
    <x v="5"/>
  </r>
  <r>
    <n v="28946"/>
    <n v="12767"/>
    <n v="1"/>
    <s v="sicilian_m"/>
    <n v="1"/>
    <x v="84"/>
    <x v="0"/>
    <x v="2417"/>
    <n v="16.25"/>
    <n v="16.25"/>
    <x v="0"/>
    <x v="2"/>
    <s v="Coarse Sicilian Salami, Tomatoes, Green Olives, Luganega Sausage, Onions, Garlic"/>
    <x v="7"/>
  </r>
  <r>
    <n v="28952"/>
    <n v="12772"/>
    <n v="1"/>
    <s v="big_meat_s"/>
    <n v="1"/>
    <x v="84"/>
    <x v="0"/>
    <x v="2418"/>
    <n v="12"/>
    <n v="12"/>
    <x v="1"/>
    <x v="0"/>
    <s v="Bacon, Pepperoni, Italian Sausage, Chorizo Sausage"/>
    <x v="4"/>
  </r>
  <r>
    <n v="28955"/>
    <n v="12773"/>
    <n v="1"/>
    <s v="the_greek_l"/>
    <n v="1"/>
    <x v="84"/>
    <x v="0"/>
    <x v="2419"/>
    <n v="20.5"/>
    <n v="20.5"/>
    <x v="2"/>
    <x v="0"/>
    <s v="Kalamata Olives, Feta Cheese, Tomatoes, Garlic, Beef Chuck Roast, Red Onions"/>
    <x v="2"/>
  </r>
  <r>
    <n v="28958"/>
    <n v="12774"/>
    <n v="0.5"/>
    <s v="napolitana_s"/>
    <n v="1"/>
    <x v="84"/>
    <x v="0"/>
    <x v="2004"/>
    <n v="12"/>
    <n v="12"/>
    <x v="1"/>
    <x v="0"/>
    <s v="Tomatoes, Anchovies, Green Olives, Red Onions, Garlic"/>
    <x v="5"/>
  </r>
  <r>
    <n v="28959"/>
    <n v="12774"/>
    <n v="0.5"/>
    <s v="pepperoni_s"/>
    <n v="1"/>
    <x v="84"/>
    <x v="0"/>
    <x v="2004"/>
    <n v="9.75"/>
    <n v="9.75"/>
    <x v="1"/>
    <x v="0"/>
    <s v="Mozzarella Cheese, Pepperoni"/>
    <x v="3"/>
  </r>
  <r>
    <n v="28963"/>
    <n v="12777"/>
    <n v="0.33333333333333331"/>
    <s v="big_meat_s"/>
    <n v="1"/>
    <x v="84"/>
    <x v="0"/>
    <x v="2420"/>
    <n v="12"/>
    <n v="12"/>
    <x v="1"/>
    <x v="0"/>
    <s v="Bacon, Pepperoni, Italian Sausage, Chorizo Sausage"/>
    <x v="4"/>
  </r>
  <r>
    <n v="28964"/>
    <n v="12777"/>
    <n v="0.33333333333333331"/>
    <s v="calabrese_m"/>
    <n v="1"/>
    <x v="84"/>
    <x v="0"/>
    <x v="2420"/>
    <n v="16.25"/>
    <n v="16.25"/>
    <x v="0"/>
    <x v="2"/>
    <s v="?duja Salami, Pancetta, Tomatoes, Red Onions, Friggitello Peppers, Garlic"/>
    <x v="6"/>
  </r>
  <r>
    <n v="28965"/>
    <n v="12777"/>
    <n v="0.33333333333333331"/>
    <s v="hawaiian_s"/>
    <n v="1"/>
    <x v="84"/>
    <x v="0"/>
    <x v="2420"/>
    <n v="10.5"/>
    <n v="10.5"/>
    <x v="1"/>
    <x v="0"/>
    <s v="Sliced Ham, Pineapple, Mozzarella Cheese"/>
    <x v="0"/>
  </r>
  <r>
    <n v="28981"/>
    <n v="12787"/>
    <n v="0.5"/>
    <s v="calabrese_m"/>
    <n v="1"/>
    <x v="84"/>
    <x v="0"/>
    <x v="2421"/>
    <n v="16.25"/>
    <n v="16.25"/>
    <x v="0"/>
    <x v="2"/>
    <s v="?duja Salami, Pancetta, Tomatoes, Red Onions, Friggitello Peppers, Garlic"/>
    <x v="6"/>
  </r>
  <r>
    <n v="28982"/>
    <n v="12787"/>
    <n v="0.5"/>
    <s v="sicilian_s"/>
    <n v="1"/>
    <x v="84"/>
    <x v="0"/>
    <x v="2421"/>
    <n v="12.25"/>
    <n v="12.25"/>
    <x v="1"/>
    <x v="2"/>
    <s v="Coarse Sicilian Salami, Tomatoes, Green Olives, Luganega Sausage, Onions, Garlic"/>
    <x v="7"/>
  </r>
  <r>
    <n v="28983"/>
    <n v="12788"/>
    <n v="1"/>
    <s v="calabrese_l"/>
    <n v="1"/>
    <x v="84"/>
    <x v="0"/>
    <x v="2422"/>
    <n v="20.25"/>
    <n v="20.25"/>
    <x v="2"/>
    <x v="2"/>
    <s v="?duja Salami, Pancetta, Tomatoes, Red Onions, Friggitello Peppers, Garlic"/>
    <x v="6"/>
  </r>
  <r>
    <n v="28987"/>
    <n v="12789"/>
    <n v="1"/>
    <s v="hawaiian_s"/>
    <n v="1"/>
    <x v="84"/>
    <x v="0"/>
    <x v="2423"/>
    <n v="10.5"/>
    <n v="10.5"/>
    <x v="1"/>
    <x v="0"/>
    <s v="Sliced Ham, Pineapple, Mozzarella Cheese"/>
    <x v="0"/>
  </r>
  <r>
    <n v="28990"/>
    <n v="12790"/>
    <n v="1"/>
    <s v="pepperoni_m"/>
    <n v="1"/>
    <x v="84"/>
    <x v="0"/>
    <x v="2424"/>
    <n v="12.5"/>
    <n v="12.5"/>
    <x v="0"/>
    <x v="0"/>
    <s v="Mozzarella Cheese, Pepperoni"/>
    <x v="3"/>
  </r>
  <r>
    <n v="28991"/>
    <n v="12791"/>
    <n v="1"/>
    <s v="hawaiian_s"/>
    <n v="1"/>
    <x v="84"/>
    <x v="0"/>
    <x v="2425"/>
    <n v="10.5"/>
    <n v="10.5"/>
    <x v="1"/>
    <x v="0"/>
    <s v="Sliced Ham, Pineapple, Mozzarella Cheese"/>
    <x v="0"/>
  </r>
  <r>
    <n v="29002"/>
    <n v="12797"/>
    <n v="1"/>
    <s v="sicilian_m"/>
    <n v="1"/>
    <x v="84"/>
    <x v="0"/>
    <x v="2426"/>
    <n v="16.25"/>
    <n v="16.25"/>
    <x v="0"/>
    <x v="2"/>
    <s v="Coarse Sicilian Salami, Tomatoes, Green Olives, Luganega Sausage, Onions, Garlic"/>
    <x v="7"/>
  </r>
  <r>
    <n v="29003"/>
    <n v="12798"/>
    <n v="1"/>
    <s v="pepperoni_s"/>
    <n v="1"/>
    <x v="84"/>
    <x v="0"/>
    <x v="2427"/>
    <n v="9.75"/>
    <n v="9.75"/>
    <x v="1"/>
    <x v="0"/>
    <s v="Mozzarella Cheese, Pepperoni"/>
    <x v="3"/>
  </r>
  <r>
    <n v="29006"/>
    <n v="12799"/>
    <n v="1"/>
    <s v="mexicana_l"/>
    <n v="1"/>
    <x v="84"/>
    <x v="0"/>
    <x v="2428"/>
    <n v="20.25"/>
    <n v="20.25"/>
    <x v="2"/>
    <x v="1"/>
    <s v="Tomatoes, Red Peppers, Jalapeno Peppers, Red Onions, Cilantro, Corn, Chipotle Sauce, Garlic"/>
    <x v="1"/>
  </r>
  <r>
    <n v="29015"/>
    <n v="12804"/>
    <n v="1"/>
    <s v="napolitana_l"/>
    <n v="1"/>
    <x v="84"/>
    <x v="0"/>
    <x v="2429"/>
    <n v="20.5"/>
    <n v="20.5"/>
    <x v="2"/>
    <x v="0"/>
    <s v="Tomatoes, Anchovies, Green Olives, Red Onions, Garlic"/>
    <x v="5"/>
  </r>
  <r>
    <n v="29017"/>
    <n v="12805"/>
    <n v="1"/>
    <s v="hawaiian_s"/>
    <n v="1"/>
    <x v="85"/>
    <x v="1"/>
    <x v="2430"/>
    <n v="10.5"/>
    <n v="10.5"/>
    <x v="1"/>
    <x v="0"/>
    <s v="Sliced Ham, Pineapple, Mozzarella Cheese"/>
    <x v="0"/>
  </r>
  <r>
    <n v="29020"/>
    <n v="12807"/>
    <n v="1"/>
    <s v="mexicana_l"/>
    <n v="1"/>
    <x v="85"/>
    <x v="1"/>
    <x v="962"/>
    <n v="20.25"/>
    <n v="20.25"/>
    <x v="2"/>
    <x v="1"/>
    <s v="Tomatoes, Red Peppers, Jalapeno Peppers, Red Onions, Cilantro, Corn, Chipotle Sauce, Garlic"/>
    <x v="1"/>
  </r>
  <r>
    <n v="29023"/>
    <n v="12808"/>
    <n v="0.2"/>
    <s v="big_meat_s"/>
    <n v="1"/>
    <x v="85"/>
    <x v="1"/>
    <x v="2431"/>
    <n v="12"/>
    <n v="12"/>
    <x v="1"/>
    <x v="0"/>
    <s v="Bacon, Pepperoni, Italian Sausage, Chorizo Sausage"/>
    <x v="4"/>
  </r>
  <r>
    <n v="29024"/>
    <n v="12808"/>
    <n v="0.2"/>
    <s v="brie_carre_s"/>
    <n v="1"/>
    <x v="85"/>
    <x v="1"/>
    <x v="2431"/>
    <n v="23.65"/>
    <n v="23.65"/>
    <x v="1"/>
    <x v="2"/>
    <s v="Brie Carre Cheese, Prosciutto, Caramelized Onions, Pears, Thyme, Garlic"/>
    <x v="8"/>
  </r>
  <r>
    <n v="29028"/>
    <n v="12808"/>
    <n v="0.2"/>
    <s v="mexicana_l"/>
    <n v="2"/>
    <x v="85"/>
    <x v="1"/>
    <x v="2431"/>
    <n v="20.25"/>
    <n v="40.5"/>
    <x v="2"/>
    <x v="1"/>
    <s v="Tomatoes, Red Peppers, Jalapeno Peppers, Red Onions, Cilantro, Corn, Chipotle Sauce, Garlic"/>
    <x v="1"/>
  </r>
  <r>
    <n v="29029"/>
    <n v="12808"/>
    <n v="0.2"/>
    <s v="sicilian_l"/>
    <n v="1"/>
    <x v="85"/>
    <x v="1"/>
    <x v="2431"/>
    <n v="20.25"/>
    <n v="20.25"/>
    <x v="2"/>
    <x v="2"/>
    <s v="Coarse Sicilian Salami, Tomatoes, Green Olives, Luganega Sausage, Onions, Garlic"/>
    <x v="7"/>
  </r>
  <r>
    <n v="29030"/>
    <n v="12808"/>
    <n v="0.2"/>
    <s v="sicilian_s"/>
    <n v="1"/>
    <x v="85"/>
    <x v="1"/>
    <x v="2431"/>
    <n v="12.25"/>
    <n v="12.25"/>
    <x v="1"/>
    <x v="2"/>
    <s v="Coarse Sicilian Salami, Tomatoes, Green Olives, Luganega Sausage, Onions, Garlic"/>
    <x v="7"/>
  </r>
  <r>
    <n v="29035"/>
    <n v="12810"/>
    <n v="1"/>
    <s v="brie_carre_s"/>
    <n v="1"/>
    <x v="85"/>
    <x v="1"/>
    <x v="2432"/>
    <n v="23.65"/>
    <n v="23.65"/>
    <x v="1"/>
    <x v="2"/>
    <s v="Brie Carre Cheese, Prosciutto, Caramelized Onions, Pears, Thyme, Garlic"/>
    <x v="8"/>
  </r>
  <r>
    <n v="29039"/>
    <n v="12811"/>
    <n v="1"/>
    <s v="napolitana_m"/>
    <n v="1"/>
    <x v="85"/>
    <x v="1"/>
    <x v="2433"/>
    <n v="16"/>
    <n v="16"/>
    <x v="0"/>
    <x v="0"/>
    <s v="Tomatoes, Anchovies, Green Olives, Red Onions, Garlic"/>
    <x v="5"/>
  </r>
  <r>
    <n v="29041"/>
    <n v="12812"/>
    <n v="0.33333333333333331"/>
    <s v="brie_carre_s"/>
    <n v="1"/>
    <x v="85"/>
    <x v="1"/>
    <x v="2434"/>
    <n v="23.65"/>
    <n v="23.65"/>
    <x v="1"/>
    <x v="2"/>
    <s v="Brie Carre Cheese, Prosciutto, Caramelized Onions, Pears, Thyme, Garlic"/>
    <x v="8"/>
  </r>
  <r>
    <n v="29047"/>
    <n v="12812"/>
    <n v="0.33333333333333331"/>
    <s v="hawaiian_s"/>
    <n v="1"/>
    <x v="85"/>
    <x v="1"/>
    <x v="2434"/>
    <n v="10.5"/>
    <n v="10.5"/>
    <x v="1"/>
    <x v="0"/>
    <s v="Sliced Ham, Pineapple, Mozzarella Cheese"/>
    <x v="0"/>
  </r>
  <r>
    <n v="29050"/>
    <n v="12812"/>
    <n v="0.33333333333333331"/>
    <s v="pepperoni_m"/>
    <n v="1"/>
    <x v="85"/>
    <x v="1"/>
    <x v="2434"/>
    <n v="12.5"/>
    <n v="12.5"/>
    <x v="0"/>
    <x v="0"/>
    <s v="Mozzarella Cheese, Pepperoni"/>
    <x v="3"/>
  </r>
  <r>
    <n v="29056"/>
    <n v="12815"/>
    <n v="1"/>
    <s v="the_greek_m"/>
    <n v="1"/>
    <x v="85"/>
    <x v="1"/>
    <x v="2435"/>
    <n v="16"/>
    <n v="16"/>
    <x v="0"/>
    <x v="0"/>
    <s v="Kalamata Olives, Feta Cheese, Tomatoes, Garlic, Beef Chuck Roast, Red Onions"/>
    <x v="2"/>
  </r>
  <r>
    <n v="29057"/>
    <n v="12816"/>
    <n v="1"/>
    <s v="mexicana_s"/>
    <n v="1"/>
    <x v="85"/>
    <x v="1"/>
    <x v="2436"/>
    <n v="12"/>
    <n v="12"/>
    <x v="1"/>
    <x v="1"/>
    <s v="Tomatoes, Red Peppers, Jalapeno Peppers, Red Onions, Cilantro, Corn, Chipotle Sauce, Garlic"/>
    <x v="1"/>
  </r>
  <r>
    <n v="29064"/>
    <n v="12821"/>
    <n v="1"/>
    <s v="brie_carre_s"/>
    <n v="1"/>
    <x v="85"/>
    <x v="1"/>
    <x v="395"/>
    <n v="23.65"/>
    <n v="23.65"/>
    <x v="1"/>
    <x v="2"/>
    <s v="Brie Carre Cheese, Prosciutto, Caramelized Onions, Pears, Thyme, Garlic"/>
    <x v="8"/>
  </r>
  <r>
    <n v="29066"/>
    <n v="12822"/>
    <n v="1"/>
    <s v="pepperoni_l"/>
    <n v="1"/>
    <x v="85"/>
    <x v="1"/>
    <x v="2437"/>
    <n v="15.25"/>
    <n v="15.25"/>
    <x v="2"/>
    <x v="0"/>
    <s v="Mozzarella Cheese, Pepperoni"/>
    <x v="3"/>
  </r>
  <r>
    <n v="29068"/>
    <n v="12823"/>
    <n v="1"/>
    <s v="hawaiian_s"/>
    <n v="1"/>
    <x v="85"/>
    <x v="1"/>
    <x v="2438"/>
    <n v="10.5"/>
    <n v="10.5"/>
    <x v="1"/>
    <x v="0"/>
    <s v="Sliced Ham, Pineapple, Mozzarella Cheese"/>
    <x v="0"/>
  </r>
  <r>
    <n v="29078"/>
    <n v="12826"/>
    <n v="1"/>
    <s v="mexicana_m"/>
    <n v="1"/>
    <x v="85"/>
    <x v="1"/>
    <x v="2439"/>
    <n v="16"/>
    <n v="16"/>
    <x v="0"/>
    <x v="1"/>
    <s v="Tomatoes, Red Peppers, Jalapeno Peppers, Red Onions, Cilantro, Corn, Chipotle Sauce, Garlic"/>
    <x v="1"/>
  </r>
  <r>
    <n v="29080"/>
    <n v="12827"/>
    <n v="1"/>
    <s v="pepperoni_m"/>
    <n v="1"/>
    <x v="85"/>
    <x v="1"/>
    <x v="2440"/>
    <n v="12.5"/>
    <n v="12.5"/>
    <x v="0"/>
    <x v="0"/>
    <s v="Mozzarella Cheese, Pepperoni"/>
    <x v="3"/>
  </r>
  <r>
    <n v="29082"/>
    <n v="12828"/>
    <n v="0.5"/>
    <s v="big_meat_s"/>
    <n v="1"/>
    <x v="85"/>
    <x v="1"/>
    <x v="2441"/>
    <n v="12"/>
    <n v="12"/>
    <x v="1"/>
    <x v="0"/>
    <s v="Bacon, Pepperoni, Italian Sausage, Chorizo Sausage"/>
    <x v="4"/>
  </r>
  <r>
    <n v="29083"/>
    <n v="12828"/>
    <n v="0.5"/>
    <s v="brie_carre_s"/>
    <n v="1"/>
    <x v="85"/>
    <x v="1"/>
    <x v="2441"/>
    <n v="23.65"/>
    <n v="23.65"/>
    <x v="1"/>
    <x v="2"/>
    <s v="Brie Carre Cheese, Prosciutto, Caramelized Onions, Pears, Thyme, Garlic"/>
    <x v="8"/>
  </r>
  <r>
    <n v="29084"/>
    <n v="12829"/>
    <n v="1"/>
    <s v="hawaiian_s"/>
    <n v="1"/>
    <x v="85"/>
    <x v="1"/>
    <x v="2442"/>
    <n v="10.5"/>
    <n v="10.5"/>
    <x v="1"/>
    <x v="0"/>
    <s v="Sliced Ham, Pineapple, Mozzarella Cheese"/>
    <x v="0"/>
  </r>
  <r>
    <n v="29087"/>
    <n v="12831"/>
    <n v="1"/>
    <s v="big_meat_s"/>
    <n v="1"/>
    <x v="85"/>
    <x v="1"/>
    <x v="2443"/>
    <n v="12"/>
    <n v="12"/>
    <x v="1"/>
    <x v="0"/>
    <s v="Bacon, Pepperoni, Italian Sausage, Chorizo Sausage"/>
    <x v="4"/>
  </r>
  <r>
    <n v="29089"/>
    <n v="12832"/>
    <n v="1"/>
    <s v="mexicana_l"/>
    <n v="1"/>
    <x v="85"/>
    <x v="1"/>
    <x v="2444"/>
    <n v="20.25"/>
    <n v="20.25"/>
    <x v="2"/>
    <x v="1"/>
    <s v="Tomatoes, Red Peppers, Jalapeno Peppers, Red Onions, Cilantro, Corn, Chipotle Sauce, Garlic"/>
    <x v="1"/>
  </r>
  <r>
    <n v="29092"/>
    <n v="12834"/>
    <n v="0.5"/>
    <s v="calabrese_m"/>
    <n v="1"/>
    <x v="85"/>
    <x v="1"/>
    <x v="2445"/>
    <n v="16.25"/>
    <n v="16.25"/>
    <x v="0"/>
    <x v="2"/>
    <s v="?duja Salami, Pancetta, Tomatoes, Red Onions, Friggitello Peppers, Garlic"/>
    <x v="6"/>
  </r>
  <r>
    <n v="29094"/>
    <n v="12834"/>
    <n v="0.5"/>
    <s v="pepperoni_l"/>
    <n v="1"/>
    <x v="85"/>
    <x v="1"/>
    <x v="2445"/>
    <n v="15.25"/>
    <n v="15.25"/>
    <x v="2"/>
    <x v="0"/>
    <s v="Mozzarella Cheese, Pepperoni"/>
    <x v="3"/>
  </r>
  <r>
    <n v="29097"/>
    <n v="12835"/>
    <n v="1"/>
    <s v="sicilian_m"/>
    <n v="1"/>
    <x v="85"/>
    <x v="1"/>
    <x v="247"/>
    <n v="16.25"/>
    <n v="16.25"/>
    <x v="0"/>
    <x v="2"/>
    <s v="Coarse Sicilian Salami, Tomatoes, Green Olives, Luganega Sausage, Onions, Garlic"/>
    <x v="7"/>
  </r>
  <r>
    <n v="29105"/>
    <n v="12840"/>
    <n v="1"/>
    <s v="hawaiian_s"/>
    <n v="1"/>
    <x v="85"/>
    <x v="1"/>
    <x v="2446"/>
    <n v="10.5"/>
    <n v="10.5"/>
    <x v="1"/>
    <x v="0"/>
    <s v="Sliced Ham, Pineapple, Mozzarella Cheese"/>
    <x v="0"/>
  </r>
  <r>
    <n v="29110"/>
    <n v="12842"/>
    <n v="1"/>
    <s v="napolitana_l"/>
    <n v="1"/>
    <x v="85"/>
    <x v="1"/>
    <x v="1954"/>
    <n v="20.5"/>
    <n v="20.5"/>
    <x v="2"/>
    <x v="0"/>
    <s v="Tomatoes, Anchovies, Green Olives, Red Onions, Garlic"/>
    <x v="5"/>
  </r>
  <r>
    <n v="29112"/>
    <n v="12843"/>
    <n v="0.5"/>
    <s v="hawaiian_l"/>
    <n v="1"/>
    <x v="85"/>
    <x v="1"/>
    <x v="2447"/>
    <n v="16.5"/>
    <n v="16.5"/>
    <x v="2"/>
    <x v="0"/>
    <s v="Sliced Ham, Pineapple, Mozzarella Cheese"/>
    <x v="0"/>
  </r>
  <r>
    <n v="29113"/>
    <n v="12843"/>
    <n v="0.5"/>
    <s v="mexicana_m"/>
    <n v="1"/>
    <x v="85"/>
    <x v="1"/>
    <x v="2447"/>
    <n v="16"/>
    <n v="16"/>
    <x v="0"/>
    <x v="1"/>
    <s v="Tomatoes, Red Peppers, Jalapeno Peppers, Red Onions, Cilantro, Corn, Chipotle Sauce, Garlic"/>
    <x v="1"/>
  </r>
  <r>
    <n v="29117"/>
    <n v="12846"/>
    <n v="1"/>
    <s v="pepperoni_m"/>
    <n v="1"/>
    <x v="85"/>
    <x v="1"/>
    <x v="2448"/>
    <n v="12.5"/>
    <n v="12.5"/>
    <x v="0"/>
    <x v="0"/>
    <s v="Mozzarella Cheese, Pepperoni"/>
    <x v="3"/>
  </r>
  <r>
    <n v="29123"/>
    <n v="12850"/>
    <n v="1"/>
    <s v="the_greek_s"/>
    <n v="1"/>
    <x v="85"/>
    <x v="1"/>
    <x v="2449"/>
    <n v="12"/>
    <n v="12"/>
    <x v="1"/>
    <x v="0"/>
    <s v="Kalamata Olives, Feta Cheese, Tomatoes, Garlic, Beef Chuck Roast, Red Onions"/>
    <x v="2"/>
  </r>
  <r>
    <n v="29124"/>
    <n v="12851"/>
    <n v="0.5"/>
    <s v="big_meat_s"/>
    <n v="1"/>
    <x v="85"/>
    <x v="1"/>
    <x v="2450"/>
    <n v="12"/>
    <n v="12"/>
    <x v="1"/>
    <x v="0"/>
    <s v="Bacon, Pepperoni, Italian Sausage, Chorizo Sausage"/>
    <x v="4"/>
  </r>
  <r>
    <n v="29125"/>
    <n v="12851"/>
    <n v="0.5"/>
    <s v="sicilian_m"/>
    <n v="1"/>
    <x v="85"/>
    <x v="1"/>
    <x v="2450"/>
    <n v="16.25"/>
    <n v="16.25"/>
    <x v="0"/>
    <x v="2"/>
    <s v="Coarse Sicilian Salami, Tomatoes, Green Olives, Luganega Sausage, Onions, Garlic"/>
    <x v="7"/>
  </r>
  <r>
    <n v="29130"/>
    <n v="12856"/>
    <n v="1"/>
    <s v="mexicana_m"/>
    <n v="1"/>
    <x v="86"/>
    <x v="1"/>
    <x v="2451"/>
    <n v="16"/>
    <n v="16"/>
    <x v="0"/>
    <x v="1"/>
    <s v="Tomatoes, Red Peppers, Jalapeno Peppers, Red Onions, Cilantro, Corn, Chipotle Sauce, Garlic"/>
    <x v="1"/>
  </r>
  <r>
    <n v="29134"/>
    <n v="12859"/>
    <n v="1"/>
    <s v="mexicana_l"/>
    <n v="1"/>
    <x v="86"/>
    <x v="1"/>
    <x v="2452"/>
    <n v="20.25"/>
    <n v="20.25"/>
    <x v="2"/>
    <x v="1"/>
    <s v="Tomatoes, Red Peppers, Jalapeno Peppers, Red Onions, Cilantro, Corn, Chipotle Sauce, Garlic"/>
    <x v="1"/>
  </r>
  <r>
    <n v="29136"/>
    <n v="12860"/>
    <n v="1"/>
    <s v="big_meat_s"/>
    <n v="1"/>
    <x v="86"/>
    <x v="1"/>
    <x v="2453"/>
    <n v="12"/>
    <n v="12"/>
    <x v="1"/>
    <x v="0"/>
    <s v="Bacon, Pepperoni, Italian Sausage, Chorizo Sausage"/>
    <x v="4"/>
  </r>
  <r>
    <n v="29139"/>
    <n v="12862"/>
    <n v="1"/>
    <s v="mexicana_m"/>
    <n v="1"/>
    <x v="86"/>
    <x v="1"/>
    <x v="2454"/>
    <n v="16"/>
    <n v="16"/>
    <x v="0"/>
    <x v="1"/>
    <s v="Tomatoes, Red Peppers, Jalapeno Peppers, Red Onions, Cilantro, Corn, Chipotle Sauce, Garlic"/>
    <x v="1"/>
  </r>
  <r>
    <n v="29143"/>
    <n v="12866"/>
    <n v="0.5"/>
    <s v="pepperoni_s"/>
    <n v="1"/>
    <x v="86"/>
    <x v="1"/>
    <x v="2195"/>
    <n v="9.75"/>
    <n v="9.75"/>
    <x v="1"/>
    <x v="0"/>
    <s v="Mozzarella Cheese, Pepperoni"/>
    <x v="3"/>
  </r>
  <r>
    <n v="29144"/>
    <n v="12866"/>
    <n v="0.5"/>
    <s v="sicilian_s"/>
    <n v="1"/>
    <x v="86"/>
    <x v="1"/>
    <x v="2195"/>
    <n v="12.25"/>
    <n v="12.25"/>
    <x v="1"/>
    <x v="2"/>
    <s v="Coarse Sicilian Salami, Tomatoes, Green Olives, Luganega Sausage, Onions, Garlic"/>
    <x v="7"/>
  </r>
  <r>
    <n v="29149"/>
    <n v="12868"/>
    <n v="1"/>
    <s v="brie_carre_s"/>
    <n v="1"/>
    <x v="86"/>
    <x v="1"/>
    <x v="2455"/>
    <n v="23.65"/>
    <n v="23.65"/>
    <x v="1"/>
    <x v="2"/>
    <s v="Brie Carre Cheese, Prosciutto, Caramelized Onions, Pears, Thyme, Garlic"/>
    <x v="8"/>
  </r>
  <r>
    <n v="29155"/>
    <n v="12871"/>
    <n v="1"/>
    <s v="mexicana_l"/>
    <n v="1"/>
    <x v="86"/>
    <x v="1"/>
    <x v="2456"/>
    <n v="20.25"/>
    <n v="20.25"/>
    <x v="2"/>
    <x v="1"/>
    <s v="Tomatoes, Red Peppers, Jalapeno Peppers, Red Onions, Cilantro, Corn, Chipotle Sauce, Garlic"/>
    <x v="1"/>
  </r>
  <r>
    <n v="29158"/>
    <n v="12873"/>
    <n v="1"/>
    <s v="hawaiian_s"/>
    <n v="1"/>
    <x v="86"/>
    <x v="1"/>
    <x v="2457"/>
    <n v="10.5"/>
    <n v="10.5"/>
    <x v="1"/>
    <x v="0"/>
    <s v="Sliced Ham, Pineapple, Mozzarella Cheese"/>
    <x v="0"/>
  </r>
  <r>
    <n v="29163"/>
    <n v="12876"/>
    <n v="1"/>
    <s v="sicilian_m"/>
    <n v="1"/>
    <x v="86"/>
    <x v="1"/>
    <x v="2458"/>
    <n v="16.25"/>
    <n v="16.25"/>
    <x v="0"/>
    <x v="2"/>
    <s v="Coarse Sicilian Salami, Tomatoes, Green Olives, Luganega Sausage, Onions, Garlic"/>
    <x v="7"/>
  </r>
  <r>
    <n v="29165"/>
    <n v="12877"/>
    <n v="1"/>
    <s v="mexicana_m"/>
    <n v="1"/>
    <x v="86"/>
    <x v="1"/>
    <x v="2459"/>
    <n v="16"/>
    <n v="16"/>
    <x v="0"/>
    <x v="1"/>
    <s v="Tomatoes, Red Peppers, Jalapeno Peppers, Red Onions, Cilantro, Corn, Chipotle Sauce, Garlic"/>
    <x v="1"/>
  </r>
  <r>
    <n v="29171"/>
    <n v="12879"/>
    <n v="1"/>
    <s v="sicilian_l"/>
    <n v="1"/>
    <x v="86"/>
    <x v="1"/>
    <x v="2460"/>
    <n v="20.25"/>
    <n v="20.25"/>
    <x v="2"/>
    <x v="2"/>
    <s v="Coarse Sicilian Salami, Tomatoes, Green Olives, Luganega Sausage, Onions, Garlic"/>
    <x v="7"/>
  </r>
  <r>
    <n v="29174"/>
    <n v="12880"/>
    <n v="1"/>
    <s v="mexicana_m"/>
    <n v="1"/>
    <x v="86"/>
    <x v="1"/>
    <x v="2461"/>
    <n v="16"/>
    <n v="16"/>
    <x v="0"/>
    <x v="1"/>
    <s v="Tomatoes, Red Peppers, Jalapeno Peppers, Red Onions, Cilantro, Corn, Chipotle Sauce, Garlic"/>
    <x v="1"/>
  </r>
  <r>
    <n v="29175"/>
    <n v="12881"/>
    <n v="1"/>
    <s v="calabrese_l"/>
    <n v="1"/>
    <x v="86"/>
    <x v="1"/>
    <x v="2462"/>
    <n v="20.25"/>
    <n v="20.25"/>
    <x v="2"/>
    <x v="2"/>
    <s v="?duja Salami, Pancetta, Tomatoes, Red Onions, Friggitello Peppers, Garlic"/>
    <x v="6"/>
  </r>
  <r>
    <n v="29179"/>
    <n v="12882"/>
    <n v="0.5"/>
    <s v="the_greek_m"/>
    <n v="1"/>
    <x v="86"/>
    <x v="1"/>
    <x v="2463"/>
    <n v="16"/>
    <n v="16"/>
    <x v="0"/>
    <x v="0"/>
    <s v="Kalamata Olives, Feta Cheese, Tomatoes, Garlic, Beef Chuck Roast, Red Onions"/>
    <x v="2"/>
  </r>
  <r>
    <n v="29180"/>
    <n v="12882"/>
    <n v="0.5"/>
    <s v="the_greek_s"/>
    <n v="1"/>
    <x v="86"/>
    <x v="1"/>
    <x v="2463"/>
    <n v="12"/>
    <n v="12"/>
    <x v="1"/>
    <x v="0"/>
    <s v="Kalamata Olives, Feta Cheese, Tomatoes, Garlic, Beef Chuck Roast, Red Onions"/>
    <x v="2"/>
  </r>
  <r>
    <n v="29181"/>
    <n v="12883"/>
    <n v="1"/>
    <s v="pepperoni_s"/>
    <n v="1"/>
    <x v="86"/>
    <x v="1"/>
    <x v="2464"/>
    <n v="9.75"/>
    <n v="9.75"/>
    <x v="1"/>
    <x v="0"/>
    <s v="Mozzarella Cheese, Pepperoni"/>
    <x v="3"/>
  </r>
  <r>
    <n v="29182"/>
    <n v="12884"/>
    <n v="1"/>
    <s v="hawaiian_s"/>
    <n v="1"/>
    <x v="86"/>
    <x v="1"/>
    <x v="2465"/>
    <n v="10.5"/>
    <n v="10.5"/>
    <x v="1"/>
    <x v="0"/>
    <s v="Sliced Ham, Pineapple, Mozzarella Cheese"/>
    <x v="0"/>
  </r>
  <r>
    <n v="29187"/>
    <n v="12885"/>
    <n v="1"/>
    <s v="napolitana_m"/>
    <n v="1"/>
    <x v="86"/>
    <x v="1"/>
    <x v="2466"/>
    <n v="16"/>
    <n v="16"/>
    <x v="0"/>
    <x v="0"/>
    <s v="Tomatoes, Anchovies, Green Olives, Red Onions, Garlic"/>
    <x v="5"/>
  </r>
  <r>
    <n v="29188"/>
    <n v="12886"/>
    <n v="0.5"/>
    <s v="mexicana_m"/>
    <n v="1"/>
    <x v="86"/>
    <x v="1"/>
    <x v="2467"/>
    <n v="16"/>
    <n v="16"/>
    <x v="0"/>
    <x v="1"/>
    <s v="Tomatoes, Red Peppers, Jalapeno Peppers, Red Onions, Cilantro, Corn, Chipotle Sauce, Garlic"/>
    <x v="1"/>
  </r>
  <r>
    <n v="29189"/>
    <n v="12886"/>
    <n v="0.5"/>
    <s v="pepperoni_m"/>
    <n v="1"/>
    <x v="86"/>
    <x v="1"/>
    <x v="2467"/>
    <n v="12.5"/>
    <n v="12.5"/>
    <x v="0"/>
    <x v="0"/>
    <s v="Mozzarella Cheese, Pepperoni"/>
    <x v="3"/>
  </r>
  <r>
    <n v="29196"/>
    <n v="12889"/>
    <n v="1"/>
    <s v="mexicana_l"/>
    <n v="1"/>
    <x v="86"/>
    <x v="1"/>
    <x v="2468"/>
    <n v="20.25"/>
    <n v="20.25"/>
    <x v="2"/>
    <x v="1"/>
    <s v="Tomatoes, Red Peppers, Jalapeno Peppers, Red Onions, Cilantro, Corn, Chipotle Sauce, Garlic"/>
    <x v="1"/>
  </r>
  <r>
    <n v="29199"/>
    <n v="12891"/>
    <n v="1"/>
    <s v="napolitana_l"/>
    <n v="1"/>
    <x v="86"/>
    <x v="1"/>
    <x v="2469"/>
    <n v="20.5"/>
    <n v="20.5"/>
    <x v="2"/>
    <x v="0"/>
    <s v="Tomatoes, Anchovies, Green Olives, Red Onions, Garlic"/>
    <x v="5"/>
  </r>
  <r>
    <n v="29203"/>
    <n v="12892"/>
    <n v="1"/>
    <s v="mexicana_l"/>
    <n v="1"/>
    <x v="86"/>
    <x v="1"/>
    <x v="2470"/>
    <n v="20.25"/>
    <n v="20.25"/>
    <x v="2"/>
    <x v="1"/>
    <s v="Tomatoes, Red Peppers, Jalapeno Peppers, Red Onions, Cilantro, Corn, Chipotle Sauce, Garlic"/>
    <x v="1"/>
  </r>
  <r>
    <n v="29210"/>
    <n v="12897"/>
    <n v="0.5"/>
    <s v="big_meat_s"/>
    <n v="1"/>
    <x v="86"/>
    <x v="1"/>
    <x v="2471"/>
    <n v="12"/>
    <n v="12"/>
    <x v="1"/>
    <x v="0"/>
    <s v="Bacon, Pepperoni, Italian Sausage, Chorizo Sausage"/>
    <x v="4"/>
  </r>
  <r>
    <n v="29211"/>
    <n v="12897"/>
    <n v="0.5"/>
    <s v="calabrese_m"/>
    <n v="1"/>
    <x v="86"/>
    <x v="1"/>
    <x v="2471"/>
    <n v="16.25"/>
    <n v="16.25"/>
    <x v="0"/>
    <x v="2"/>
    <s v="?duja Salami, Pancetta, Tomatoes, Red Onions, Friggitello Peppers, Garlic"/>
    <x v="6"/>
  </r>
  <r>
    <n v="29222"/>
    <n v="12901"/>
    <n v="1"/>
    <s v="mexicana_l"/>
    <n v="1"/>
    <x v="86"/>
    <x v="1"/>
    <x v="2472"/>
    <n v="20.25"/>
    <n v="20.25"/>
    <x v="2"/>
    <x v="1"/>
    <s v="Tomatoes, Red Peppers, Jalapeno Peppers, Red Onions, Cilantro, Corn, Chipotle Sauce, Garlic"/>
    <x v="1"/>
  </r>
  <r>
    <n v="29224"/>
    <n v="12902"/>
    <n v="1"/>
    <s v="the_greek_l"/>
    <n v="1"/>
    <x v="86"/>
    <x v="1"/>
    <x v="2473"/>
    <n v="20.5"/>
    <n v="20.5"/>
    <x v="2"/>
    <x v="0"/>
    <s v="Kalamata Olives, Feta Cheese, Tomatoes, Garlic, Beef Chuck Roast, Red Onions"/>
    <x v="2"/>
  </r>
  <r>
    <n v="29232"/>
    <n v="12906"/>
    <n v="1"/>
    <s v="big_meat_s"/>
    <n v="1"/>
    <x v="86"/>
    <x v="1"/>
    <x v="2474"/>
    <n v="12"/>
    <n v="12"/>
    <x v="1"/>
    <x v="0"/>
    <s v="Bacon, Pepperoni, Italian Sausage, Chorizo Sausage"/>
    <x v="4"/>
  </r>
  <r>
    <n v="29245"/>
    <n v="12914"/>
    <n v="1"/>
    <s v="sicilian_l"/>
    <n v="1"/>
    <x v="87"/>
    <x v="2"/>
    <x v="2475"/>
    <n v="20.25"/>
    <n v="20.25"/>
    <x v="2"/>
    <x v="2"/>
    <s v="Coarse Sicilian Salami, Tomatoes, Green Olives, Luganega Sausage, Onions, Garlic"/>
    <x v="7"/>
  </r>
  <r>
    <n v="29258"/>
    <n v="12917"/>
    <n v="1"/>
    <s v="sicilian_s"/>
    <n v="1"/>
    <x v="87"/>
    <x v="2"/>
    <x v="2476"/>
    <n v="12.25"/>
    <n v="12.25"/>
    <x v="1"/>
    <x v="2"/>
    <s v="Coarse Sicilian Salami, Tomatoes, Green Olives, Luganega Sausage, Onions, Garlic"/>
    <x v="7"/>
  </r>
  <r>
    <n v="29261"/>
    <n v="12919"/>
    <n v="1"/>
    <s v="calabrese_m"/>
    <n v="1"/>
    <x v="87"/>
    <x v="2"/>
    <x v="2477"/>
    <n v="16.25"/>
    <n v="16.25"/>
    <x v="0"/>
    <x v="2"/>
    <s v="?duja Salami, Pancetta, Tomatoes, Red Onions, Friggitello Peppers, Garlic"/>
    <x v="6"/>
  </r>
  <r>
    <n v="29271"/>
    <n v="12923"/>
    <n v="1"/>
    <s v="the_greek_xl"/>
    <n v="1"/>
    <x v="87"/>
    <x v="2"/>
    <x v="2478"/>
    <n v="25.5"/>
    <n v="25.5"/>
    <x v="3"/>
    <x v="0"/>
    <s v="Kalamata Olives, Feta Cheese, Tomatoes, Garlic, Beef Chuck Roast, Red Onions"/>
    <x v="2"/>
  </r>
  <r>
    <n v="29273"/>
    <n v="12925"/>
    <n v="1"/>
    <s v="sicilian_m"/>
    <n v="1"/>
    <x v="87"/>
    <x v="2"/>
    <x v="2479"/>
    <n v="16.25"/>
    <n v="16.25"/>
    <x v="0"/>
    <x v="2"/>
    <s v="Coarse Sicilian Salami, Tomatoes, Green Olives, Luganega Sausage, Onions, Garlic"/>
    <x v="7"/>
  </r>
  <r>
    <n v="29275"/>
    <n v="12926"/>
    <n v="1"/>
    <s v="sicilian_l"/>
    <n v="1"/>
    <x v="87"/>
    <x v="2"/>
    <x v="2480"/>
    <n v="20.25"/>
    <n v="20.25"/>
    <x v="2"/>
    <x v="2"/>
    <s v="Coarse Sicilian Salami, Tomatoes, Green Olives, Luganega Sausage, Onions, Garlic"/>
    <x v="7"/>
  </r>
  <r>
    <n v="29277"/>
    <n v="12928"/>
    <n v="0.33333333333333331"/>
    <s v="big_meat_s"/>
    <n v="1"/>
    <x v="87"/>
    <x v="2"/>
    <x v="2481"/>
    <n v="12"/>
    <n v="12"/>
    <x v="1"/>
    <x v="0"/>
    <s v="Bacon, Pepperoni, Italian Sausage, Chorizo Sausage"/>
    <x v="4"/>
  </r>
  <r>
    <n v="29282"/>
    <n v="12928"/>
    <n v="0.33333333333333331"/>
    <s v="hawaiian_l"/>
    <n v="1"/>
    <x v="87"/>
    <x v="2"/>
    <x v="2481"/>
    <n v="16.5"/>
    <n v="16.5"/>
    <x v="2"/>
    <x v="0"/>
    <s v="Sliced Ham, Pineapple, Mozzarella Cheese"/>
    <x v="0"/>
  </r>
  <r>
    <n v="29285"/>
    <n v="12928"/>
    <n v="0.33333333333333331"/>
    <s v="sicilian_l"/>
    <n v="1"/>
    <x v="87"/>
    <x v="2"/>
    <x v="2481"/>
    <n v="20.25"/>
    <n v="20.25"/>
    <x v="2"/>
    <x v="2"/>
    <s v="Coarse Sicilian Salami, Tomatoes, Green Olives, Luganega Sausage, Onions, Garlic"/>
    <x v="7"/>
  </r>
  <r>
    <n v="29293"/>
    <n v="12930"/>
    <n v="1"/>
    <s v="the_greek_m"/>
    <n v="1"/>
    <x v="87"/>
    <x v="2"/>
    <x v="2482"/>
    <n v="16"/>
    <n v="16"/>
    <x v="0"/>
    <x v="0"/>
    <s v="Kalamata Olives, Feta Cheese, Tomatoes, Garlic, Beef Chuck Roast, Red Onions"/>
    <x v="2"/>
  </r>
  <r>
    <n v="29297"/>
    <n v="12932"/>
    <n v="1"/>
    <s v="hawaiian_m"/>
    <n v="1"/>
    <x v="87"/>
    <x v="2"/>
    <x v="2483"/>
    <n v="13.25"/>
    <n v="13.25"/>
    <x v="0"/>
    <x v="0"/>
    <s v="Sliced Ham, Pineapple, Mozzarella Cheese"/>
    <x v="0"/>
  </r>
  <r>
    <n v="29299"/>
    <n v="12933"/>
    <n v="1"/>
    <s v="calabrese_m"/>
    <n v="1"/>
    <x v="87"/>
    <x v="2"/>
    <x v="2484"/>
    <n v="16.25"/>
    <n v="16.25"/>
    <x v="0"/>
    <x v="2"/>
    <s v="?duja Salami, Pancetta, Tomatoes, Red Onions, Friggitello Peppers, Garlic"/>
    <x v="6"/>
  </r>
  <r>
    <n v="29301"/>
    <n v="12935"/>
    <n v="1"/>
    <s v="the_greek_xl"/>
    <n v="1"/>
    <x v="87"/>
    <x v="2"/>
    <x v="2485"/>
    <n v="25.5"/>
    <n v="25.5"/>
    <x v="3"/>
    <x v="0"/>
    <s v="Kalamata Olives, Feta Cheese, Tomatoes, Garlic, Beef Chuck Roast, Red Onions"/>
    <x v="2"/>
  </r>
  <r>
    <n v="29303"/>
    <n v="12937"/>
    <n v="1"/>
    <s v="napolitana_s"/>
    <n v="1"/>
    <x v="87"/>
    <x v="2"/>
    <x v="2486"/>
    <n v="12"/>
    <n v="12"/>
    <x v="1"/>
    <x v="0"/>
    <s v="Tomatoes, Anchovies, Green Olives, Red Onions, Garlic"/>
    <x v="5"/>
  </r>
  <r>
    <n v="29304"/>
    <n v="12938"/>
    <n v="1"/>
    <s v="brie_carre_s"/>
    <n v="1"/>
    <x v="87"/>
    <x v="2"/>
    <x v="2487"/>
    <n v="23.65"/>
    <n v="23.65"/>
    <x v="1"/>
    <x v="2"/>
    <s v="Brie Carre Cheese, Prosciutto, Caramelized Onions, Pears, Thyme, Garlic"/>
    <x v="8"/>
  </r>
  <r>
    <n v="29306"/>
    <n v="12939"/>
    <n v="1"/>
    <s v="napolitana_m"/>
    <n v="1"/>
    <x v="87"/>
    <x v="2"/>
    <x v="2488"/>
    <n v="16"/>
    <n v="16"/>
    <x v="0"/>
    <x v="0"/>
    <s v="Tomatoes, Anchovies, Green Olives, Red Onions, Garlic"/>
    <x v="5"/>
  </r>
  <r>
    <n v="29308"/>
    <n v="12940"/>
    <n v="1"/>
    <s v="calabrese_l"/>
    <n v="1"/>
    <x v="87"/>
    <x v="2"/>
    <x v="2489"/>
    <n v="20.25"/>
    <n v="20.25"/>
    <x v="2"/>
    <x v="2"/>
    <s v="?duja Salami, Pancetta, Tomatoes, Red Onions, Friggitello Peppers, Garlic"/>
    <x v="6"/>
  </r>
  <r>
    <n v="29313"/>
    <n v="12942"/>
    <n v="0.5"/>
    <s v="big_meat_s"/>
    <n v="1"/>
    <x v="87"/>
    <x v="2"/>
    <x v="2490"/>
    <n v="12"/>
    <n v="12"/>
    <x v="1"/>
    <x v="0"/>
    <s v="Bacon, Pepperoni, Italian Sausage, Chorizo Sausage"/>
    <x v="4"/>
  </r>
  <r>
    <n v="29316"/>
    <n v="12942"/>
    <n v="0.5"/>
    <s v="napolitana_m"/>
    <n v="1"/>
    <x v="87"/>
    <x v="2"/>
    <x v="2490"/>
    <n v="16"/>
    <n v="16"/>
    <x v="0"/>
    <x v="0"/>
    <s v="Tomatoes, Anchovies, Green Olives, Red Onions, Garlic"/>
    <x v="5"/>
  </r>
  <r>
    <n v="29321"/>
    <n v="12946"/>
    <n v="1"/>
    <s v="napolitana_s"/>
    <n v="1"/>
    <x v="87"/>
    <x v="2"/>
    <x v="2491"/>
    <n v="12"/>
    <n v="12"/>
    <x v="1"/>
    <x v="0"/>
    <s v="Tomatoes, Anchovies, Green Olives, Red Onions, Garlic"/>
    <x v="5"/>
  </r>
  <r>
    <n v="29324"/>
    <n v="12947"/>
    <n v="1"/>
    <s v="hawaiian_l"/>
    <n v="1"/>
    <x v="87"/>
    <x v="2"/>
    <x v="1330"/>
    <n v="16.5"/>
    <n v="16.5"/>
    <x v="2"/>
    <x v="0"/>
    <s v="Sliced Ham, Pineapple, Mozzarella Cheese"/>
    <x v="0"/>
  </r>
  <r>
    <n v="29327"/>
    <n v="12949"/>
    <n v="1"/>
    <s v="mexicana_l"/>
    <n v="1"/>
    <x v="87"/>
    <x v="2"/>
    <x v="2492"/>
    <n v="20.25"/>
    <n v="20.25"/>
    <x v="2"/>
    <x v="1"/>
    <s v="Tomatoes, Red Peppers, Jalapeno Peppers, Red Onions, Cilantro, Corn, Chipotle Sauce, Garlic"/>
    <x v="1"/>
  </r>
  <r>
    <n v="29329"/>
    <n v="12950"/>
    <n v="1"/>
    <s v="napolitana_m"/>
    <n v="1"/>
    <x v="87"/>
    <x v="2"/>
    <x v="2493"/>
    <n v="16"/>
    <n v="16"/>
    <x v="0"/>
    <x v="0"/>
    <s v="Tomatoes, Anchovies, Green Olives, Red Onions, Garlic"/>
    <x v="5"/>
  </r>
  <r>
    <n v="29334"/>
    <n v="12953"/>
    <n v="1"/>
    <s v="pepperoni_m"/>
    <n v="1"/>
    <x v="87"/>
    <x v="2"/>
    <x v="2494"/>
    <n v="12.5"/>
    <n v="12.5"/>
    <x v="0"/>
    <x v="0"/>
    <s v="Mozzarella Cheese, Pepperoni"/>
    <x v="3"/>
  </r>
  <r>
    <n v="29338"/>
    <n v="12955"/>
    <n v="1"/>
    <s v="pepperoni_m"/>
    <n v="1"/>
    <x v="87"/>
    <x v="2"/>
    <x v="2495"/>
    <n v="12.5"/>
    <n v="12.5"/>
    <x v="0"/>
    <x v="0"/>
    <s v="Mozzarella Cheese, Pepperoni"/>
    <x v="3"/>
  </r>
  <r>
    <n v="29349"/>
    <n v="12961"/>
    <n v="0.5"/>
    <s v="hawaiian_l"/>
    <n v="1"/>
    <x v="87"/>
    <x v="2"/>
    <x v="679"/>
    <n v="16.5"/>
    <n v="16.5"/>
    <x v="2"/>
    <x v="0"/>
    <s v="Sliced Ham, Pineapple, Mozzarella Cheese"/>
    <x v="0"/>
  </r>
  <r>
    <n v="29350"/>
    <n v="12961"/>
    <n v="0.5"/>
    <s v="the_greek_xl"/>
    <n v="1"/>
    <x v="87"/>
    <x v="2"/>
    <x v="679"/>
    <n v="25.5"/>
    <n v="25.5"/>
    <x v="3"/>
    <x v="0"/>
    <s v="Kalamata Olives, Feta Cheese, Tomatoes, Garlic, Beef Chuck Roast, Red Onions"/>
    <x v="2"/>
  </r>
  <r>
    <n v="29352"/>
    <n v="12963"/>
    <n v="1"/>
    <s v="napolitana_s"/>
    <n v="1"/>
    <x v="87"/>
    <x v="2"/>
    <x v="2496"/>
    <n v="12"/>
    <n v="12"/>
    <x v="1"/>
    <x v="0"/>
    <s v="Tomatoes, Anchovies, Green Olives, Red Onions, Garlic"/>
    <x v="5"/>
  </r>
  <r>
    <n v="29353"/>
    <n v="12964"/>
    <n v="1"/>
    <s v="hawaiian_l"/>
    <n v="1"/>
    <x v="87"/>
    <x v="2"/>
    <x v="2497"/>
    <n v="16.5"/>
    <n v="16.5"/>
    <x v="2"/>
    <x v="0"/>
    <s v="Sliced Ham, Pineapple, Mozzarella Cheese"/>
    <x v="0"/>
  </r>
  <r>
    <n v="29356"/>
    <n v="12966"/>
    <n v="1"/>
    <s v="brie_carre_s"/>
    <n v="1"/>
    <x v="87"/>
    <x v="2"/>
    <x v="2498"/>
    <n v="23.65"/>
    <n v="23.65"/>
    <x v="1"/>
    <x v="2"/>
    <s v="Brie Carre Cheese, Prosciutto, Caramelized Onions, Pears, Thyme, Garlic"/>
    <x v="8"/>
  </r>
  <r>
    <n v="29363"/>
    <n v="12970"/>
    <n v="1"/>
    <s v="calabrese_l"/>
    <n v="1"/>
    <x v="88"/>
    <x v="3"/>
    <x v="2499"/>
    <n v="20.25"/>
    <n v="20.25"/>
    <x v="2"/>
    <x v="2"/>
    <s v="?duja Salami, Pancetta, Tomatoes, Red Onions, Friggitello Peppers, Garlic"/>
    <x v="6"/>
  </r>
  <r>
    <n v="29364"/>
    <n v="12971"/>
    <n v="1"/>
    <s v="hawaiian_m"/>
    <n v="1"/>
    <x v="88"/>
    <x v="3"/>
    <x v="2500"/>
    <n v="13.25"/>
    <n v="13.25"/>
    <x v="0"/>
    <x v="0"/>
    <s v="Sliced Ham, Pineapple, Mozzarella Cheese"/>
    <x v="0"/>
  </r>
  <r>
    <n v="29366"/>
    <n v="12973"/>
    <n v="1"/>
    <s v="hawaiian_m"/>
    <n v="1"/>
    <x v="88"/>
    <x v="3"/>
    <x v="2501"/>
    <n v="13.25"/>
    <n v="13.25"/>
    <x v="0"/>
    <x v="0"/>
    <s v="Sliced Ham, Pineapple, Mozzarella Cheese"/>
    <x v="0"/>
  </r>
  <r>
    <n v="29370"/>
    <n v="12975"/>
    <n v="1"/>
    <s v="hawaiian_s"/>
    <n v="1"/>
    <x v="88"/>
    <x v="3"/>
    <x v="2502"/>
    <n v="10.5"/>
    <n v="10.5"/>
    <x v="1"/>
    <x v="0"/>
    <s v="Sliced Ham, Pineapple, Mozzarella Cheese"/>
    <x v="0"/>
  </r>
  <r>
    <n v="29372"/>
    <n v="12976"/>
    <n v="1"/>
    <s v="pepperoni_m"/>
    <n v="1"/>
    <x v="88"/>
    <x v="3"/>
    <x v="2503"/>
    <n v="12.5"/>
    <n v="12.5"/>
    <x v="0"/>
    <x v="0"/>
    <s v="Mozzarella Cheese, Pepperoni"/>
    <x v="3"/>
  </r>
  <r>
    <n v="29375"/>
    <n v="12978"/>
    <n v="1"/>
    <s v="sicilian_s"/>
    <n v="1"/>
    <x v="88"/>
    <x v="3"/>
    <x v="2504"/>
    <n v="12.25"/>
    <n v="12.25"/>
    <x v="1"/>
    <x v="2"/>
    <s v="Coarse Sicilian Salami, Tomatoes, Green Olives, Luganega Sausage, Onions, Garlic"/>
    <x v="7"/>
  </r>
  <r>
    <n v="29377"/>
    <n v="12980"/>
    <n v="0.25"/>
    <s v="big_meat_s"/>
    <n v="1"/>
    <x v="88"/>
    <x v="3"/>
    <x v="2505"/>
    <n v="12"/>
    <n v="12"/>
    <x v="1"/>
    <x v="0"/>
    <s v="Bacon, Pepperoni, Italian Sausage, Chorizo Sausage"/>
    <x v="4"/>
  </r>
  <r>
    <n v="29378"/>
    <n v="12980"/>
    <n v="0.25"/>
    <s v="calabrese_l"/>
    <n v="1"/>
    <x v="88"/>
    <x v="3"/>
    <x v="2505"/>
    <n v="20.25"/>
    <n v="20.25"/>
    <x v="2"/>
    <x v="2"/>
    <s v="?duja Salami, Pancetta, Tomatoes, Red Onions, Friggitello Peppers, Garlic"/>
    <x v="6"/>
  </r>
  <r>
    <n v="29381"/>
    <n v="12980"/>
    <n v="0.25"/>
    <s v="hawaiian_s"/>
    <n v="1"/>
    <x v="88"/>
    <x v="3"/>
    <x v="2505"/>
    <n v="10.5"/>
    <n v="10.5"/>
    <x v="1"/>
    <x v="0"/>
    <s v="Sliced Ham, Pineapple, Mozzarella Cheese"/>
    <x v="0"/>
  </r>
  <r>
    <n v="29382"/>
    <n v="12980"/>
    <n v="0.25"/>
    <s v="pepperoni_s"/>
    <n v="1"/>
    <x v="88"/>
    <x v="3"/>
    <x v="2505"/>
    <n v="9.75"/>
    <n v="9.75"/>
    <x v="1"/>
    <x v="0"/>
    <s v="Mozzarella Cheese, Pepperoni"/>
    <x v="3"/>
  </r>
  <r>
    <n v="29388"/>
    <n v="12981"/>
    <n v="1"/>
    <s v="calabrese_l"/>
    <n v="1"/>
    <x v="88"/>
    <x v="3"/>
    <x v="2506"/>
    <n v="20.25"/>
    <n v="20.25"/>
    <x v="2"/>
    <x v="2"/>
    <s v="?duja Salami, Pancetta, Tomatoes, Red Onions, Friggitello Peppers, Garlic"/>
    <x v="6"/>
  </r>
  <r>
    <n v="29393"/>
    <n v="12984"/>
    <n v="1"/>
    <s v="hawaiian_m"/>
    <n v="1"/>
    <x v="88"/>
    <x v="3"/>
    <x v="2507"/>
    <n v="13.25"/>
    <n v="13.25"/>
    <x v="0"/>
    <x v="0"/>
    <s v="Sliced Ham, Pineapple, Mozzarella Cheese"/>
    <x v="0"/>
  </r>
  <r>
    <n v="29397"/>
    <n v="12987"/>
    <n v="0.5"/>
    <s v="pepperoni_s"/>
    <n v="1"/>
    <x v="88"/>
    <x v="3"/>
    <x v="2508"/>
    <n v="9.75"/>
    <n v="9.75"/>
    <x v="1"/>
    <x v="0"/>
    <s v="Mozzarella Cheese, Pepperoni"/>
    <x v="3"/>
  </r>
  <r>
    <n v="29398"/>
    <n v="12987"/>
    <n v="0.5"/>
    <s v="sicilian_l"/>
    <n v="1"/>
    <x v="88"/>
    <x v="3"/>
    <x v="2508"/>
    <n v="20.25"/>
    <n v="20.25"/>
    <x v="2"/>
    <x v="2"/>
    <s v="Coarse Sicilian Salami, Tomatoes, Green Olives, Luganega Sausage, Onions, Garlic"/>
    <x v="7"/>
  </r>
  <r>
    <n v="29399"/>
    <n v="12988"/>
    <n v="1"/>
    <s v="hawaiian_s"/>
    <n v="1"/>
    <x v="88"/>
    <x v="3"/>
    <x v="2509"/>
    <n v="10.5"/>
    <n v="10.5"/>
    <x v="1"/>
    <x v="0"/>
    <s v="Sliced Ham, Pineapple, Mozzarella Cheese"/>
    <x v="0"/>
  </r>
  <r>
    <n v="29412"/>
    <n v="12993"/>
    <n v="0.5"/>
    <s v="mexicana_m"/>
    <n v="1"/>
    <x v="88"/>
    <x v="3"/>
    <x v="2510"/>
    <n v="16"/>
    <n v="16"/>
    <x v="0"/>
    <x v="1"/>
    <s v="Tomatoes, Red Peppers, Jalapeno Peppers, Red Onions, Cilantro, Corn, Chipotle Sauce, Garlic"/>
    <x v="1"/>
  </r>
  <r>
    <n v="29413"/>
    <n v="12993"/>
    <n v="0.5"/>
    <s v="pepperoni_m"/>
    <n v="1"/>
    <x v="88"/>
    <x v="3"/>
    <x v="2510"/>
    <n v="12.5"/>
    <n v="12.5"/>
    <x v="0"/>
    <x v="0"/>
    <s v="Mozzarella Cheese, Pepperoni"/>
    <x v="3"/>
  </r>
  <r>
    <n v="29417"/>
    <n v="12994"/>
    <n v="1"/>
    <s v="hawaiian_l"/>
    <n v="1"/>
    <x v="88"/>
    <x v="3"/>
    <x v="2511"/>
    <n v="16.5"/>
    <n v="16.5"/>
    <x v="2"/>
    <x v="0"/>
    <s v="Sliced Ham, Pineapple, Mozzarella Cheese"/>
    <x v="0"/>
  </r>
  <r>
    <n v="29418"/>
    <n v="12995"/>
    <n v="1"/>
    <s v="big_meat_s"/>
    <n v="1"/>
    <x v="88"/>
    <x v="3"/>
    <x v="2512"/>
    <n v="12"/>
    <n v="12"/>
    <x v="1"/>
    <x v="0"/>
    <s v="Bacon, Pepperoni, Italian Sausage, Chorizo Sausage"/>
    <x v="4"/>
  </r>
  <r>
    <n v="29421"/>
    <n v="12998"/>
    <n v="1"/>
    <s v="big_meat_s"/>
    <n v="1"/>
    <x v="88"/>
    <x v="3"/>
    <x v="2513"/>
    <n v="12"/>
    <n v="12"/>
    <x v="1"/>
    <x v="0"/>
    <s v="Bacon, Pepperoni, Italian Sausage, Chorizo Sausage"/>
    <x v="4"/>
  </r>
  <r>
    <n v="29426"/>
    <n v="12999"/>
    <n v="1"/>
    <s v="pepperoni_s"/>
    <n v="1"/>
    <x v="88"/>
    <x v="3"/>
    <x v="2514"/>
    <n v="9.75"/>
    <n v="9.75"/>
    <x v="1"/>
    <x v="0"/>
    <s v="Mozzarella Cheese, Pepperoni"/>
    <x v="3"/>
  </r>
  <r>
    <n v="29428"/>
    <n v="13001"/>
    <n v="1"/>
    <s v="big_meat_s"/>
    <n v="1"/>
    <x v="88"/>
    <x v="3"/>
    <x v="2515"/>
    <n v="12"/>
    <n v="12"/>
    <x v="1"/>
    <x v="0"/>
    <s v="Bacon, Pepperoni, Italian Sausage, Chorizo Sausage"/>
    <x v="4"/>
  </r>
  <r>
    <n v="29446"/>
    <n v="13009"/>
    <n v="1"/>
    <s v="big_meat_s"/>
    <n v="1"/>
    <x v="88"/>
    <x v="3"/>
    <x v="2516"/>
    <n v="12"/>
    <n v="12"/>
    <x v="1"/>
    <x v="0"/>
    <s v="Bacon, Pepperoni, Italian Sausage, Chorizo Sausage"/>
    <x v="4"/>
  </r>
  <r>
    <n v="29448"/>
    <n v="13010"/>
    <n v="1"/>
    <s v="pepperoni_s"/>
    <n v="1"/>
    <x v="88"/>
    <x v="3"/>
    <x v="1104"/>
    <n v="9.75"/>
    <n v="9.75"/>
    <x v="1"/>
    <x v="0"/>
    <s v="Mozzarella Cheese, Pepperoni"/>
    <x v="3"/>
  </r>
  <r>
    <n v="29450"/>
    <n v="13011"/>
    <n v="0.5"/>
    <s v="calabrese_l"/>
    <n v="1"/>
    <x v="88"/>
    <x v="3"/>
    <x v="2517"/>
    <n v="20.25"/>
    <n v="20.25"/>
    <x v="2"/>
    <x v="2"/>
    <s v="?duja Salami, Pancetta, Tomatoes, Red Onions, Friggitello Peppers, Garlic"/>
    <x v="6"/>
  </r>
  <r>
    <n v="29451"/>
    <n v="13011"/>
    <n v="0.5"/>
    <s v="pepperoni_s"/>
    <n v="1"/>
    <x v="88"/>
    <x v="3"/>
    <x v="2517"/>
    <n v="9.75"/>
    <n v="9.75"/>
    <x v="1"/>
    <x v="0"/>
    <s v="Mozzarella Cheese, Pepperoni"/>
    <x v="3"/>
  </r>
  <r>
    <n v="29453"/>
    <n v="13013"/>
    <n v="0.5"/>
    <s v="big_meat_s"/>
    <n v="1"/>
    <x v="88"/>
    <x v="3"/>
    <x v="2518"/>
    <n v="12"/>
    <n v="12"/>
    <x v="1"/>
    <x v="0"/>
    <s v="Bacon, Pepperoni, Italian Sausage, Chorizo Sausage"/>
    <x v="4"/>
  </r>
  <r>
    <n v="29455"/>
    <n v="13013"/>
    <n v="0.5"/>
    <s v="hawaiian_s"/>
    <n v="1"/>
    <x v="88"/>
    <x v="3"/>
    <x v="2518"/>
    <n v="10.5"/>
    <n v="10.5"/>
    <x v="1"/>
    <x v="0"/>
    <s v="Sliced Ham, Pineapple, Mozzarella Cheese"/>
    <x v="0"/>
  </r>
  <r>
    <n v="29459"/>
    <n v="13014"/>
    <n v="1"/>
    <s v="the_greek_l"/>
    <n v="1"/>
    <x v="88"/>
    <x v="3"/>
    <x v="2519"/>
    <n v="20.5"/>
    <n v="20.5"/>
    <x v="2"/>
    <x v="0"/>
    <s v="Kalamata Olives, Feta Cheese, Tomatoes, Garlic, Beef Chuck Roast, Red Onions"/>
    <x v="2"/>
  </r>
  <r>
    <n v="29465"/>
    <n v="13018"/>
    <n v="1"/>
    <s v="hawaiian_l"/>
    <n v="1"/>
    <x v="88"/>
    <x v="3"/>
    <x v="2520"/>
    <n v="16.5"/>
    <n v="16.5"/>
    <x v="2"/>
    <x v="0"/>
    <s v="Sliced Ham, Pineapple, Mozzarella Cheese"/>
    <x v="0"/>
  </r>
  <r>
    <n v="29469"/>
    <n v="13020"/>
    <n v="0.5"/>
    <s v="big_meat_s"/>
    <n v="1"/>
    <x v="88"/>
    <x v="3"/>
    <x v="2521"/>
    <n v="12"/>
    <n v="12"/>
    <x v="1"/>
    <x v="0"/>
    <s v="Bacon, Pepperoni, Italian Sausage, Chorizo Sausage"/>
    <x v="4"/>
  </r>
  <r>
    <n v="29470"/>
    <n v="13020"/>
    <n v="0.5"/>
    <s v="hawaiian_m"/>
    <n v="1"/>
    <x v="88"/>
    <x v="3"/>
    <x v="2521"/>
    <n v="13.25"/>
    <n v="13.25"/>
    <x v="0"/>
    <x v="0"/>
    <s v="Sliced Ham, Pineapple, Mozzarella Cheese"/>
    <x v="0"/>
  </r>
  <r>
    <n v="29472"/>
    <n v="13021"/>
    <n v="1"/>
    <s v="napolitana_l"/>
    <n v="1"/>
    <x v="88"/>
    <x v="3"/>
    <x v="2522"/>
    <n v="20.5"/>
    <n v="20.5"/>
    <x v="2"/>
    <x v="0"/>
    <s v="Tomatoes, Anchovies, Green Olives, Red Onions, Garlic"/>
    <x v="5"/>
  </r>
  <r>
    <n v="29475"/>
    <n v="13022"/>
    <n v="0.5"/>
    <s v="mexicana_l"/>
    <n v="1"/>
    <x v="88"/>
    <x v="3"/>
    <x v="2523"/>
    <n v="20.25"/>
    <n v="20.25"/>
    <x v="2"/>
    <x v="1"/>
    <s v="Tomatoes, Red Peppers, Jalapeno Peppers, Red Onions, Cilantro, Corn, Chipotle Sauce, Garlic"/>
    <x v="1"/>
  </r>
  <r>
    <n v="29476"/>
    <n v="13022"/>
    <n v="0.5"/>
    <s v="mexicana_m"/>
    <n v="1"/>
    <x v="88"/>
    <x v="3"/>
    <x v="2523"/>
    <n v="16"/>
    <n v="16"/>
    <x v="0"/>
    <x v="1"/>
    <s v="Tomatoes, Red Peppers, Jalapeno Peppers, Red Onions, Cilantro, Corn, Chipotle Sauce, Garlic"/>
    <x v="1"/>
  </r>
  <r>
    <n v="29478"/>
    <n v="13023"/>
    <n v="1"/>
    <s v="hawaiian_m"/>
    <n v="1"/>
    <x v="88"/>
    <x v="3"/>
    <x v="2524"/>
    <n v="13.25"/>
    <n v="13.25"/>
    <x v="0"/>
    <x v="0"/>
    <s v="Sliced Ham, Pineapple, Mozzarella Cheese"/>
    <x v="0"/>
  </r>
  <r>
    <n v="29485"/>
    <n v="13027"/>
    <n v="1"/>
    <s v="mexicana_l"/>
    <n v="1"/>
    <x v="88"/>
    <x v="3"/>
    <x v="2525"/>
    <n v="20.25"/>
    <n v="20.25"/>
    <x v="2"/>
    <x v="1"/>
    <s v="Tomatoes, Red Peppers, Jalapeno Peppers, Red Onions, Cilantro, Corn, Chipotle Sauce, Garlic"/>
    <x v="1"/>
  </r>
  <r>
    <n v="29487"/>
    <n v="13028"/>
    <n v="0.5"/>
    <s v="mexicana_m"/>
    <n v="1"/>
    <x v="88"/>
    <x v="3"/>
    <x v="2526"/>
    <n v="16"/>
    <n v="16"/>
    <x v="0"/>
    <x v="1"/>
    <s v="Tomatoes, Red Peppers, Jalapeno Peppers, Red Onions, Cilantro, Corn, Chipotle Sauce, Garlic"/>
    <x v="1"/>
  </r>
  <r>
    <n v="29488"/>
    <n v="13028"/>
    <n v="0.5"/>
    <s v="napolitana_l"/>
    <n v="1"/>
    <x v="88"/>
    <x v="3"/>
    <x v="2526"/>
    <n v="20.5"/>
    <n v="20.5"/>
    <x v="2"/>
    <x v="0"/>
    <s v="Tomatoes, Anchovies, Green Olives, Red Onions, Garlic"/>
    <x v="5"/>
  </r>
  <r>
    <n v="29489"/>
    <n v="13029"/>
    <n v="0.5"/>
    <s v="big_meat_s"/>
    <n v="1"/>
    <x v="89"/>
    <x v="4"/>
    <x v="2527"/>
    <n v="12"/>
    <n v="12"/>
    <x v="1"/>
    <x v="0"/>
    <s v="Bacon, Pepperoni, Italian Sausage, Chorizo Sausage"/>
    <x v="4"/>
  </r>
  <r>
    <n v="29491"/>
    <n v="13029"/>
    <n v="0.5"/>
    <s v="hawaiian_l"/>
    <n v="1"/>
    <x v="89"/>
    <x v="4"/>
    <x v="2527"/>
    <n v="16.5"/>
    <n v="16.5"/>
    <x v="2"/>
    <x v="0"/>
    <s v="Sliced Ham, Pineapple, Mozzarella Cheese"/>
    <x v="0"/>
  </r>
  <r>
    <n v="29493"/>
    <n v="13030"/>
    <n v="1"/>
    <s v="sicilian_s"/>
    <n v="1"/>
    <x v="89"/>
    <x v="4"/>
    <x v="2528"/>
    <n v="12.25"/>
    <n v="12.25"/>
    <x v="1"/>
    <x v="2"/>
    <s v="Coarse Sicilian Salami, Tomatoes, Green Olives, Luganega Sausage, Onions, Garlic"/>
    <x v="7"/>
  </r>
  <r>
    <n v="29495"/>
    <n v="13031"/>
    <n v="1"/>
    <s v="hawaiian_s"/>
    <n v="1"/>
    <x v="89"/>
    <x v="4"/>
    <x v="684"/>
    <n v="10.5"/>
    <n v="10.5"/>
    <x v="1"/>
    <x v="0"/>
    <s v="Sliced Ham, Pineapple, Mozzarella Cheese"/>
    <x v="0"/>
  </r>
  <r>
    <n v="29498"/>
    <n v="13032"/>
    <n v="1"/>
    <s v="hawaiian_l"/>
    <n v="1"/>
    <x v="89"/>
    <x v="4"/>
    <x v="2529"/>
    <n v="16.5"/>
    <n v="16.5"/>
    <x v="2"/>
    <x v="0"/>
    <s v="Sliced Ham, Pineapple, Mozzarella Cheese"/>
    <x v="0"/>
  </r>
  <r>
    <n v="29500"/>
    <n v="13033"/>
    <n v="1"/>
    <s v="pepperoni_s"/>
    <n v="1"/>
    <x v="89"/>
    <x v="4"/>
    <x v="2530"/>
    <n v="9.75"/>
    <n v="9.75"/>
    <x v="1"/>
    <x v="0"/>
    <s v="Mozzarella Cheese, Pepperoni"/>
    <x v="3"/>
  </r>
  <r>
    <n v="29501"/>
    <n v="13034"/>
    <n v="0.5"/>
    <s v="big_meat_s"/>
    <n v="1"/>
    <x v="89"/>
    <x v="4"/>
    <x v="2296"/>
    <n v="12"/>
    <n v="12"/>
    <x v="1"/>
    <x v="0"/>
    <s v="Bacon, Pepperoni, Italian Sausage, Chorizo Sausage"/>
    <x v="4"/>
  </r>
  <r>
    <n v="29502"/>
    <n v="13034"/>
    <n v="0.5"/>
    <s v="sicilian_s"/>
    <n v="1"/>
    <x v="89"/>
    <x v="4"/>
    <x v="2296"/>
    <n v="12.25"/>
    <n v="12.25"/>
    <x v="1"/>
    <x v="2"/>
    <s v="Coarse Sicilian Salami, Tomatoes, Green Olives, Luganega Sausage, Onions, Garlic"/>
    <x v="7"/>
  </r>
  <r>
    <n v="29503"/>
    <n v="13035"/>
    <n v="1"/>
    <s v="big_meat_s"/>
    <n v="1"/>
    <x v="89"/>
    <x v="4"/>
    <x v="2531"/>
    <n v="12"/>
    <n v="12"/>
    <x v="1"/>
    <x v="0"/>
    <s v="Bacon, Pepperoni, Italian Sausage, Chorizo Sausage"/>
    <x v="4"/>
  </r>
  <r>
    <n v="29506"/>
    <n v="13036"/>
    <n v="0.5"/>
    <s v="napolitana_m"/>
    <n v="1"/>
    <x v="89"/>
    <x v="4"/>
    <x v="2532"/>
    <n v="16"/>
    <n v="16"/>
    <x v="0"/>
    <x v="0"/>
    <s v="Tomatoes, Anchovies, Green Olives, Red Onions, Garlic"/>
    <x v="5"/>
  </r>
  <r>
    <n v="29507"/>
    <n v="13036"/>
    <n v="0.5"/>
    <s v="napolitana_s"/>
    <n v="1"/>
    <x v="89"/>
    <x v="4"/>
    <x v="2532"/>
    <n v="12"/>
    <n v="12"/>
    <x v="1"/>
    <x v="0"/>
    <s v="Tomatoes, Anchovies, Green Olives, Red Onions, Garlic"/>
    <x v="5"/>
  </r>
  <r>
    <n v="29514"/>
    <n v="13039"/>
    <n v="0.5"/>
    <s v="calabrese_m"/>
    <n v="1"/>
    <x v="89"/>
    <x v="4"/>
    <x v="2533"/>
    <n v="16.25"/>
    <n v="16.25"/>
    <x v="0"/>
    <x v="2"/>
    <s v="?duja Salami, Pancetta, Tomatoes, Red Onions, Friggitello Peppers, Garlic"/>
    <x v="6"/>
  </r>
  <r>
    <n v="29515"/>
    <n v="13039"/>
    <n v="0.5"/>
    <s v="pepperoni_m"/>
    <n v="1"/>
    <x v="89"/>
    <x v="4"/>
    <x v="2533"/>
    <n v="12.5"/>
    <n v="12.5"/>
    <x v="0"/>
    <x v="0"/>
    <s v="Mozzarella Cheese, Pepperoni"/>
    <x v="3"/>
  </r>
  <r>
    <n v="29518"/>
    <n v="13041"/>
    <n v="1"/>
    <s v="hawaiian_s"/>
    <n v="1"/>
    <x v="89"/>
    <x v="4"/>
    <x v="2534"/>
    <n v="10.5"/>
    <n v="10.5"/>
    <x v="1"/>
    <x v="0"/>
    <s v="Sliced Ham, Pineapple, Mozzarella Cheese"/>
    <x v="0"/>
  </r>
  <r>
    <n v="29519"/>
    <n v="13042"/>
    <n v="1"/>
    <s v="big_meat_s"/>
    <n v="1"/>
    <x v="89"/>
    <x v="4"/>
    <x v="2535"/>
    <n v="12"/>
    <n v="12"/>
    <x v="1"/>
    <x v="0"/>
    <s v="Bacon, Pepperoni, Italian Sausage, Chorizo Sausage"/>
    <x v="4"/>
  </r>
  <r>
    <n v="29525"/>
    <n v="13045"/>
    <n v="1"/>
    <s v="napolitana_l"/>
    <n v="1"/>
    <x v="89"/>
    <x v="4"/>
    <x v="2536"/>
    <n v="20.5"/>
    <n v="20.5"/>
    <x v="2"/>
    <x v="0"/>
    <s v="Tomatoes, Anchovies, Green Olives, Red Onions, Garlic"/>
    <x v="5"/>
  </r>
  <r>
    <n v="29526"/>
    <n v="13046"/>
    <n v="1"/>
    <s v="mexicana_m"/>
    <n v="1"/>
    <x v="89"/>
    <x v="4"/>
    <x v="2537"/>
    <n v="16"/>
    <n v="16"/>
    <x v="0"/>
    <x v="1"/>
    <s v="Tomatoes, Red Peppers, Jalapeno Peppers, Red Onions, Cilantro, Corn, Chipotle Sauce, Garlic"/>
    <x v="1"/>
  </r>
  <r>
    <n v="29531"/>
    <n v="13048"/>
    <n v="1"/>
    <s v="the_greek_s"/>
    <n v="1"/>
    <x v="89"/>
    <x v="4"/>
    <x v="2538"/>
    <n v="12"/>
    <n v="12"/>
    <x v="1"/>
    <x v="0"/>
    <s v="Kalamata Olives, Feta Cheese, Tomatoes, Garlic, Beef Chuck Roast, Red Onions"/>
    <x v="2"/>
  </r>
  <r>
    <n v="29533"/>
    <n v="13050"/>
    <n v="1"/>
    <s v="napolitana_m"/>
    <n v="1"/>
    <x v="89"/>
    <x v="4"/>
    <x v="2539"/>
    <n v="16"/>
    <n v="16"/>
    <x v="0"/>
    <x v="0"/>
    <s v="Tomatoes, Anchovies, Green Olives, Red Onions, Garlic"/>
    <x v="5"/>
  </r>
  <r>
    <n v="29536"/>
    <n v="13052"/>
    <n v="0.5"/>
    <s v="big_meat_s"/>
    <n v="1"/>
    <x v="89"/>
    <x v="4"/>
    <x v="2540"/>
    <n v="12"/>
    <n v="12"/>
    <x v="1"/>
    <x v="0"/>
    <s v="Bacon, Pepperoni, Italian Sausage, Chorizo Sausage"/>
    <x v="4"/>
  </r>
  <r>
    <n v="29537"/>
    <n v="13052"/>
    <n v="0.5"/>
    <s v="brie_carre_s"/>
    <n v="1"/>
    <x v="89"/>
    <x v="4"/>
    <x v="2540"/>
    <n v="23.65"/>
    <n v="23.65"/>
    <x v="1"/>
    <x v="2"/>
    <s v="Brie Carre Cheese, Prosciutto, Caramelized Onions, Pears, Thyme, Garlic"/>
    <x v="8"/>
  </r>
  <r>
    <n v="29542"/>
    <n v="13053"/>
    <n v="1"/>
    <s v="napolitana_l"/>
    <n v="1"/>
    <x v="89"/>
    <x v="4"/>
    <x v="992"/>
    <n v="20.5"/>
    <n v="20.5"/>
    <x v="2"/>
    <x v="0"/>
    <s v="Tomatoes, Anchovies, Green Olives, Red Onions, Garlic"/>
    <x v="5"/>
  </r>
  <r>
    <n v="29546"/>
    <n v="13054"/>
    <n v="0.33333333333333331"/>
    <s v="hawaiian_l"/>
    <n v="1"/>
    <x v="89"/>
    <x v="4"/>
    <x v="2541"/>
    <n v="16.5"/>
    <n v="16.5"/>
    <x v="2"/>
    <x v="0"/>
    <s v="Sliced Ham, Pineapple, Mozzarella Cheese"/>
    <x v="0"/>
  </r>
  <r>
    <n v="29548"/>
    <n v="13054"/>
    <n v="0.33333333333333331"/>
    <s v="pepperoni_m"/>
    <n v="1"/>
    <x v="89"/>
    <x v="4"/>
    <x v="2541"/>
    <n v="12.5"/>
    <n v="12.5"/>
    <x v="0"/>
    <x v="0"/>
    <s v="Mozzarella Cheese, Pepperoni"/>
    <x v="3"/>
  </r>
  <r>
    <n v="29549"/>
    <n v="13054"/>
    <n v="0.33333333333333331"/>
    <s v="sicilian_m"/>
    <n v="1"/>
    <x v="89"/>
    <x v="4"/>
    <x v="2541"/>
    <n v="16.25"/>
    <n v="16.25"/>
    <x v="0"/>
    <x v="2"/>
    <s v="Coarse Sicilian Salami, Tomatoes, Green Olives, Luganega Sausage, Onions, Garlic"/>
    <x v="7"/>
  </r>
  <r>
    <n v="29554"/>
    <n v="13057"/>
    <n v="1"/>
    <s v="big_meat_s"/>
    <n v="1"/>
    <x v="89"/>
    <x v="4"/>
    <x v="2542"/>
    <n v="12"/>
    <n v="12"/>
    <x v="1"/>
    <x v="0"/>
    <s v="Bacon, Pepperoni, Italian Sausage, Chorizo Sausage"/>
    <x v="4"/>
  </r>
  <r>
    <n v="29557"/>
    <n v="13058"/>
    <n v="1"/>
    <s v="hawaiian_l"/>
    <n v="1"/>
    <x v="89"/>
    <x v="4"/>
    <x v="2543"/>
    <n v="16.5"/>
    <n v="16.5"/>
    <x v="2"/>
    <x v="0"/>
    <s v="Sliced Ham, Pineapple, Mozzarella Cheese"/>
    <x v="0"/>
  </r>
  <r>
    <n v="29562"/>
    <n v="13061"/>
    <n v="1"/>
    <s v="pepperoni_l"/>
    <n v="1"/>
    <x v="89"/>
    <x v="4"/>
    <x v="2544"/>
    <n v="15.25"/>
    <n v="15.25"/>
    <x v="2"/>
    <x v="0"/>
    <s v="Mozzarella Cheese, Pepperoni"/>
    <x v="3"/>
  </r>
  <r>
    <n v="29575"/>
    <n v="13068"/>
    <n v="1"/>
    <s v="sicilian_s"/>
    <n v="1"/>
    <x v="89"/>
    <x v="4"/>
    <x v="2440"/>
    <n v="12.25"/>
    <n v="12.25"/>
    <x v="1"/>
    <x v="2"/>
    <s v="Coarse Sicilian Salami, Tomatoes, Green Olives, Luganega Sausage, Onions, Garlic"/>
    <x v="7"/>
  </r>
  <r>
    <n v="29583"/>
    <n v="13071"/>
    <n v="1"/>
    <s v="sicilian_m"/>
    <n v="1"/>
    <x v="89"/>
    <x v="4"/>
    <x v="2545"/>
    <n v="16.25"/>
    <n v="16.25"/>
    <x v="0"/>
    <x v="2"/>
    <s v="Coarse Sicilian Salami, Tomatoes, Green Olives, Luganega Sausage, Onions, Garlic"/>
    <x v="7"/>
  </r>
  <r>
    <n v="29586"/>
    <n v="13073"/>
    <n v="1"/>
    <s v="the_greek_xl"/>
    <n v="1"/>
    <x v="89"/>
    <x v="4"/>
    <x v="2546"/>
    <n v="25.5"/>
    <n v="25.5"/>
    <x v="3"/>
    <x v="0"/>
    <s v="Kalamata Olives, Feta Cheese, Tomatoes, Garlic, Beef Chuck Roast, Red Onions"/>
    <x v="2"/>
  </r>
  <r>
    <n v="29588"/>
    <n v="13074"/>
    <n v="1"/>
    <s v="mexicana_m"/>
    <n v="1"/>
    <x v="89"/>
    <x v="4"/>
    <x v="2547"/>
    <n v="16"/>
    <n v="16"/>
    <x v="0"/>
    <x v="1"/>
    <s v="Tomatoes, Red Peppers, Jalapeno Peppers, Red Onions, Cilantro, Corn, Chipotle Sauce, Garlic"/>
    <x v="1"/>
  </r>
  <r>
    <n v="29589"/>
    <n v="13075"/>
    <n v="1"/>
    <s v="calabrese_m"/>
    <n v="1"/>
    <x v="89"/>
    <x v="4"/>
    <x v="2548"/>
    <n v="16.25"/>
    <n v="16.25"/>
    <x v="0"/>
    <x v="2"/>
    <s v="?duja Salami, Pancetta, Tomatoes, Red Onions, Friggitello Peppers, Garlic"/>
    <x v="6"/>
  </r>
  <r>
    <n v="29595"/>
    <n v="13077"/>
    <n v="1"/>
    <s v="hawaiian_m"/>
    <n v="1"/>
    <x v="89"/>
    <x v="4"/>
    <x v="2549"/>
    <n v="13.25"/>
    <n v="13.25"/>
    <x v="0"/>
    <x v="0"/>
    <s v="Sliced Ham, Pineapple, Mozzarella Cheese"/>
    <x v="0"/>
  </r>
  <r>
    <n v="29597"/>
    <n v="13078"/>
    <n v="1"/>
    <s v="hawaiian_l"/>
    <n v="1"/>
    <x v="89"/>
    <x v="4"/>
    <x v="2550"/>
    <n v="16.5"/>
    <n v="16.5"/>
    <x v="2"/>
    <x v="0"/>
    <s v="Sliced Ham, Pineapple, Mozzarella Cheese"/>
    <x v="0"/>
  </r>
  <r>
    <n v="29603"/>
    <n v="13080"/>
    <n v="0.5"/>
    <s v="mexicana_l"/>
    <n v="1"/>
    <x v="89"/>
    <x v="4"/>
    <x v="2551"/>
    <n v="20.25"/>
    <n v="20.25"/>
    <x v="2"/>
    <x v="1"/>
    <s v="Tomatoes, Red Peppers, Jalapeno Peppers, Red Onions, Cilantro, Corn, Chipotle Sauce, Garlic"/>
    <x v="1"/>
  </r>
  <r>
    <n v="29604"/>
    <n v="13080"/>
    <n v="0.5"/>
    <s v="pepperoni_l"/>
    <n v="1"/>
    <x v="89"/>
    <x v="4"/>
    <x v="2551"/>
    <n v="15.25"/>
    <n v="15.25"/>
    <x v="2"/>
    <x v="0"/>
    <s v="Mozzarella Cheese, Pepperoni"/>
    <x v="3"/>
  </r>
  <r>
    <n v="29607"/>
    <n v="13082"/>
    <n v="1"/>
    <s v="calabrese_m"/>
    <n v="1"/>
    <x v="89"/>
    <x v="4"/>
    <x v="211"/>
    <n v="16.25"/>
    <n v="16.25"/>
    <x v="0"/>
    <x v="2"/>
    <s v="?duja Salami, Pancetta, Tomatoes, Red Onions, Friggitello Peppers, Garlic"/>
    <x v="6"/>
  </r>
  <r>
    <n v="29609"/>
    <n v="13083"/>
    <n v="1"/>
    <s v="napolitana_l"/>
    <n v="1"/>
    <x v="89"/>
    <x v="4"/>
    <x v="2552"/>
    <n v="20.5"/>
    <n v="20.5"/>
    <x v="2"/>
    <x v="0"/>
    <s v="Tomatoes, Anchovies, Green Olives, Red Onions, Garlic"/>
    <x v="5"/>
  </r>
  <r>
    <n v="29610"/>
    <n v="13084"/>
    <n v="0.5"/>
    <s v="big_meat_s"/>
    <n v="1"/>
    <x v="89"/>
    <x v="4"/>
    <x v="2553"/>
    <n v="12"/>
    <n v="12"/>
    <x v="1"/>
    <x v="0"/>
    <s v="Bacon, Pepperoni, Italian Sausage, Chorizo Sausage"/>
    <x v="4"/>
  </r>
  <r>
    <n v="29613"/>
    <n v="13084"/>
    <n v="0.5"/>
    <s v="sicilian_s"/>
    <n v="1"/>
    <x v="89"/>
    <x v="4"/>
    <x v="2553"/>
    <n v="12.25"/>
    <n v="12.25"/>
    <x v="1"/>
    <x v="2"/>
    <s v="Coarse Sicilian Salami, Tomatoes, Green Olives, Luganega Sausage, Onions, Garlic"/>
    <x v="7"/>
  </r>
  <r>
    <n v="29617"/>
    <n v="13086"/>
    <n v="1"/>
    <s v="napolitana_l"/>
    <n v="1"/>
    <x v="89"/>
    <x v="4"/>
    <x v="2554"/>
    <n v="20.5"/>
    <n v="20.5"/>
    <x v="2"/>
    <x v="0"/>
    <s v="Tomatoes, Anchovies, Green Olives, Red Onions, Garlic"/>
    <x v="5"/>
  </r>
  <r>
    <n v="29619"/>
    <n v="13088"/>
    <n v="1"/>
    <s v="mexicana_m"/>
    <n v="1"/>
    <x v="89"/>
    <x v="4"/>
    <x v="2555"/>
    <n v="16"/>
    <n v="16"/>
    <x v="0"/>
    <x v="1"/>
    <s v="Tomatoes, Red Peppers, Jalapeno Peppers, Red Onions, Cilantro, Corn, Chipotle Sauce, Garlic"/>
    <x v="1"/>
  </r>
  <r>
    <n v="29621"/>
    <n v="13090"/>
    <n v="1"/>
    <s v="pepperoni_m"/>
    <n v="1"/>
    <x v="90"/>
    <x v="2"/>
    <x v="2556"/>
    <n v="12.5"/>
    <n v="12.5"/>
    <x v="0"/>
    <x v="0"/>
    <s v="Mozzarella Cheese, Pepperoni"/>
    <x v="3"/>
  </r>
  <r>
    <n v="29625"/>
    <n v="13092"/>
    <n v="1"/>
    <s v="the_greek_l"/>
    <n v="1"/>
    <x v="90"/>
    <x v="2"/>
    <x v="2557"/>
    <n v="20.5"/>
    <n v="20.5"/>
    <x v="2"/>
    <x v="0"/>
    <s v="Kalamata Olives, Feta Cheese, Tomatoes, Garlic, Beef Chuck Roast, Red Onions"/>
    <x v="2"/>
  </r>
  <r>
    <n v="29630"/>
    <n v="13096"/>
    <n v="0.33333333333333331"/>
    <s v="calabrese_m"/>
    <n v="1"/>
    <x v="90"/>
    <x v="2"/>
    <x v="2558"/>
    <n v="16.25"/>
    <n v="16.25"/>
    <x v="0"/>
    <x v="2"/>
    <s v="?duja Salami, Pancetta, Tomatoes, Red Onions, Friggitello Peppers, Garlic"/>
    <x v="6"/>
  </r>
  <r>
    <n v="29634"/>
    <n v="13096"/>
    <n v="0.33333333333333331"/>
    <s v="pepperoni_m"/>
    <n v="1"/>
    <x v="90"/>
    <x v="2"/>
    <x v="2558"/>
    <n v="12.5"/>
    <n v="12.5"/>
    <x v="0"/>
    <x v="0"/>
    <s v="Mozzarella Cheese, Pepperoni"/>
    <x v="3"/>
  </r>
  <r>
    <n v="29635"/>
    <n v="13096"/>
    <n v="0.33333333333333331"/>
    <s v="pepperoni_s"/>
    <n v="1"/>
    <x v="90"/>
    <x v="2"/>
    <x v="2558"/>
    <n v="9.75"/>
    <n v="9.75"/>
    <x v="1"/>
    <x v="0"/>
    <s v="Mozzarella Cheese, Pepperoni"/>
    <x v="3"/>
  </r>
  <r>
    <n v="29636"/>
    <n v="13097"/>
    <n v="1"/>
    <s v="pepperoni_m"/>
    <n v="1"/>
    <x v="90"/>
    <x v="2"/>
    <x v="2559"/>
    <n v="12.5"/>
    <n v="12.5"/>
    <x v="0"/>
    <x v="0"/>
    <s v="Mozzarella Cheese, Pepperoni"/>
    <x v="3"/>
  </r>
  <r>
    <n v="29641"/>
    <n v="13099"/>
    <n v="0.16666666666666666"/>
    <s v="big_meat_s"/>
    <n v="2"/>
    <x v="90"/>
    <x v="2"/>
    <x v="2560"/>
    <n v="12"/>
    <n v="24"/>
    <x v="1"/>
    <x v="0"/>
    <s v="Bacon, Pepperoni, Italian Sausage, Chorizo Sausage"/>
    <x v="4"/>
  </r>
  <r>
    <n v="29642"/>
    <n v="13099"/>
    <n v="0.16666666666666666"/>
    <s v="calabrese_m"/>
    <n v="2"/>
    <x v="90"/>
    <x v="2"/>
    <x v="2560"/>
    <n v="16.25"/>
    <n v="32.5"/>
    <x v="0"/>
    <x v="2"/>
    <s v="?duja Salami, Pancetta, Tomatoes, Red Onions, Friggitello Peppers, Garlic"/>
    <x v="6"/>
  </r>
  <r>
    <n v="29644"/>
    <n v="13099"/>
    <n v="0.16666666666666666"/>
    <s v="hawaiian_m"/>
    <n v="1"/>
    <x v="90"/>
    <x v="2"/>
    <x v="2560"/>
    <n v="13.25"/>
    <n v="13.25"/>
    <x v="0"/>
    <x v="0"/>
    <s v="Sliced Ham, Pineapple, Mozzarella Cheese"/>
    <x v="0"/>
  </r>
  <r>
    <n v="29646"/>
    <n v="13099"/>
    <n v="0.16666666666666666"/>
    <s v="napolitana_m"/>
    <n v="1"/>
    <x v="90"/>
    <x v="2"/>
    <x v="2560"/>
    <n v="16"/>
    <n v="16"/>
    <x v="0"/>
    <x v="0"/>
    <s v="Tomatoes, Anchovies, Green Olives, Red Onions, Garlic"/>
    <x v="5"/>
  </r>
  <r>
    <n v="29648"/>
    <n v="13099"/>
    <n v="0.16666666666666666"/>
    <s v="pepperoni_m"/>
    <n v="1"/>
    <x v="90"/>
    <x v="2"/>
    <x v="2560"/>
    <n v="12.5"/>
    <n v="12.5"/>
    <x v="0"/>
    <x v="0"/>
    <s v="Mozzarella Cheese, Pepperoni"/>
    <x v="3"/>
  </r>
  <r>
    <n v="29650"/>
    <n v="13099"/>
    <n v="0.16666666666666666"/>
    <s v="sicilian_m"/>
    <n v="1"/>
    <x v="90"/>
    <x v="2"/>
    <x v="2560"/>
    <n v="16.25"/>
    <n v="16.25"/>
    <x v="0"/>
    <x v="2"/>
    <s v="Coarse Sicilian Salami, Tomatoes, Green Olives, Luganega Sausage, Onions, Garlic"/>
    <x v="7"/>
  </r>
  <r>
    <n v="29653"/>
    <n v="13100"/>
    <n v="0.5"/>
    <s v="big_meat_s"/>
    <n v="3"/>
    <x v="90"/>
    <x v="2"/>
    <x v="2561"/>
    <n v="12"/>
    <n v="36"/>
    <x v="1"/>
    <x v="0"/>
    <s v="Bacon, Pepperoni, Italian Sausage, Chorizo Sausage"/>
    <x v="4"/>
  </r>
  <r>
    <n v="29654"/>
    <n v="13100"/>
    <n v="0.5"/>
    <s v="hawaiian_m"/>
    <n v="1"/>
    <x v="90"/>
    <x v="2"/>
    <x v="2561"/>
    <n v="13.25"/>
    <n v="13.25"/>
    <x v="0"/>
    <x v="0"/>
    <s v="Sliced Ham, Pineapple, Mozzarella Cheese"/>
    <x v="0"/>
  </r>
  <r>
    <n v="29657"/>
    <n v="13101"/>
    <n v="0.5"/>
    <s v="hawaiian_s"/>
    <n v="1"/>
    <x v="90"/>
    <x v="2"/>
    <x v="2562"/>
    <n v="10.5"/>
    <n v="10.5"/>
    <x v="1"/>
    <x v="0"/>
    <s v="Sliced Ham, Pineapple, Mozzarella Cheese"/>
    <x v="0"/>
  </r>
  <r>
    <n v="29658"/>
    <n v="13101"/>
    <n v="0.5"/>
    <s v="mexicana_l"/>
    <n v="1"/>
    <x v="90"/>
    <x v="2"/>
    <x v="2562"/>
    <n v="20.25"/>
    <n v="20.25"/>
    <x v="2"/>
    <x v="1"/>
    <s v="Tomatoes, Red Peppers, Jalapeno Peppers, Red Onions, Cilantro, Corn, Chipotle Sauce, Garlic"/>
    <x v="1"/>
  </r>
  <r>
    <n v="29666"/>
    <n v="13106"/>
    <n v="1"/>
    <s v="big_meat_s"/>
    <n v="1"/>
    <x v="90"/>
    <x v="2"/>
    <x v="2563"/>
    <n v="12"/>
    <n v="12"/>
    <x v="1"/>
    <x v="0"/>
    <s v="Bacon, Pepperoni, Italian Sausage, Chorizo Sausage"/>
    <x v="4"/>
  </r>
  <r>
    <n v="29670"/>
    <n v="13108"/>
    <n v="1"/>
    <s v="big_meat_s"/>
    <n v="1"/>
    <x v="90"/>
    <x v="2"/>
    <x v="2564"/>
    <n v="12"/>
    <n v="12"/>
    <x v="1"/>
    <x v="0"/>
    <s v="Bacon, Pepperoni, Italian Sausage, Chorizo Sausage"/>
    <x v="4"/>
  </r>
  <r>
    <n v="29672"/>
    <n v="13109"/>
    <n v="1"/>
    <s v="hawaiian_l"/>
    <n v="1"/>
    <x v="90"/>
    <x v="2"/>
    <x v="2565"/>
    <n v="16.5"/>
    <n v="16.5"/>
    <x v="2"/>
    <x v="0"/>
    <s v="Sliced Ham, Pineapple, Mozzarella Cheese"/>
    <x v="0"/>
  </r>
  <r>
    <n v="29676"/>
    <n v="13111"/>
    <n v="0.5"/>
    <s v="pepperoni_l"/>
    <n v="1"/>
    <x v="90"/>
    <x v="2"/>
    <x v="2566"/>
    <n v="15.25"/>
    <n v="15.25"/>
    <x v="2"/>
    <x v="0"/>
    <s v="Mozzarella Cheese, Pepperoni"/>
    <x v="3"/>
  </r>
  <r>
    <n v="29677"/>
    <n v="13111"/>
    <n v="0.5"/>
    <s v="sicilian_l"/>
    <n v="1"/>
    <x v="90"/>
    <x v="2"/>
    <x v="2566"/>
    <n v="20.25"/>
    <n v="20.25"/>
    <x v="2"/>
    <x v="2"/>
    <s v="Coarse Sicilian Salami, Tomatoes, Green Olives, Luganega Sausage, Onions, Garlic"/>
    <x v="7"/>
  </r>
  <r>
    <n v="29678"/>
    <n v="13112"/>
    <n v="1"/>
    <s v="calabrese_m"/>
    <n v="1"/>
    <x v="90"/>
    <x v="2"/>
    <x v="2567"/>
    <n v="16.25"/>
    <n v="16.25"/>
    <x v="0"/>
    <x v="2"/>
    <s v="?duja Salami, Pancetta, Tomatoes, Red Onions, Friggitello Peppers, Garlic"/>
    <x v="6"/>
  </r>
  <r>
    <n v="29681"/>
    <n v="13113"/>
    <n v="1"/>
    <s v="pepperoni_l"/>
    <n v="1"/>
    <x v="90"/>
    <x v="2"/>
    <x v="2568"/>
    <n v="15.25"/>
    <n v="15.25"/>
    <x v="2"/>
    <x v="0"/>
    <s v="Mozzarella Cheese, Pepperoni"/>
    <x v="3"/>
  </r>
  <r>
    <n v="29685"/>
    <n v="13115"/>
    <n v="1"/>
    <s v="pepperoni_m"/>
    <n v="1"/>
    <x v="90"/>
    <x v="2"/>
    <x v="2569"/>
    <n v="12.5"/>
    <n v="12.5"/>
    <x v="0"/>
    <x v="0"/>
    <s v="Mozzarella Cheese, Pepperoni"/>
    <x v="3"/>
  </r>
  <r>
    <n v="29689"/>
    <n v="13117"/>
    <n v="0.5"/>
    <s v="napolitana_m"/>
    <n v="1"/>
    <x v="90"/>
    <x v="2"/>
    <x v="2570"/>
    <n v="16"/>
    <n v="16"/>
    <x v="0"/>
    <x v="0"/>
    <s v="Tomatoes, Anchovies, Green Olives, Red Onions, Garlic"/>
    <x v="5"/>
  </r>
  <r>
    <n v="29690"/>
    <n v="13117"/>
    <n v="0.5"/>
    <s v="pepperoni_l"/>
    <n v="1"/>
    <x v="90"/>
    <x v="2"/>
    <x v="2570"/>
    <n v="15.25"/>
    <n v="15.25"/>
    <x v="2"/>
    <x v="0"/>
    <s v="Mozzarella Cheese, Pepperoni"/>
    <x v="3"/>
  </r>
  <r>
    <n v="29692"/>
    <n v="13119"/>
    <n v="1"/>
    <s v="mexicana_l"/>
    <n v="1"/>
    <x v="90"/>
    <x v="2"/>
    <x v="2571"/>
    <n v="20.25"/>
    <n v="20.25"/>
    <x v="2"/>
    <x v="1"/>
    <s v="Tomatoes, Red Peppers, Jalapeno Peppers, Red Onions, Cilantro, Corn, Chipotle Sauce, Garlic"/>
    <x v="1"/>
  </r>
  <r>
    <n v="29695"/>
    <n v="13120"/>
    <n v="1"/>
    <s v="napolitana_m"/>
    <n v="1"/>
    <x v="90"/>
    <x v="2"/>
    <x v="2572"/>
    <n v="16"/>
    <n v="16"/>
    <x v="0"/>
    <x v="0"/>
    <s v="Tomatoes, Anchovies, Green Olives, Red Onions, Garlic"/>
    <x v="5"/>
  </r>
  <r>
    <n v="29698"/>
    <n v="13121"/>
    <n v="1"/>
    <s v="napolitana_m"/>
    <n v="1"/>
    <x v="90"/>
    <x v="2"/>
    <x v="2573"/>
    <n v="16"/>
    <n v="16"/>
    <x v="0"/>
    <x v="0"/>
    <s v="Tomatoes, Anchovies, Green Olives, Red Onions, Garlic"/>
    <x v="5"/>
  </r>
  <r>
    <n v="29700"/>
    <n v="13122"/>
    <n v="0.33333333333333331"/>
    <s v="hawaiian_m"/>
    <n v="1"/>
    <x v="90"/>
    <x v="2"/>
    <x v="2574"/>
    <n v="13.25"/>
    <n v="13.25"/>
    <x v="0"/>
    <x v="0"/>
    <s v="Sliced Ham, Pineapple, Mozzarella Cheese"/>
    <x v="0"/>
  </r>
  <r>
    <n v="29701"/>
    <n v="13122"/>
    <n v="0.33333333333333331"/>
    <s v="mexicana_m"/>
    <n v="1"/>
    <x v="90"/>
    <x v="2"/>
    <x v="2574"/>
    <n v="16"/>
    <n v="16"/>
    <x v="0"/>
    <x v="1"/>
    <s v="Tomatoes, Red Peppers, Jalapeno Peppers, Red Onions, Cilantro, Corn, Chipotle Sauce, Garlic"/>
    <x v="1"/>
  </r>
  <r>
    <n v="29702"/>
    <n v="13122"/>
    <n v="0.33333333333333331"/>
    <s v="pepperoni_s"/>
    <n v="1"/>
    <x v="90"/>
    <x v="2"/>
    <x v="2574"/>
    <n v="9.75"/>
    <n v="9.75"/>
    <x v="1"/>
    <x v="0"/>
    <s v="Mozzarella Cheese, Pepperoni"/>
    <x v="3"/>
  </r>
  <r>
    <n v="29713"/>
    <n v="13127"/>
    <n v="1"/>
    <s v="hawaiian_s"/>
    <n v="1"/>
    <x v="90"/>
    <x v="2"/>
    <x v="2575"/>
    <n v="10.5"/>
    <n v="10.5"/>
    <x v="1"/>
    <x v="0"/>
    <s v="Sliced Ham, Pineapple, Mozzarella Cheese"/>
    <x v="0"/>
  </r>
  <r>
    <n v="29714"/>
    <n v="13128"/>
    <n v="1"/>
    <s v="brie_carre_s"/>
    <n v="1"/>
    <x v="90"/>
    <x v="2"/>
    <x v="2576"/>
    <n v="23.65"/>
    <n v="23.65"/>
    <x v="1"/>
    <x v="2"/>
    <s v="Brie Carre Cheese, Prosciutto, Caramelized Onions, Pears, Thyme, Garlic"/>
    <x v="8"/>
  </r>
  <r>
    <n v="29718"/>
    <n v="13130"/>
    <n v="1"/>
    <s v="pepperoni_m"/>
    <n v="1"/>
    <x v="90"/>
    <x v="2"/>
    <x v="2577"/>
    <n v="12.5"/>
    <n v="12.5"/>
    <x v="0"/>
    <x v="0"/>
    <s v="Mozzarella Cheese, Pepperoni"/>
    <x v="3"/>
  </r>
  <r>
    <n v="29720"/>
    <n v="13131"/>
    <n v="1"/>
    <s v="sicilian_s"/>
    <n v="1"/>
    <x v="90"/>
    <x v="2"/>
    <x v="2578"/>
    <n v="12.25"/>
    <n v="12.25"/>
    <x v="1"/>
    <x v="2"/>
    <s v="Coarse Sicilian Salami, Tomatoes, Green Olives, Luganega Sausage, Onions, Garlic"/>
    <x v="7"/>
  </r>
  <r>
    <n v="29725"/>
    <n v="13134"/>
    <n v="1"/>
    <s v="big_meat_s"/>
    <n v="1"/>
    <x v="90"/>
    <x v="2"/>
    <x v="2579"/>
    <n v="12"/>
    <n v="12"/>
    <x v="1"/>
    <x v="0"/>
    <s v="Bacon, Pepperoni, Italian Sausage, Chorizo Sausage"/>
    <x v="4"/>
  </r>
  <r>
    <n v="29736"/>
    <n v="13137"/>
    <n v="1"/>
    <s v="pepperoni_m"/>
    <n v="2"/>
    <x v="90"/>
    <x v="2"/>
    <x v="2580"/>
    <n v="12.5"/>
    <n v="25"/>
    <x v="0"/>
    <x v="0"/>
    <s v="Mozzarella Cheese, Pepperoni"/>
    <x v="3"/>
  </r>
  <r>
    <n v="29743"/>
    <n v="13142"/>
    <n v="0.5"/>
    <s v="calabrese_m"/>
    <n v="1"/>
    <x v="90"/>
    <x v="2"/>
    <x v="2581"/>
    <n v="16.25"/>
    <n v="16.25"/>
    <x v="0"/>
    <x v="2"/>
    <s v="?duja Salami, Pancetta, Tomatoes, Red Onions, Friggitello Peppers, Garlic"/>
    <x v="6"/>
  </r>
  <r>
    <n v="29746"/>
    <n v="13142"/>
    <n v="0.5"/>
    <s v="the_greek_l"/>
    <n v="1"/>
    <x v="90"/>
    <x v="2"/>
    <x v="2581"/>
    <n v="20.5"/>
    <n v="20.5"/>
    <x v="2"/>
    <x v="0"/>
    <s v="Kalamata Olives, Feta Cheese, Tomatoes, Garlic, Beef Chuck Roast, Red Onions"/>
    <x v="2"/>
  </r>
  <r>
    <n v="29748"/>
    <n v="13143"/>
    <n v="0.5"/>
    <s v="mexicana_m"/>
    <n v="1"/>
    <x v="90"/>
    <x v="2"/>
    <x v="2582"/>
    <n v="16"/>
    <n v="16"/>
    <x v="0"/>
    <x v="1"/>
    <s v="Tomatoes, Red Peppers, Jalapeno Peppers, Red Onions, Cilantro, Corn, Chipotle Sauce, Garlic"/>
    <x v="1"/>
  </r>
  <r>
    <n v="29749"/>
    <n v="13143"/>
    <n v="0.5"/>
    <s v="napolitana_m"/>
    <n v="1"/>
    <x v="90"/>
    <x v="2"/>
    <x v="2582"/>
    <n v="16"/>
    <n v="16"/>
    <x v="0"/>
    <x v="0"/>
    <s v="Tomatoes, Anchovies, Green Olives, Red Onions, Garlic"/>
    <x v="5"/>
  </r>
  <r>
    <n v="29751"/>
    <n v="13144"/>
    <n v="1"/>
    <s v="the_greek_xl"/>
    <n v="1"/>
    <x v="90"/>
    <x v="2"/>
    <x v="2583"/>
    <n v="25.5"/>
    <n v="25.5"/>
    <x v="3"/>
    <x v="0"/>
    <s v="Kalamata Olives, Feta Cheese, Tomatoes, Garlic, Beef Chuck Roast, Red Onions"/>
    <x v="2"/>
  </r>
  <r>
    <n v="29754"/>
    <n v="13146"/>
    <n v="0.5"/>
    <s v="hawaiian_s"/>
    <n v="1"/>
    <x v="90"/>
    <x v="2"/>
    <x v="2584"/>
    <n v="10.5"/>
    <n v="10.5"/>
    <x v="1"/>
    <x v="0"/>
    <s v="Sliced Ham, Pineapple, Mozzarella Cheese"/>
    <x v="0"/>
  </r>
  <r>
    <n v="29756"/>
    <n v="13146"/>
    <n v="0.5"/>
    <s v="pepperoni_m"/>
    <n v="1"/>
    <x v="90"/>
    <x v="2"/>
    <x v="2584"/>
    <n v="12.5"/>
    <n v="12.5"/>
    <x v="0"/>
    <x v="0"/>
    <s v="Mozzarella Cheese, Pepperoni"/>
    <x v="3"/>
  </r>
  <r>
    <n v="29758"/>
    <n v="13147"/>
    <n v="1"/>
    <s v="sicilian_m"/>
    <n v="1"/>
    <x v="90"/>
    <x v="2"/>
    <x v="2585"/>
    <n v="16.25"/>
    <n v="16.25"/>
    <x v="0"/>
    <x v="2"/>
    <s v="Coarse Sicilian Salami, Tomatoes, Green Olives, Luganega Sausage, Onions, Garlic"/>
    <x v="7"/>
  </r>
  <r>
    <n v="29759"/>
    <n v="13148"/>
    <n v="1"/>
    <s v="napolitana_l"/>
    <n v="1"/>
    <x v="90"/>
    <x v="2"/>
    <x v="2586"/>
    <n v="20.5"/>
    <n v="20.5"/>
    <x v="2"/>
    <x v="0"/>
    <s v="Tomatoes, Anchovies, Green Olives, Red Onions, Garlic"/>
    <x v="5"/>
  </r>
  <r>
    <n v="29760"/>
    <n v="13149"/>
    <n v="1"/>
    <s v="calabrese_m"/>
    <n v="1"/>
    <x v="90"/>
    <x v="2"/>
    <x v="2587"/>
    <n v="16.25"/>
    <n v="16.25"/>
    <x v="0"/>
    <x v="2"/>
    <s v="?duja Salami, Pancetta, Tomatoes, Red Onions, Friggitello Peppers, Garlic"/>
    <x v="6"/>
  </r>
  <r>
    <n v="29763"/>
    <n v="13150"/>
    <n v="1"/>
    <s v="the_greek_xl"/>
    <n v="1"/>
    <x v="90"/>
    <x v="2"/>
    <x v="2588"/>
    <n v="25.5"/>
    <n v="25.5"/>
    <x v="3"/>
    <x v="0"/>
    <s v="Kalamata Olives, Feta Cheese, Tomatoes, Garlic, Beef Chuck Roast, Red Onions"/>
    <x v="2"/>
  </r>
  <r>
    <n v="29764"/>
    <n v="13151"/>
    <n v="1"/>
    <s v="big_meat_s"/>
    <n v="1"/>
    <x v="90"/>
    <x v="2"/>
    <x v="2589"/>
    <n v="12"/>
    <n v="12"/>
    <x v="1"/>
    <x v="0"/>
    <s v="Bacon, Pepperoni, Italian Sausage, Chorizo Sausage"/>
    <x v="4"/>
  </r>
  <r>
    <n v="29775"/>
    <n v="13154"/>
    <n v="1"/>
    <s v="sicilian_m"/>
    <n v="1"/>
    <x v="90"/>
    <x v="2"/>
    <x v="2590"/>
    <n v="16.25"/>
    <n v="16.25"/>
    <x v="0"/>
    <x v="2"/>
    <s v="Coarse Sicilian Salami, Tomatoes, Green Olives, Luganega Sausage, Onions, Garlic"/>
    <x v="7"/>
  </r>
  <r>
    <n v="29780"/>
    <n v="13156"/>
    <n v="0.2"/>
    <s v="big_meat_s"/>
    <n v="1"/>
    <x v="91"/>
    <x v="5"/>
    <x v="2591"/>
    <n v="12"/>
    <n v="12"/>
    <x v="1"/>
    <x v="0"/>
    <s v="Bacon, Pepperoni, Italian Sausage, Chorizo Sausage"/>
    <x v="4"/>
  </r>
  <r>
    <n v="29781"/>
    <n v="13156"/>
    <n v="0.2"/>
    <s v="calabrese_m"/>
    <n v="1"/>
    <x v="91"/>
    <x v="5"/>
    <x v="2591"/>
    <n v="16.25"/>
    <n v="16.25"/>
    <x v="0"/>
    <x v="2"/>
    <s v="?duja Salami, Pancetta, Tomatoes, Red Onions, Friggitello Peppers, Garlic"/>
    <x v="6"/>
  </r>
  <r>
    <n v="29785"/>
    <n v="13156"/>
    <n v="0.2"/>
    <s v="hawaiian_l"/>
    <n v="1"/>
    <x v="91"/>
    <x v="5"/>
    <x v="2591"/>
    <n v="16.5"/>
    <n v="16.5"/>
    <x v="2"/>
    <x v="0"/>
    <s v="Sliced Ham, Pineapple, Mozzarella Cheese"/>
    <x v="0"/>
  </r>
  <r>
    <n v="29786"/>
    <n v="13156"/>
    <n v="0.2"/>
    <s v="napolitana_m"/>
    <n v="1"/>
    <x v="91"/>
    <x v="5"/>
    <x v="2591"/>
    <n v="16"/>
    <n v="16"/>
    <x v="0"/>
    <x v="0"/>
    <s v="Tomatoes, Anchovies, Green Olives, Red Onions, Garlic"/>
    <x v="5"/>
  </r>
  <r>
    <n v="29788"/>
    <n v="13156"/>
    <n v="0.2"/>
    <s v="sicilian_l"/>
    <n v="1"/>
    <x v="91"/>
    <x v="5"/>
    <x v="2591"/>
    <n v="20.25"/>
    <n v="20.25"/>
    <x v="2"/>
    <x v="2"/>
    <s v="Coarse Sicilian Salami, Tomatoes, Green Olives, Luganega Sausage, Onions, Garlic"/>
    <x v="7"/>
  </r>
  <r>
    <n v="29798"/>
    <n v="13158"/>
    <n v="0.5"/>
    <s v="hawaiian_l"/>
    <n v="1"/>
    <x v="91"/>
    <x v="5"/>
    <x v="2592"/>
    <n v="16.5"/>
    <n v="16.5"/>
    <x v="2"/>
    <x v="0"/>
    <s v="Sliced Ham, Pineapple, Mozzarella Cheese"/>
    <x v="0"/>
  </r>
  <r>
    <n v="29800"/>
    <n v="13158"/>
    <n v="0.5"/>
    <s v="pepperoni_l"/>
    <n v="1"/>
    <x v="91"/>
    <x v="5"/>
    <x v="2592"/>
    <n v="15.25"/>
    <n v="15.25"/>
    <x v="2"/>
    <x v="0"/>
    <s v="Mozzarella Cheese, Pepperoni"/>
    <x v="3"/>
  </r>
  <r>
    <n v="29808"/>
    <n v="13163"/>
    <n v="1"/>
    <s v="napolitana_s"/>
    <n v="1"/>
    <x v="91"/>
    <x v="5"/>
    <x v="2593"/>
    <n v="12"/>
    <n v="12"/>
    <x v="1"/>
    <x v="0"/>
    <s v="Tomatoes, Anchovies, Green Olives, Red Onions, Garlic"/>
    <x v="5"/>
  </r>
  <r>
    <n v="29809"/>
    <n v="13164"/>
    <n v="1"/>
    <s v="napolitana_s"/>
    <n v="1"/>
    <x v="91"/>
    <x v="5"/>
    <x v="2594"/>
    <n v="12"/>
    <n v="12"/>
    <x v="1"/>
    <x v="0"/>
    <s v="Tomatoes, Anchovies, Green Olives, Red Onions, Garlic"/>
    <x v="5"/>
  </r>
  <r>
    <n v="29810"/>
    <n v="13165"/>
    <n v="1"/>
    <s v="the_greek_xl"/>
    <n v="1"/>
    <x v="91"/>
    <x v="5"/>
    <x v="2595"/>
    <n v="25.5"/>
    <n v="25.5"/>
    <x v="3"/>
    <x v="0"/>
    <s v="Kalamata Olives, Feta Cheese, Tomatoes, Garlic, Beef Chuck Roast, Red Onions"/>
    <x v="2"/>
  </r>
  <r>
    <n v="29816"/>
    <n v="13170"/>
    <n v="0.5"/>
    <s v="napolitana_s"/>
    <n v="1"/>
    <x v="91"/>
    <x v="5"/>
    <x v="2596"/>
    <n v="12"/>
    <n v="12"/>
    <x v="1"/>
    <x v="0"/>
    <s v="Tomatoes, Anchovies, Green Olives, Red Onions, Garlic"/>
    <x v="5"/>
  </r>
  <r>
    <n v="29817"/>
    <n v="13170"/>
    <n v="0.5"/>
    <s v="sicilian_l"/>
    <n v="1"/>
    <x v="91"/>
    <x v="5"/>
    <x v="2596"/>
    <n v="20.25"/>
    <n v="20.25"/>
    <x v="2"/>
    <x v="2"/>
    <s v="Coarse Sicilian Salami, Tomatoes, Green Olives, Luganega Sausage, Onions, Garlic"/>
    <x v="7"/>
  </r>
  <r>
    <n v="29819"/>
    <n v="13171"/>
    <n v="0.5"/>
    <s v="hawaiian_l"/>
    <n v="1"/>
    <x v="91"/>
    <x v="5"/>
    <x v="2597"/>
    <n v="16.5"/>
    <n v="16.5"/>
    <x v="2"/>
    <x v="0"/>
    <s v="Sliced Ham, Pineapple, Mozzarella Cheese"/>
    <x v="0"/>
  </r>
  <r>
    <n v="29820"/>
    <n v="13171"/>
    <n v="0.5"/>
    <s v="mexicana_l"/>
    <n v="1"/>
    <x v="91"/>
    <x v="5"/>
    <x v="2597"/>
    <n v="20.25"/>
    <n v="20.25"/>
    <x v="2"/>
    <x v="1"/>
    <s v="Tomatoes, Red Peppers, Jalapeno Peppers, Red Onions, Cilantro, Corn, Chipotle Sauce, Garlic"/>
    <x v="1"/>
  </r>
  <r>
    <n v="29826"/>
    <n v="13173"/>
    <n v="1"/>
    <s v="hawaiian_l"/>
    <n v="1"/>
    <x v="91"/>
    <x v="5"/>
    <x v="2598"/>
    <n v="16.5"/>
    <n v="16.5"/>
    <x v="2"/>
    <x v="0"/>
    <s v="Sliced Ham, Pineapple, Mozzarella Cheese"/>
    <x v="0"/>
  </r>
  <r>
    <n v="29827"/>
    <n v="13174"/>
    <n v="1"/>
    <s v="big_meat_s"/>
    <n v="1"/>
    <x v="91"/>
    <x v="5"/>
    <x v="2599"/>
    <n v="12"/>
    <n v="12"/>
    <x v="1"/>
    <x v="0"/>
    <s v="Bacon, Pepperoni, Italian Sausage, Chorizo Sausage"/>
    <x v="4"/>
  </r>
  <r>
    <n v="29831"/>
    <n v="13175"/>
    <n v="0.5"/>
    <s v="mexicana_m"/>
    <n v="1"/>
    <x v="91"/>
    <x v="5"/>
    <x v="2600"/>
    <n v="16"/>
    <n v="16"/>
    <x v="0"/>
    <x v="1"/>
    <s v="Tomatoes, Red Peppers, Jalapeno Peppers, Red Onions, Cilantro, Corn, Chipotle Sauce, Garlic"/>
    <x v="1"/>
  </r>
  <r>
    <n v="29832"/>
    <n v="13175"/>
    <n v="0.5"/>
    <s v="pepperoni_l"/>
    <n v="1"/>
    <x v="91"/>
    <x v="5"/>
    <x v="2600"/>
    <n v="15.25"/>
    <n v="15.25"/>
    <x v="2"/>
    <x v="0"/>
    <s v="Mozzarella Cheese, Pepperoni"/>
    <x v="3"/>
  </r>
  <r>
    <n v="29834"/>
    <n v="13176"/>
    <n v="0.5"/>
    <s v="big_meat_s"/>
    <n v="1"/>
    <x v="91"/>
    <x v="5"/>
    <x v="2601"/>
    <n v="12"/>
    <n v="12"/>
    <x v="1"/>
    <x v="0"/>
    <s v="Bacon, Pepperoni, Italian Sausage, Chorizo Sausage"/>
    <x v="4"/>
  </r>
  <r>
    <n v="29836"/>
    <n v="13176"/>
    <n v="0.5"/>
    <s v="pepperoni_m"/>
    <n v="1"/>
    <x v="91"/>
    <x v="5"/>
    <x v="2601"/>
    <n v="12.5"/>
    <n v="12.5"/>
    <x v="0"/>
    <x v="0"/>
    <s v="Mozzarella Cheese, Pepperoni"/>
    <x v="3"/>
  </r>
  <r>
    <n v="29843"/>
    <n v="13179"/>
    <n v="0.5"/>
    <s v="pepperoni_s"/>
    <n v="1"/>
    <x v="91"/>
    <x v="5"/>
    <x v="1866"/>
    <n v="9.75"/>
    <n v="9.75"/>
    <x v="1"/>
    <x v="0"/>
    <s v="Mozzarella Cheese, Pepperoni"/>
    <x v="3"/>
  </r>
  <r>
    <n v="29844"/>
    <n v="13179"/>
    <n v="0.5"/>
    <s v="sicilian_s"/>
    <n v="1"/>
    <x v="91"/>
    <x v="5"/>
    <x v="1866"/>
    <n v="12.25"/>
    <n v="12.25"/>
    <x v="1"/>
    <x v="2"/>
    <s v="Coarse Sicilian Salami, Tomatoes, Green Olives, Luganega Sausage, Onions, Garlic"/>
    <x v="7"/>
  </r>
  <r>
    <n v="29846"/>
    <n v="13180"/>
    <n v="0.5"/>
    <s v="pepperoni_s"/>
    <n v="1"/>
    <x v="91"/>
    <x v="5"/>
    <x v="2602"/>
    <n v="9.75"/>
    <n v="9.75"/>
    <x v="1"/>
    <x v="0"/>
    <s v="Mozzarella Cheese, Pepperoni"/>
    <x v="3"/>
  </r>
  <r>
    <n v="29847"/>
    <n v="13180"/>
    <n v="0.5"/>
    <s v="sicilian_s"/>
    <n v="1"/>
    <x v="91"/>
    <x v="5"/>
    <x v="2602"/>
    <n v="12.25"/>
    <n v="12.25"/>
    <x v="1"/>
    <x v="2"/>
    <s v="Coarse Sicilian Salami, Tomatoes, Green Olives, Luganega Sausage, Onions, Garlic"/>
    <x v="7"/>
  </r>
  <r>
    <n v="29851"/>
    <n v="13182"/>
    <n v="0.5"/>
    <s v="sicilian_m"/>
    <n v="1"/>
    <x v="91"/>
    <x v="5"/>
    <x v="1194"/>
    <n v="16.25"/>
    <n v="16.25"/>
    <x v="0"/>
    <x v="2"/>
    <s v="Coarse Sicilian Salami, Tomatoes, Green Olives, Luganega Sausage, Onions, Garlic"/>
    <x v="7"/>
  </r>
  <r>
    <n v="29852"/>
    <n v="13182"/>
    <n v="0.5"/>
    <s v="the_greek_xl"/>
    <n v="1"/>
    <x v="91"/>
    <x v="5"/>
    <x v="1194"/>
    <n v="25.5"/>
    <n v="25.5"/>
    <x v="3"/>
    <x v="0"/>
    <s v="Kalamata Olives, Feta Cheese, Tomatoes, Garlic, Beef Chuck Roast, Red Onions"/>
    <x v="2"/>
  </r>
  <r>
    <n v="29856"/>
    <n v="13183"/>
    <n v="1"/>
    <s v="pepperoni_l"/>
    <n v="1"/>
    <x v="91"/>
    <x v="5"/>
    <x v="2603"/>
    <n v="15.25"/>
    <n v="15.25"/>
    <x v="2"/>
    <x v="0"/>
    <s v="Mozzarella Cheese, Pepperoni"/>
    <x v="3"/>
  </r>
  <r>
    <n v="29863"/>
    <n v="13188"/>
    <n v="1"/>
    <s v="hawaiian_s"/>
    <n v="1"/>
    <x v="91"/>
    <x v="5"/>
    <x v="2604"/>
    <n v="10.5"/>
    <n v="10.5"/>
    <x v="1"/>
    <x v="0"/>
    <s v="Sliced Ham, Pineapple, Mozzarella Cheese"/>
    <x v="0"/>
  </r>
  <r>
    <n v="29866"/>
    <n v="13190"/>
    <n v="1"/>
    <s v="big_meat_s"/>
    <n v="1"/>
    <x v="91"/>
    <x v="5"/>
    <x v="954"/>
    <n v="12"/>
    <n v="12"/>
    <x v="1"/>
    <x v="0"/>
    <s v="Bacon, Pepperoni, Italian Sausage, Chorizo Sausage"/>
    <x v="4"/>
  </r>
  <r>
    <n v="29871"/>
    <n v="13192"/>
    <n v="0.33333333333333331"/>
    <s v="hawaiian_s"/>
    <n v="1"/>
    <x v="91"/>
    <x v="5"/>
    <x v="2605"/>
    <n v="10.5"/>
    <n v="10.5"/>
    <x v="1"/>
    <x v="0"/>
    <s v="Sliced Ham, Pineapple, Mozzarella Cheese"/>
    <x v="0"/>
  </r>
  <r>
    <n v="29872"/>
    <n v="13192"/>
    <n v="0.33333333333333331"/>
    <s v="sicilian_l"/>
    <n v="1"/>
    <x v="91"/>
    <x v="5"/>
    <x v="2605"/>
    <n v="20.25"/>
    <n v="20.25"/>
    <x v="2"/>
    <x v="2"/>
    <s v="Coarse Sicilian Salami, Tomatoes, Green Olives, Luganega Sausage, Onions, Garlic"/>
    <x v="7"/>
  </r>
  <r>
    <n v="29873"/>
    <n v="13192"/>
    <n v="0.33333333333333331"/>
    <s v="sicilian_s"/>
    <n v="1"/>
    <x v="91"/>
    <x v="5"/>
    <x v="2605"/>
    <n v="12.25"/>
    <n v="12.25"/>
    <x v="1"/>
    <x v="2"/>
    <s v="Coarse Sicilian Salami, Tomatoes, Green Olives, Luganega Sausage, Onions, Garlic"/>
    <x v="7"/>
  </r>
  <r>
    <n v="29885"/>
    <n v="13197"/>
    <n v="1"/>
    <s v="the_greek_l"/>
    <n v="1"/>
    <x v="91"/>
    <x v="5"/>
    <x v="2606"/>
    <n v="20.5"/>
    <n v="20.5"/>
    <x v="2"/>
    <x v="0"/>
    <s v="Kalamata Olives, Feta Cheese, Tomatoes, Garlic, Beef Chuck Roast, Red Onions"/>
    <x v="2"/>
  </r>
  <r>
    <n v="29889"/>
    <n v="13199"/>
    <n v="1"/>
    <s v="napolitana_m"/>
    <n v="1"/>
    <x v="91"/>
    <x v="5"/>
    <x v="2607"/>
    <n v="16"/>
    <n v="16"/>
    <x v="0"/>
    <x v="0"/>
    <s v="Tomatoes, Anchovies, Green Olives, Red Onions, Garlic"/>
    <x v="5"/>
  </r>
  <r>
    <n v="29899"/>
    <n v="13205"/>
    <n v="0.5"/>
    <s v="big_meat_s"/>
    <n v="1"/>
    <x v="91"/>
    <x v="5"/>
    <x v="2608"/>
    <n v="12"/>
    <n v="12"/>
    <x v="1"/>
    <x v="0"/>
    <s v="Bacon, Pepperoni, Italian Sausage, Chorizo Sausage"/>
    <x v="4"/>
  </r>
  <r>
    <n v="29901"/>
    <n v="13205"/>
    <n v="0.5"/>
    <s v="hawaiian_s"/>
    <n v="1"/>
    <x v="91"/>
    <x v="5"/>
    <x v="2608"/>
    <n v="10.5"/>
    <n v="10.5"/>
    <x v="1"/>
    <x v="0"/>
    <s v="Sliced Ham, Pineapple, Mozzarella Cheese"/>
    <x v="0"/>
  </r>
  <r>
    <n v="29904"/>
    <n v="13207"/>
    <n v="1"/>
    <s v="mexicana_m"/>
    <n v="1"/>
    <x v="91"/>
    <x v="5"/>
    <x v="2609"/>
    <n v="16"/>
    <n v="16"/>
    <x v="0"/>
    <x v="1"/>
    <s v="Tomatoes, Red Peppers, Jalapeno Peppers, Red Onions, Cilantro, Corn, Chipotle Sauce, Garlic"/>
    <x v="1"/>
  </r>
  <r>
    <n v="29910"/>
    <n v="13211"/>
    <n v="0.5"/>
    <s v="mexicana_m"/>
    <n v="1"/>
    <x v="91"/>
    <x v="5"/>
    <x v="2610"/>
    <n v="16"/>
    <n v="16"/>
    <x v="0"/>
    <x v="1"/>
    <s v="Tomatoes, Red Peppers, Jalapeno Peppers, Red Onions, Cilantro, Corn, Chipotle Sauce, Garlic"/>
    <x v="1"/>
  </r>
  <r>
    <n v="29911"/>
    <n v="13211"/>
    <n v="0.5"/>
    <s v="sicilian_l"/>
    <n v="1"/>
    <x v="91"/>
    <x v="5"/>
    <x v="2610"/>
    <n v="20.25"/>
    <n v="20.25"/>
    <x v="2"/>
    <x v="2"/>
    <s v="Coarse Sicilian Salami, Tomatoes, Green Olives, Luganega Sausage, Onions, Garlic"/>
    <x v="7"/>
  </r>
  <r>
    <n v="29914"/>
    <n v="13212"/>
    <n v="1"/>
    <s v="hawaiian_l"/>
    <n v="1"/>
    <x v="91"/>
    <x v="5"/>
    <x v="2611"/>
    <n v="16.5"/>
    <n v="16.5"/>
    <x v="2"/>
    <x v="0"/>
    <s v="Sliced Ham, Pineapple, Mozzarella Cheese"/>
    <x v="0"/>
  </r>
  <r>
    <n v="29918"/>
    <n v="13215"/>
    <n v="0.5"/>
    <s v="big_meat_s"/>
    <n v="1"/>
    <x v="91"/>
    <x v="5"/>
    <x v="2612"/>
    <n v="12"/>
    <n v="12"/>
    <x v="1"/>
    <x v="0"/>
    <s v="Bacon, Pepperoni, Italian Sausage, Chorizo Sausage"/>
    <x v="4"/>
  </r>
  <r>
    <n v="29919"/>
    <n v="13215"/>
    <n v="0.5"/>
    <s v="napolitana_l"/>
    <n v="1"/>
    <x v="91"/>
    <x v="5"/>
    <x v="2612"/>
    <n v="20.5"/>
    <n v="20.5"/>
    <x v="2"/>
    <x v="0"/>
    <s v="Tomatoes, Anchovies, Green Olives, Red Onions, Garlic"/>
    <x v="5"/>
  </r>
  <r>
    <n v="29921"/>
    <n v="13216"/>
    <n v="1"/>
    <s v="sicilian_m"/>
    <n v="1"/>
    <x v="91"/>
    <x v="5"/>
    <x v="2613"/>
    <n v="16.25"/>
    <n v="16.25"/>
    <x v="0"/>
    <x v="2"/>
    <s v="Coarse Sicilian Salami, Tomatoes, Green Olives, Luganega Sausage, Onions, Garlic"/>
    <x v="7"/>
  </r>
  <r>
    <n v="29926"/>
    <n v="13219"/>
    <n v="1"/>
    <s v="hawaiian_l"/>
    <n v="1"/>
    <x v="91"/>
    <x v="5"/>
    <x v="2614"/>
    <n v="16.5"/>
    <n v="16.5"/>
    <x v="2"/>
    <x v="0"/>
    <s v="Sliced Ham, Pineapple, Mozzarella Cheese"/>
    <x v="0"/>
  </r>
  <r>
    <n v="29928"/>
    <n v="13220"/>
    <n v="1"/>
    <s v="hawaiian_s"/>
    <n v="1"/>
    <x v="91"/>
    <x v="5"/>
    <x v="2615"/>
    <n v="10.5"/>
    <n v="10.5"/>
    <x v="1"/>
    <x v="0"/>
    <s v="Sliced Ham, Pineapple, Mozzarella Cheese"/>
    <x v="0"/>
  </r>
  <r>
    <n v="29933"/>
    <n v="13221"/>
    <n v="0.5"/>
    <s v="hawaiian_s"/>
    <n v="1"/>
    <x v="91"/>
    <x v="5"/>
    <x v="2616"/>
    <n v="10.5"/>
    <n v="10.5"/>
    <x v="1"/>
    <x v="0"/>
    <s v="Sliced Ham, Pineapple, Mozzarella Cheese"/>
    <x v="0"/>
  </r>
  <r>
    <n v="29934"/>
    <n v="13221"/>
    <n v="0.5"/>
    <s v="mexicana_l"/>
    <n v="1"/>
    <x v="91"/>
    <x v="5"/>
    <x v="2616"/>
    <n v="20.25"/>
    <n v="20.25"/>
    <x v="2"/>
    <x v="1"/>
    <s v="Tomatoes, Red Peppers, Jalapeno Peppers, Red Onions, Cilantro, Corn, Chipotle Sauce, Garlic"/>
    <x v="1"/>
  </r>
  <r>
    <n v="29942"/>
    <n v="13224"/>
    <n v="1"/>
    <s v="napolitana_s"/>
    <n v="1"/>
    <x v="92"/>
    <x v="6"/>
    <x v="2617"/>
    <n v="12"/>
    <n v="12"/>
    <x v="1"/>
    <x v="0"/>
    <s v="Tomatoes, Anchovies, Green Olives, Red Onions, Garlic"/>
    <x v="5"/>
  </r>
  <r>
    <n v="29946"/>
    <n v="13226"/>
    <n v="1"/>
    <s v="sicilian_m"/>
    <n v="1"/>
    <x v="92"/>
    <x v="6"/>
    <x v="1517"/>
    <n v="16.25"/>
    <n v="16.25"/>
    <x v="0"/>
    <x v="2"/>
    <s v="Coarse Sicilian Salami, Tomatoes, Green Olives, Luganega Sausage, Onions, Garlic"/>
    <x v="7"/>
  </r>
  <r>
    <n v="29950"/>
    <n v="13228"/>
    <n v="0.33333333333333331"/>
    <s v="big_meat_s"/>
    <n v="1"/>
    <x v="92"/>
    <x v="6"/>
    <x v="2618"/>
    <n v="12"/>
    <n v="12"/>
    <x v="1"/>
    <x v="0"/>
    <s v="Bacon, Pepperoni, Italian Sausage, Chorizo Sausage"/>
    <x v="4"/>
  </r>
  <r>
    <n v="29952"/>
    <n v="13228"/>
    <n v="0.33333333333333331"/>
    <s v="hawaiian_m"/>
    <n v="1"/>
    <x v="92"/>
    <x v="6"/>
    <x v="2618"/>
    <n v="13.25"/>
    <n v="13.25"/>
    <x v="0"/>
    <x v="0"/>
    <s v="Sliced Ham, Pineapple, Mozzarella Cheese"/>
    <x v="0"/>
  </r>
  <r>
    <n v="29954"/>
    <n v="13228"/>
    <n v="0.33333333333333331"/>
    <s v="pepperoni_l"/>
    <n v="1"/>
    <x v="92"/>
    <x v="6"/>
    <x v="2618"/>
    <n v="15.25"/>
    <n v="15.25"/>
    <x v="2"/>
    <x v="0"/>
    <s v="Mozzarella Cheese, Pepperoni"/>
    <x v="3"/>
  </r>
  <r>
    <n v="29956"/>
    <n v="13230"/>
    <n v="1"/>
    <s v="hawaiian_l"/>
    <n v="1"/>
    <x v="92"/>
    <x v="6"/>
    <x v="2619"/>
    <n v="16.5"/>
    <n v="16.5"/>
    <x v="2"/>
    <x v="0"/>
    <s v="Sliced Ham, Pineapple, Mozzarella Cheese"/>
    <x v="0"/>
  </r>
  <r>
    <n v="29958"/>
    <n v="13231"/>
    <n v="1"/>
    <s v="the_greek_xl"/>
    <n v="1"/>
    <x v="92"/>
    <x v="6"/>
    <x v="8"/>
    <n v="25.5"/>
    <n v="25.5"/>
    <x v="3"/>
    <x v="0"/>
    <s v="Kalamata Olives, Feta Cheese, Tomatoes, Garlic, Beef Chuck Roast, Red Onions"/>
    <x v="2"/>
  </r>
  <r>
    <n v="29959"/>
    <n v="13232"/>
    <n v="1"/>
    <s v="napolitana_s"/>
    <n v="1"/>
    <x v="92"/>
    <x v="6"/>
    <x v="2620"/>
    <n v="12"/>
    <n v="12"/>
    <x v="1"/>
    <x v="0"/>
    <s v="Tomatoes, Anchovies, Green Olives, Red Onions, Garlic"/>
    <x v="5"/>
  </r>
  <r>
    <n v="29965"/>
    <n v="13235"/>
    <n v="0.5"/>
    <s v="calabrese_m"/>
    <n v="1"/>
    <x v="92"/>
    <x v="6"/>
    <x v="2621"/>
    <n v="16.25"/>
    <n v="16.25"/>
    <x v="0"/>
    <x v="2"/>
    <s v="?duja Salami, Pancetta, Tomatoes, Red Onions, Friggitello Peppers, Garlic"/>
    <x v="6"/>
  </r>
  <r>
    <n v="29972"/>
    <n v="13235"/>
    <n v="0.5"/>
    <s v="sicilian_s"/>
    <n v="1"/>
    <x v="92"/>
    <x v="6"/>
    <x v="2621"/>
    <n v="12.25"/>
    <n v="12.25"/>
    <x v="1"/>
    <x v="2"/>
    <s v="Coarse Sicilian Salami, Tomatoes, Green Olives, Luganega Sausage, Onions, Garlic"/>
    <x v="7"/>
  </r>
  <r>
    <n v="29981"/>
    <n v="13240"/>
    <n v="0.5"/>
    <s v="calabrese_m"/>
    <n v="1"/>
    <x v="92"/>
    <x v="6"/>
    <x v="2622"/>
    <n v="16.25"/>
    <n v="16.25"/>
    <x v="0"/>
    <x v="2"/>
    <s v="?duja Salami, Pancetta, Tomatoes, Red Onions, Friggitello Peppers, Garlic"/>
    <x v="6"/>
  </r>
  <r>
    <n v="29983"/>
    <n v="13240"/>
    <n v="0.5"/>
    <s v="pepperoni_s"/>
    <n v="1"/>
    <x v="92"/>
    <x v="6"/>
    <x v="2622"/>
    <n v="9.75"/>
    <n v="9.75"/>
    <x v="1"/>
    <x v="0"/>
    <s v="Mozzarella Cheese, Pepperoni"/>
    <x v="3"/>
  </r>
  <r>
    <n v="29987"/>
    <n v="13241"/>
    <n v="1"/>
    <s v="pepperoni_m"/>
    <n v="1"/>
    <x v="92"/>
    <x v="6"/>
    <x v="2623"/>
    <n v="12.5"/>
    <n v="12.5"/>
    <x v="0"/>
    <x v="0"/>
    <s v="Mozzarella Cheese, Pepperoni"/>
    <x v="3"/>
  </r>
  <r>
    <n v="29989"/>
    <n v="13242"/>
    <n v="1"/>
    <s v="hawaiian_m"/>
    <n v="1"/>
    <x v="92"/>
    <x v="6"/>
    <x v="549"/>
    <n v="13.25"/>
    <n v="13.25"/>
    <x v="0"/>
    <x v="0"/>
    <s v="Sliced Ham, Pineapple, Mozzarella Cheese"/>
    <x v="0"/>
  </r>
  <r>
    <n v="29994"/>
    <n v="13245"/>
    <n v="1"/>
    <s v="brie_carre_s"/>
    <n v="1"/>
    <x v="92"/>
    <x v="6"/>
    <x v="2624"/>
    <n v="23.65"/>
    <n v="23.65"/>
    <x v="1"/>
    <x v="2"/>
    <s v="Brie Carre Cheese, Prosciutto, Caramelized Onions, Pears, Thyme, Garlic"/>
    <x v="8"/>
  </r>
  <r>
    <n v="30000"/>
    <n v="13248"/>
    <n v="1"/>
    <s v="big_meat_s"/>
    <n v="1"/>
    <x v="92"/>
    <x v="6"/>
    <x v="2625"/>
    <n v="12"/>
    <n v="12"/>
    <x v="1"/>
    <x v="0"/>
    <s v="Bacon, Pepperoni, Italian Sausage, Chorizo Sausage"/>
    <x v="4"/>
  </r>
  <r>
    <n v="30009"/>
    <n v="13252"/>
    <n v="1"/>
    <s v="pepperoni_m"/>
    <n v="1"/>
    <x v="92"/>
    <x v="6"/>
    <x v="2626"/>
    <n v="12.5"/>
    <n v="12.5"/>
    <x v="0"/>
    <x v="0"/>
    <s v="Mozzarella Cheese, Pepperoni"/>
    <x v="3"/>
  </r>
  <r>
    <n v="30011"/>
    <n v="13254"/>
    <n v="1"/>
    <s v="pepperoni_m"/>
    <n v="1"/>
    <x v="92"/>
    <x v="6"/>
    <x v="2627"/>
    <n v="12.5"/>
    <n v="12.5"/>
    <x v="0"/>
    <x v="0"/>
    <s v="Mozzarella Cheese, Pepperoni"/>
    <x v="3"/>
  </r>
  <r>
    <n v="30019"/>
    <n v="13258"/>
    <n v="0.5"/>
    <s v="calabrese_l"/>
    <n v="1"/>
    <x v="92"/>
    <x v="6"/>
    <x v="2628"/>
    <n v="20.25"/>
    <n v="20.25"/>
    <x v="2"/>
    <x v="2"/>
    <s v="?duja Salami, Pancetta, Tomatoes, Red Onions, Friggitello Peppers, Garlic"/>
    <x v="6"/>
  </r>
  <r>
    <n v="30020"/>
    <n v="13258"/>
    <n v="0.5"/>
    <s v="pepperoni_l"/>
    <n v="1"/>
    <x v="92"/>
    <x v="6"/>
    <x v="2628"/>
    <n v="15.25"/>
    <n v="15.25"/>
    <x v="2"/>
    <x v="0"/>
    <s v="Mozzarella Cheese, Pepperoni"/>
    <x v="3"/>
  </r>
  <r>
    <n v="30026"/>
    <n v="13262"/>
    <n v="1"/>
    <s v="calabrese_m"/>
    <n v="2"/>
    <x v="92"/>
    <x v="6"/>
    <x v="676"/>
    <n v="16.25"/>
    <n v="32.5"/>
    <x v="0"/>
    <x v="2"/>
    <s v="?duja Salami, Pancetta, Tomatoes, Red Onions, Friggitello Peppers, Garlic"/>
    <x v="6"/>
  </r>
  <r>
    <n v="30029"/>
    <n v="13263"/>
    <n v="1"/>
    <s v="sicilian_m"/>
    <n v="1"/>
    <x v="92"/>
    <x v="6"/>
    <x v="2629"/>
    <n v="16.25"/>
    <n v="16.25"/>
    <x v="0"/>
    <x v="2"/>
    <s v="Coarse Sicilian Salami, Tomatoes, Green Olives, Luganega Sausage, Onions, Garlic"/>
    <x v="7"/>
  </r>
  <r>
    <n v="30030"/>
    <n v="13264"/>
    <n v="1"/>
    <s v="brie_carre_s"/>
    <n v="1"/>
    <x v="92"/>
    <x v="6"/>
    <x v="1755"/>
    <n v="23.65"/>
    <n v="23.65"/>
    <x v="1"/>
    <x v="2"/>
    <s v="Brie Carre Cheese, Prosciutto, Caramelized Onions, Pears, Thyme, Garlic"/>
    <x v="8"/>
  </r>
  <r>
    <n v="30033"/>
    <n v="13265"/>
    <n v="1"/>
    <s v="napolitana_s"/>
    <n v="1"/>
    <x v="92"/>
    <x v="6"/>
    <x v="2630"/>
    <n v="12"/>
    <n v="12"/>
    <x v="1"/>
    <x v="0"/>
    <s v="Tomatoes, Anchovies, Green Olives, Red Onions, Garlic"/>
    <x v="5"/>
  </r>
  <r>
    <n v="30036"/>
    <n v="13266"/>
    <n v="1"/>
    <s v="pepperoni_s"/>
    <n v="1"/>
    <x v="92"/>
    <x v="6"/>
    <x v="2631"/>
    <n v="9.75"/>
    <n v="9.75"/>
    <x v="1"/>
    <x v="0"/>
    <s v="Mozzarella Cheese, Pepperoni"/>
    <x v="3"/>
  </r>
  <r>
    <n v="30037"/>
    <n v="13267"/>
    <n v="1"/>
    <s v="pepperoni_m"/>
    <n v="1"/>
    <x v="92"/>
    <x v="6"/>
    <x v="899"/>
    <n v="12.5"/>
    <n v="12.5"/>
    <x v="0"/>
    <x v="0"/>
    <s v="Mozzarella Cheese, Pepperoni"/>
    <x v="3"/>
  </r>
  <r>
    <n v="30040"/>
    <n v="13268"/>
    <n v="1"/>
    <s v="pepperoni_s"/>
    <n v="1"/>
    <x v="92"/>
    <x v="6"/>
    <x v="2632"/>
    <n v="9.75"/>
    <n v="9.75"/>
    <x v="1"/>
    <x v="0"/>
    <s v="Mozzarella Cheese, Pepperoni"/>
    <x v="3"/>
  </r>
  <r>
    <n v="30054"/>
    <n v="13272"/>
    <n v="1"/>
    <s v="big_meat_s"/>
    <n v="2"/>
    <x v="92"/>
    <x v="6"/>
    <x v="2633"/>
    <n v="12"/>
    <n v="24"/>
    <x v="1"/>
    <x v="0"/>
    <s v="Bacon, Pepperoni, Italian Sausage, Chorizo Sausage"/>
    <x v="4"/>
  </r>
  <r>
    <n v="30055"/>
    <n v="13273"/>
    <n v="1"/>
    <s v="big_meat_s"/>
    <n v="1"/>
    <x v="92"/>
    <x v="6"/>
    <x v="2634"/>
    <n v="12"/>
    <n v="12"/>
    <x v="1"/>
    <x v="0"/>
    <s v="Bacon, Pepperoni, Italian Sausage, Chorizo Sausage"/>
    <x v="4"/>
  </r>
  <r>
    <n v="30059"/>
    <n v="13275"/>
    <n v="1"/>
    <s v="napolitana_m"/>
    <n v="1"/>
    <x v="92"/>
    <x v="6"/>
    <x v="2635"/>
    <n v="16"/>
    <n v="16"/>
    <x v="0"/>
    <x v="0"/>
    <s v="Tomatoes, Anchovies, Green Olives, Red Onions, Garlic"/>
    <x v="5"/>
  </r>
  <r>
    <n v="30060"/>
    <n v="13276"/>
    <n v="1"/>
    <s v="pepperoni_m"/>
    <n v="1"/>
    <x v="92"/>
    <x v="6"/>
    <x v="2636"/>
    <n v="12.5"/>
    <n v="12.5"/>
    <x v="0"/>
    <x v="0"/>
    <s v="Mozzarella Cheese, Pepperoni"/>
    <x v="3"/>
  </r>
  <r>
    <n v="30061"/>
    <n v="13277"/>
    <n v="1"/>
    <s v="hawaiian_l"/>
    <n v="1"/>
    <x v="92"/>
    <x v="6"/>
    <x v="2637"/>
    <n v="16.5"/>
    <n v="16.5"/>
    <x v="2"/>
    <x v="0"/>
    <s v="Sliced Ham, Pineapple, Mozzarella Cheese"/>
    <x v="0"/>
  </r>
  <r>
    <n v="30063"/>
    <n v="13278"/>
    <n v="1"/>
    <s v="calabrese_l"/>
    <n v="1"/>
    <x v="92"/>
    <x v="6"/>
    <x v="2638"/>
    <n v="20.25"/>
    <n v="20.25"/>
    <x v="2"/>
    <x v="2"/>
    <s v="?duja Salami, Pancetta, Tomatoes, Red Onions, Friggitello Peppers, Garlic"/>
    <x v="6"/>
  </r>
  <r>
    <n v="30065"/>
    <n v="13279"/>
    <n v="1"/>
    <s v="pepperoni_l"/>
    <n v="1"/>
    <x v="93"/>
    <x v="0"/>
    <x v="2639"/>
    <n v="15.25"/>
    <n v="15.25"/>
    <x v="2"/>
    <x v="0"/>
    <s v="Mozzarella Cheese, Pepperoni"/>
    <x v="3"/>
  </r>
  <r>
    <n v="30075"/>
    <n v="13286"/>
    <n v="1"/>
    <s v="sicilian_l"/>
    <n v="1"/>
    <x v="93"/>
    <x v="0"/>
    <x v="2640"/>
    <n v="20.25"/>
    <n v="20.25"/>
    <x v="2"/>
    <x v="2"/>
    <s v="Coarse Sicilian Salami, Tomatoes, Green Olives, Luganega Sausage, Onions, Garlic"/>
    <x v="7"/>
  </r>
  <r>
    <n v="30079"/>
    <n v="13287"/>
    <n v="1"/>
    <s v="the_greek_m"/>
    <n v="1"/>
    <x v="93"/>
    <x v="0"/>
    <x v="2641"/>
    <n v="16"/>
    <n v="16"/>
    <x v="0"/>
    <x v="0"/>
    <s v="Kalamata Olives, Feta Cheese, Tomatoes, Garlic, Beef Chuck Roast, Red Onions"/>
    <x v="2"/>
  </r>
  <r>
    <n v="30090"/>
    <n v="13292"/>
    <n v="0.5"/>
    <s v="napolitana_l"/>
    <n v="1"/>
    <x v="93"/>
    <x v="0"/>
    <x v="2642"/>
    <n v="20.5"/>
    <n v="20.5"/>
    <x v="2"/>
    <x v="0"/>
    <s v="Tomatoes, Anchovies, Green Olives, Red Onions, Garlic"/>
    <x v="5"/>
  </r>
  <r>
    <n v="30094"/>
    <n v="13292"/>
    <n v="0.5"/>
    <s v="the_greek_m"/>
    <n v="1"/>
    <x v="93"/>
    <x v="0"/>
    <x v="2642"/>
    <n v="16"/>
    <n v="16"/>
    <x v="0"/>
    <x v="0"/>
    <s v="Kalamata Olives, Feta Cheese, Tomatoes, Garlic, Beef Chuck Roast, Red Onions"/>
    <x v="2"/>
  </r>
  <r>
    <n v="30096"/>
    <n v="13293"/>
    <n v="1"/>
    <s v="sicilian_l"/>
    <n v="1"/>
    <x v="93"/>
    <x v="0"/>
    <x v="2643"/>
    <n v="20.25"/>
    <n v="20.25"/>
    <x v="2"/>
    <x v="2"/>
    <s v="Coarse Sicilian Salami, Tomatoes, Green Olives, Luganega Sausage, Onions, Garlic"/>
    <x v="7"/>
  </r>
  <r>
    <n v="30105"/>
    <n v="13298"/>
    <n v="1"/>
    <s v="sicilian_l"/>
    <n v="1"/>
    <x v="93"/>
    <x v="0"/>
    <x v="2644"/>
    <n v="20.25"/>
    <n v="20.25"/>
    <x v="2"/>
    <x v="2"/>
    <s v="Coarse Sicilian Salami, Tomatoes, Green Olives, Luganega Sausage, Onions, Garlic"/>
    <x v="7"/>
  </r>
  <r>
    <n v="30106"/>
    <n v="13299"/>
    <n v="1"/>
    <s v="hawaiian_m"/>
    <n v="1"/>
    <x v="93"/>
    <x v="0"/>
    <x v="2645"/>
    <n v="13.25"/>
    <n v="13.25"/>
    <x v="0"/>
    <x v="0"/>
    <s v="Sliced Ham, Pineapple, Mozzarella Cheese"/>
    <x v="0"/>
  </r>
  <r>
    <n v="30109"/>
    <n v="13301"/>
    <n v="0.5"/>
    <s v="brie_carre_s"/>
    <n v="1"/>
    <x v="93"/>
    <x v="0"/>
    <x v="2646"/>
    <n v="23.65"/>
    <n v="23.65"/>
    <x v="1"/>
    <x v="2"/>
    <s v="Brie Carre Cheese, Prosciutto, Caramelized Onions, Pears, Thyme, Garlic"/>
    <x v="8"/>
  </r>
  <r>
    <n v="30111"/>
    <n v="13301"/>
    <n v="0.5"/>
    <s v="pepperoni_l"/>
    <n v="1"/>
    <x v="93"/>
    <x v="0"/>
    <x v="2646"/>
    <n v="15.25"/>
    <n v="15.25"/>
    <x v="2"/>
    <x v="0"/>
    <s v="Mozzarella Cheese, Pepperoni"/>
    <x v="3"/>
  </r>
  <r>
    <n v="30121"/>
    <n v="13305"/>
    <n v="1"/>
    <s v="the_greek_xl"/>
    <n v="1"/>
    <x v="93"/>
    <x v="0"/>
    <x v="2647"/>
    <n v="25.5"/>
    <n v="25.5"/>
    <x v="3"/>
    <x v="0"/>
    <s v="Kalamata Olives, Feta Cheese, Tomatoes, Garlic, Beef Chuck Roast, Red Onions"/>
    <x v="2"/>
  </r>
  <r>
    <n v="30122"/>
    <n v="13306"/>
    <n v="0.5"/>
    <s v="big_meat_s"/>
    <n v="1"/>
    <x v="93"/>
    <x v="0"/>
    <x v="2648"/>
    <n v="12"/>
    <n v="12"/>
    <x v="1"/>
    <x v="0"/>
    <s v="Bacon, Pepperoni, Italian Sausage, Chorizo Sausage"/>
    <x v="4"/>
  </r>
  <r>
    <n v="30123"/>
    <n v="13306"/>
    <n v="0.5"/>
    <s v="hawaiian_m"/>
    <n v="1"/>
    <x v="93"/>
    <x v="0"/>
    <x v="2648"/>
    <n v="13.25"/>
    <n v="13.25"/>
    <x v="0"/>
    <x v="0"/>
    <s v="Sliced Ham, Pineapple, Mozzarella Cheese"/>
    <x v="0"/>
  </r>
  <r>
    <n v="30128"/>
    <n v="13308"/>
    <n v="1"/>
    <s v="pepperoni_s"/>
    <n v="1"/>
    <x v="93"/>
    <x v="0"/>
    <x v="2649"/>
    <n v="9.75"/>
    <n v="9.75"/>
    <x v="1"/>
    <x v="0"/>
    <s v="Mozzarella Cheese, Pepperoni"/>
    <x v="3"/>
  </r>
  <r>
    <n v="30129"/>
    <n v="13309"/>
    <n v="1"/>
    <s v="mexicana_l"/>
    <n v="1"/>
    <x v="93"/>
    <x v="0"/>
    <x v="331"/>
    <n v="20.25"/>
    <n v="20.25"/>
    <x v="2"/>
    <x v="1"/>
    <s v="Tomatoes, Red Peppers, Jalapeno Peppers, Red Onions, Cilantro, Corn, Chipotle Sauce, Garlic"/>
    <x v="1"/>
  </r>
  <r>
    <n v="30143"/>
    <n v="13315"/>
    <n v="0.5"/>
    <s v="hawaiian_l"/>
    <n v="1"/>
    <x v="93"/>
    <x v="0"/>
    <x v="2650"/>
    <n v="16.5"/>
    <n v="16.5"/>
    <x v="2"/>
    <x v="0"/>
    <s v="Sliced Ham, Pineapple, Mozzarella Cheese"/>
    <x v="0"/>
  </r>
  <r>
    <n v="30144"/>
    <n v="13315"/>
    <n v="0.5"/>
    <s v="mexicana_l"/>
    <n v="1"/>
    <x v="93"/>
    <x v="0"/>
    <x v="2650"/>
    <n v="20.25"/>
    <n v="20.25"/>
    <x v="2"/>
    <x v="1"/>
    <s v="Tomatoes, Red Peppers, Jalapeno Peppers, Red Onions, Cilantro, Corn, Chipotle Sauce, Garlic"/>
    <x v="1"/>
  </r>
  <r>
    <n v="30147"/>
    <n v="13318"/>
    <n v="1"/>
    <s v="hawaiian_s"/>
    <n v="1"/>
    <x v="93"/>
    <x v="0"/>
    <x v="2651"/>
    <n v="10.5"/>
    <n v="10.5"/>
    <x v="1"/>
    <x v="0"/>
    <s v="Sliced Ham, Pineapple, Mozzarella Cheese"/>
    <x v="0"/>
  </r>
  <r>
    <n v="30152"/>
    <n v="13320"/>
    <n v="1"/>
    <s v="the_greek_s"/>
    <n v="1"/>
    <x v="93"/>
    <x v="0"/>
    <x v="2652"/>
    <n v="12"/>
    <n v="12"/>
    <x v="1"/>
    <x v="0"/>
    <s v="Kalamata Olives, Feta Cheese, Tomatoes, Garlic, Beef Chuck Roast, Red Onions"/>
    <x v="2"/>
  </r>
  <r>
    <n v="30158"/>
    <n v="13322"/>
    <n v="1"/>
    <s v="pepperoni_l"/>
    <n v="1"/>
    <x v="93"/>
    <x v="0"/>
    <x v="2653"/>
    <n v="15.25"/>
    <n v="15.25"/>
    <x v="2"/>
    <x v="0"/>
    <s v="Mozzarella Cheese, Pepperoni"/>
    <x v="3"/>
  </r>
  <r>
    <n v="30160"/>
    <n v="13323"/>
    <n v="1"/>
    <s v="big_meat_s"/>
    <n v="1"/>
    <x v="93"/>
    <x v="0"/>
    <x v="2654"/>
    <n v="12"/>
    <n v="12"/>
    <x v="1"/>
    <x v="0"/>
    <s v="Bacon, Pepperoni, Italian Sausage, Chorizo Sausage"/>
    <x v="4"/>
  </r>
  <r>
    <n v="30163"/>
    <n v="13325"/>
    <n v="1"/>
    <s v="napolitana_l"/>
    <n v="1"/>
    <x v="93"/>
    <x v="0"/>
    <x v="2655"/>
    <n v="20.5"/>
    <n v="20.5"/>
    <x v="2"/>
    <x v="0"/>
    <s v="Tomatoes, Anchovies, Green Olives, Red Onions, Garlic"/>
    <x v="5"/>
  </r>
  <r>
    <n v="30164"/>
    <n v="13326"/>
    <n v="1"/>
    <s v="sicilian_l"/>
    <n v="1"/>
    <x v="93"/>
    <x v="0"/>
    <x v="2656"/>
    <n v="20.25"/>
    <n v="20.25"/>
    <x v="2"/>
    <x v="2"/>
    <s v="Coarse Sicilian Salami, Tomatoes, Green Olives, Luganega Sausage, Onions, Garlic"/>
    <x v="7"/>
  </r>
  <r>
    <n v="30171"/>
    <n v="13329"/>
    <n v="1"/>
    <s v="sicilian_l"/>
    <n v="1"/>
    <x v="93"/>
    <x v="0"/>
    <x v="2657"/>
    <n v="20.25"/>
    <n v="20.25"/>
    <x v="2"/>
    <x v="2"/>
    <s v="Coarse Sicilian Salami, Tomatoes, Green Olives, Luganega Sausage, Onions, Garlic"/>
    <x v="7"/>
  </r>
  <r>
    <n v="30174"/>
    <n v="13330"/>
    <n v="0.5"/>
    <s v="hawaiian_l"/>
    <n v="1"/>
    <x v="93"/>
    <x v="0"/>
    <x v="2658"/>
    <n v="16.5"/>
    <n v="16.5"/>
    <x v="2"/>
    <x v="0"/>
    <s v="Sliced Ham, Pineapple, Mozzarella Cheese"/>
    <x v="0"/>
  </r>
  <r>
    <n v="30175"/>
    <n v="13330"/>
    <n v="0.5"/>
    <s v="napolitana_m"/>
    <n v="1"/>
    <x v="93"/>
    <x v="0"/>
    <x v="2658"/>
    <n v="16"/>
    <n v="16"/>
    <x v="0"/>
    <x v="0"/>
    <s v="Tomatoes, Anchovies, Green Olives, Red Onions, Garlic"/>
    <x v="5"/>
  </r>
  <r>
    <n v="30189"/>
    <n v="13338"/>
    <n v="1"/>
    <s v="hawaiian_l"/>
    <n v="1"/>
    <x v="94"/>
    <x v="1"/>
    <x v="375"/>
    <n v="16.5"/>
    <n v="16.5"/>
    <x v="2"/>
    <x v="0"/>
    <s v="Sliced Ham, Pineapple, Mozzarella Cheese"/>
    <x v="0"/>
  </r>
  <r>
    <n v="30202"/>
    <n v="13341"/>
    <n v="0.25"/>
    <s v="hawaiian_m"/>
    <n v="1"/>
    <x v="94"/>
    <x v="1"/>
    <x v="2659"/>
    <n v="13.25"/>
    <n v="13.25"/>
    <x v="0"/>
    <x v="0"/>
    <s v="Sliced Ham, Pineapple, Mozzarella Cheese"/>
    <x v="0"/>
  </r>
  <r>
    <n v="30206"/>
    <n v="13341"/>
    <n v="0.25"/>
    <s v="the_greek_l"/>
    <n v="1"/>
    <x v="94"/>
    <x v="1"/>
    <x v="2659"/>
    <n v="20.5"/>
    <n v="20.5"/>
    <x v="2"/>
    <x v="0"/>
    <s v="Kalamata Olives, Feta Cheese, Tomatoes, Garlic, Beef Chuck Roast, Red Onions"/>
    <x v="2"/>
  </r>
  <r>
    <n v="30207"/>
    <n v="13341"/>
    <n v="0.25"/>
    <s v="the_greek_xl"/>
    <n v="1"/>
    <x v="94"/>
    <x v="1"/>
    <x v="2659"/>
    <n v="25.5"/>
    <n v="25.5"/>
    <x v="3"/>
    <x v="0"/>
    <s v="Kalamata Olives, Feta Cheese, Tomatoes, Garlic, Beef Chuck Roast, Red Onions"/>
    <x v="2"/>
  </r>
  <r>
    <n v="30208"/>
    <n v="13341"/>
    <n v="0.25"/>
    <s v="the_greek_xxl"/>
    <n v="1"/>
    <x v="94"/>
    <x v="1"/>
    <x v="2659"/>
    <n v="35.950000000000003"/>
    <n v="35.950000000000003"/>
    <x v="4"/>
    <x v="0"/>
    <s v="Kalamata Olives, Feta Cheese, Tomatoes, Garlic, Beef Chuck Roast, Red Onions"/>
    <x v="2"/>
  </r>
  <r>
    <n v="30213"/>
    <n v="13344"/>
    <n v="0.5"/>
    <s v="calabrese_m"/>
    <n v="1"/>
    <x v="94"/>
    <x v="1"/>
    <x v="2532"/>
    <n v="16.25"/>
    <n v="16.25"/>
    <x v="0"/>
    <x v="2"/>
    <s v="?duja Salami, Pancetta, Tomatoes, Red Onions, Friggitello Peppers, Garlic"/>
    <x v="6"/>
  </r>
  <r>
    <n v="30216"/>
    <n v="13344"/>
    <n v="0.5"/>
    <s v="the_greek_xl"/>
    <n v="1"/>
    <x v="94"/>
    <x v="1"/>
    <x v="2532"/>
    <n v="25.5"/>
    <n v="25.5"/>
    <x v="3"/>
    <x v="0"/>
    <s v="Kalamata Olives, Feta Cheese, Tomatoes, Garlic, Beef Chuck Roast, Red Onions"/>
    <x v="2"/>
  </r>
  <r>
    <n v="30217"/>
    <n v="13345"/>
    <n v="1"/>
    <s v="sicilian_l"/>
    <n v="1"/>
    <x v="94"/>
    <x v="1"/>
    <x v="2660"/>
    <n v="20.25"/>
    <n v="20.25"/>
    <x v="2"/>
    <x v="2"/>
    <s v="Coarse Sicilian Salami, Tomatoes, Green Olives, Luganega Sausage, Onions, Garlic"/>
    <x v="7"/>
  </r>
  <r>
    <n v="30218"/>
    <n v="13346"/>
    <n v="1"/>
    <s v="hawaiian_s"/>
    <n v="1"/>
    <x v="94"/>
    <x v="1"/>
    <x v="2661"/>
    <n v="10.5"/>
    <n v="10.5"/>
    <x v="1"/>
    <x v="0"/>
    <s v="Sliced Ham, Pineapple, Mozzarella Cheese"/>
    <x v="0"/>
  </r>
  <r>
    <n v="30223"/>
    <n v="13348"/>
    <n v="1"/>
    <s v="pepperoni_l"/>
    <n v="1"/>
    <x v="94"/>
    <x v="1"/>
    <x v="2662"/>
    <n v="15.25"/>
    <n v="15.25"/>
    <x v="2"/>
    <x v="0"/>
    <s v="Mozzarella Cheese, Pepperoni"/>
    <x v="3"/>
  </r>
  <r>
    <n v="30228"/>
    <n v="13350"/>
    <n v="1"/>
    <s v="pepperoni_s"/>
    <n v="1"/>
    <x v="94"/>
    <x v="1"/>
    <x v="2663"/>
    <n v="9.75"/>
    <n v="9.75"/>
    <x v="1"/>
    <x v="0"/>
    <s v="Mozzarella Cheese, Pepperoni"/>
    <x v="3"/>
  </r>
  <r>
    <n v="30230"/>
    <n v="13351"/>
    <n v="1"/>
    <s v="mexicana_l"/>
    <n v="1"/>
    <x v="94"/>
    <x v="1"/>
    <x v="2664"/>
    <n v="20.25"/>
    <n v="20.25"/>
    <x v="2"/>
    <x v="1"/>
    <s v="Tomatoes, Red Peppers, Jalapeno Peppers, Red Onions, Cilantro, Corn, Chipotle Sauce, Garlic"/>
    <x v="1"/>
  </r>
  <r>
    <n v="30241"/>
    <n v="13359"/>
    <n v="1"/>
    <s v="mexicana_m"/>
    <n v="1"/>
    <x v="94"/>
    <x v="1"/>
    <x v="2665"/>
    <n v="16"/>
    <n v="16"/>
    <x v="0"/>
    <x v="1"/>
    <s v="Tomatoes, Red Peppers, Jalapeno Peppers, Red Onions, Cilantro, Corn, Chipotle Sauce, Garlic"/>
    <x v="1"/>
  </r>
  <r>
    <n v="30242"/>
    <n v="13360"/>
    <n v="1"/>
    <s v="hawaiian_l"/>
    <n v="1"/>
    <x v="94"/>
    <x v="1"/>
    <x v="2666"/>
    <n v="16.5"/>
    <n v="16.5"/>
    <x v="2"/>
    <x v="0"/>
    <s v="Sliced Ham, Pineapple, Mozzarella Cheese"/>
    <x v="0"/>
  </r>
  <r>
    <n v="30251"/>
    <n v="13365"/>
    <n v="1"/>
    <s v="the_greek_m"/>
    <n v="1"/>
    <x v="94"/>
    <x v="1"/>
    <x v="2667"/>
    <n v="16"/>
    <n v="16"/>
    <x v="0"/>
    <x v="0"/>
    <s v="Kalamata Olives, Feta Cheese, Tomatoes, Garlic, Beef Chuck Roast, Red Onions"/>
    <x v="2"/>
  </r>
  <r>
    <n v="30254"/>
    <n v="13367"/>
    <n v="1"/>
    <s v="sicilian_m"/>
    <n v="1"/>
    <x v="94"/>
    <x v="1"/>
    <x v="2668"/>
    <n v="16.25"/>
    <n v="16.25"/>
    <x v="0"/>
    <x v="2"/>
    <s v="Coarse Sicilian Salami, Tomatoes, Green Olives, Luganega Sausage, Onions, Garlic"/>
    <x v="7"/>
  </r>
  <r>
    <n v="30258"/>
    <n v="13369"/>
    <n v="1"/>
    <s v="the_greek_l"/>
    <n v="1"/>
    <x v="94"/>
    <x v="1"/>
    <x v="2669"/>
    <n v="20.5"/>
    <n v="20.5"/>
    <x v="2"/>
    <x v="0"/>
    <s v="Kalamata Olives, Feta Cheese, Tomatoes, Garlic, Beef Chuck Roast, Red Onions"/>
    <x v="2"/>
  </r>
  <r>
    <n v="30263"/>
    <n v="13371"/>
    <n v="0.33333333333333331"/>
    <s v="hawaiian_s"/>
    <n v="1"/>
    <x v="94"/>
    <x v="1"/>
    <x v="2670"/>
    <n v="10.5"/>
    <n v="10.5"/>
    <x v="1"/>
    <x v="0"/>
    <s v="Sliced Ham, Pineapple, Mozzarella Cheese"/>
    <x v="0"/>
  </r>
  <r>
    <n v="30264"/>
    <n v="13371"/>
    <n v="0.33333333333333331"/>
    <s v="mexicana_s"/>
    <n v="1"/>
    <x v="94"/>
    <x v="1"/>
    <x v="2670"/>
    <n v="12"/>
    <n v="12"/>
    <x v="1"/>
    <x v="1"/>
    <s v="Tomatoes, Red Peppers, Jalapeno Peppers, Red Onions, Cilantro, Corn, Chipotle Sauce, Garlic"/>
    <x v="1"/>
  </r>
  <r>
    <n v="30265"/>
    <n v="13371"/>
    <n v="0.33333333333333331"/>
    <s v="napolitana_s"/>
    <n v="1"/>
    <x v="94"/>
    <x v="1"/>
    <x v="2670"/>
    <n v="12"/>
    <n v="12"/>
    <x v="1"/>
    <x v="0"/>
    <s v="Tomatoes, Anchovies, Green Olives, Red Onions, Garlic"/>
    <x v="5"/>
  </r>
  <r>
    <n v="30267"/>
    <n v="13372"/>
    <n v="1"/>
    <s v="mexicana_l"/>
    <n v="1"/>
    <x v="94"/>
    <x v="1"/>
    <x v="2671"/>
    <n v="20.25"/>
    <n v="20.25"/>
    <x v="2"/>
    <x v="1"/>
    <s v="Tomatoes, Red Peppers, Jalapeno Peppers, Red Onions, Cilantro, Corn, Chipotle Sauce, Garlic"/>
    <x v="1"/>
  </r>
  <r>
    <n v="30271"/>
    <n v="13374"/>
    <n v="1"/>
    <s v="big_meat_s"/>
    <n v="1"/>
    <x v="94"/>
    <x v="1"/>
    <x v="2672"/>
    <n v="12"/>
    <n v="12"/>
    <x v="1"/>
    <x v="0"/>
    <s v="Bacon, Pepperoni, Italian Sausage, Chorizo Sausage"/>
    <x v="4"/>
  </r>
  <r>
    <n v="30273"/>
    <n v="13375"/>
    <n v="1"/>
    <s v="hawaiian_l"/>
    <n v="1"/>
    <x v="94"/>
    <x v="1"/>
    <x v="2673"/>
    <n v="16.5"/>
    <n v="16.5"/>
    <x v="2"/>
    <x v="0"/>
    <s v="Sliced Ham, Pineapple, Mozzarella Cheese"/>
    <x v="0"/>
  </r>
  <r>
    <n v="30278"/>
    <n v="13377"/>
    <n v="1"/>
    <s v="napolitana_m"/>
    <n v="1"/>
    <x v="94"/>
    <x v="1"/>
    <x v="2674"/>
    <n v="16"/>
    <n v="16"/>
    <x v="0"/>
    <x v="0"/>
    <s v="Tomatoes, Anchovies, Green Olives, Red Onions, Garlic"/>
    <x v="5"/>
  </r>
  <r>
    <n v="30281"/>
    <n v="13378"/>
    <n v="1"/>
    <s v="hawaiian_m"/>
    <n v="1"/>
    <x v="94"/>
    <x v="1"/>
    <x v="2675"/>
    <n v="13.25"/>
    <n v="13.25"/>
    <x v="0"/>
    <x v="0"/>
    <s v="Sliced Ham, Pineapple, Mozzarella Cheese"/>
    <x v="0"/>
  </r>
  <r>
    <n v="30284"/>
    <n v="13380"/>
    <n v="1"/>
    <s v="napolitana_m"/>
    <n v="1"/>
    <x v="94"/>
    <x v="1"/>
    <x v="2676"/>
    <n v="16"/>
    <n v="16"/>
    <x v="0"/>
    <x v="0"/>
    <s v="Tomatoes, Anchovies, Green Olives, Red Onions, Garlic"/>
    <x v="5"/>
  </r>
  <r>
    <n v="30287"/>
    <n v="13381"/>
    <n v="1"/>
    <s v="hawaiian_m"/>
    <n v="1"/>
    <x v="94"/>
    <x v="1"/>
    <x v="2677"/>
    <n v="13.25"/>
    <n v="13.25"/>
    <x v="0"/>
    <x v="0"/>
    <s v="Sliced Ham, Pineapple, Mozzarella Cheese"/>
    <x v="0"/>
  </r>
  <r>
    <n v="30291"/>
    <n v="13384"/>
    <n v="1"/>
    <s v="big_meat_s"/>
    <n v="2"/>
    <x v="94"/>
    <x v="1"/>
    <x v="2678"/>
    <n v="12"/>
    <n v="24"/>
    <x v="1"/>
    <x v="0"/>
    <s v="Bacon, Pepperoni, Italian Sausage, Chorizo Sausage"/>
    <x v="4"/>
  </r>
  <r>
    <n v="30298"/>
    <n v="13388"/>
    <n v="1"/>
    <s v="pepperoni_m"/>
    <n v="1"/>
    <x v="94"/>
    <x v="1"/>
    <x v="2679"/>
    <n v="12.5"/>
    <n v="12.5"/>
    <x v="0"/>
    <x v="0"/>
    <s v="Mozzarella Cheese, Pepperoni"/>
    <x v="3"/>
  </r>
  <r>
    <n v="30299"/>
    <n v="13389"/>
    <n v="1"/>
    <s v="big_meat_s"/>
    <n v="1"/>
    <x v="94"/>
    <x v="1"/>
    <x v="2680"/>
    <n v="12"/>
    <n v="12"/>
    <x v="1"/>
    <x v="0"/>
    <s v="Bacon, Pepperoni, Italian Sausage, Chorizo Sausage"/>
    <x v="4"/>
  </r>
  <r>
    <n v="30305"/>
    <n v="13393"/>
    <n v="1"/>
    <s v="hawaiian_l"/>
    <n v="1"/>
    <x v="94"/>
    <x v="1"/>
    <x v="2681"/>
    <n v="16.5"/>
    <n v="16.5"/>
    <x v="2"/>
    <x v="0"/>
    <s v="Sliced Ham, Pineapple, Mozzarella Cheese"/>
    <x v="0"/>
  </r>
  <r>
    <n v="30306"/>
    <n v="13394"/>
    <n v="1"/>
    <s v="calabrese_s"/>
    <n v="1"/>
    <x v="94"/>
    <x v="1"/>
    <x v="2682"/>
    <n v="12.25"/>
    <n v="12.25"/>
    <x v="1"/>
    <x v="2"/>
    <s v="?duja Salami, Pancetta, Tomatoes, Red Onions, Friggitello Peppers, Garlic"/>
    <x v="6"/>
  </r>
  <r>
    <n v="30312"/>
    <n v="13396"/>
    <n v="1"/>
    <s v="hawaiian_m"/>
    <n v="1"/>
    <x v="94"/>
    <x v="1"/>
    <x v="2683"/>
    <n v="13.25"/>
    <n v="13.25"/>
    <x v="0"/>
    <x v="0"/>
    <s v="Sliced Ham, Pineapple, Mozzarella Cheese"/>
    <x v="0"/>
  </r>
  <r>
    <n v="30317"/>
    <n v="13399"/>
    <n v="1"/>
    <s v="big_meat_s"/>
    <n v="1"/>
    <x v="94"/>
    <x v="1"/>
    <x v="2684"/>
    <n v="12"/>
    <n v="12"/>
    <x v="1"/>
    <x v="0"/>
    <s v="Bacon, Pepperoni, Italian Sausage, Chorizo Sausage"/>
    <x v="4"/>
  </r>
  <r>
    <n v="30319"/>
    <n v="13400"/>
    <n v="1"/>
    <s v="hawaiian_s"/>
    <n v="1"/>
    <x v="94"/>
    <x v="1"/>
    <x v="2685"/>
    <n v="10.5"/>
    <n v="10.5"/>
    <x v="1"/>
    <x v="0"/>
    <s v="Sliced Ham, Pineapple, Mozzarella Cheese"/>
    <x v="0"/>
  </r>
  <r>
    <n v="30323"/>
    <n v="13402"/>
    <n v="1"/>
    <s v="calabrese_m"/>
    <n v="1"/>
    <x v="95"/>
    <x v="6"/>
    <x v="2686"/>
    <n v="16.25"/>
    <n v="16.25"/>
    <x v="0"/>
    <x v="2"/>
    <s v="?duja Salami, Pancetta, Tomatoes, Red Onions, Friggitello Peppers, Garlic"/>
    <x v="6"/>
  </r>
  <r>
    <n v="30327"/>
    <n v="13403"/>
    <n v="0.5"/>
    <s v="hawaiian_s"/>
    <n v="1"/>
    <x v="95"/>
    <x v="6"/>
    <x v="2687"/>
    <n v="10.5"/>
    <n v="10.5"/>
    <x v="1"/>
    <x v="0"/>
    <s v="Sliced Ham, Pineapple, Mozzarella Cheese"/>
    <x v="0"/>
  </r>
  <r>
    <n v="30329"/>
    <n v="13403"/>
    <n v="0.5"/>
    <s v="napolitana_s"/>
    <n v="1"/>
    <x v="95"/>
    <x v="6"/>
    <x v="2687"/>
    <n v="12"/>
    <n v="12"/>
    <x v="1"/>
    <x v="0"/>
    <s v="Tomatoes, Anchovies, Green Olives, Red Onions, Garlic"/>
    <x v="5"/>
  </r>
  <r>
    <n v="30331"/>
    <n v="13404"/>
    <n v="1"/>
    <s v="pepperoni_s"/>
    <n v="1"/>
    <x v="95"/>
    <x v="6"/>
    <x v="2688"/>
    <n v="9.75"/>
    <n v="9.75"/>
    <x v="1"/>
    <x v="0"/>
    <s v="Mozzarella Cheese, Pepperoni"/>
    <x v="3"/>
  </r>
  <r>
    <n v="30332"/>
    <n v="13405"/>
    <n v="0.5"/>
    <s v="hawaiian_s"/>
    <n v="1"/>
    <x v="95"/>
    <x v="6"/>
    <x v="2689"/>
    <n v="10.5"/>
    <n v="10.5"/>
    <x v="1"/>
    <x v="0"/>
    <s v="Sliced Ham, Pineapple, Mozzarella Cheese"/>
    <x v="0"/>
  </r>
  <r>
    <n v="30333"/>
    <n v="13405"/>
    <n v="0.5"/>
    <s v="sicilian_l"/>
    <n v="1"/>
    <x v="95"/>
    <x v="6"/>
    <x v="2689"/>
    <n v="20.25"/>
    <n v="20.25"/>
    <x v="2"/>
    <x v="2"/>
    <s v="Coarse Sicilian Salami, Tomatoes, Green Olives, Luganega Sausage, Onions, Garlic"/>
    <x v="7"/>
  </r>
  <r>
    <n v="30337"/>
    <n v="13406"/>
    <n v="0.5"/>
    <s v="hawaiian_l"/>
    <n v="2"/>
    <x v="95"/>
    <x v="6"/>
    <x v="2690"/>
    <n v="16.5"/>
    <n v="33"/>
    <x v="2"/>
    <x v="0"/>
    <s v="Sliced Ham, Pineapple, Mozzarella Cheese"/>
    <x v="0"/>
  </r>
  <r>
    <n v="30341"/>
    <n v="13406"/>
    <n v="0.5"/>
    <s v="the_greek_m"/>
    <n v="1"/>
    <x v="95"/>
    <x v="6"/>
    <x v="2690"/>
    <n v="16"/>
    <n v="16"/>
    <x v="0"/>
    <x v="0"/>
    <s v="Kalamata Olives, Feta Cheese, Tomatoes, Garlic, Beef Chuck Roast, Red Onions"/>
    <x v="2"/>
  </r>
  <r>
    <n v="30342"/>
    <n v="13407"/>
    <n v="1"/>
    <s v="napolitana_m"/>
    <n v="1"/>
    <x v="95"/>
    <x v="6"/>
    <x v="2691"/>
    <n v="16"/>
    <n v="16"/>
    <x v="0"/>
    <x v="0"/>
    <s v="Tomatoes, Anchovies, Green Olives, Red Onions, Garlic"/>
    <x v="5"/>
  </r>
  <r>
    <n v="30343"/>
    <n v="13408"/>
    <n v="1"/>
    <s v="mexicana_m"/>
    <n v="1"/>
    <x v="95"/>
    <x v="6"/>
    <x v="2692"/>
    <n v="16"/>
    <n v="16"/>
    <x v="0"/>
    <x v="1"/>
    <s v="Tomatoes, Red Peppers, Jalapeno Peppers, Red Onions, Cilantro, Corn, Chipotle Sauce, Garlic"/>
    <x v="1"/>
  </r>
  <r>
    <n v="30349"/>
    <n v="13413"/>
    <n v="1"/>
    <s v="calabrese_m"/>
    <n v="1"/>
    <x v="95"/>
    <x v="6"/>
    <x v="2693"/>
    <n v="16.25"/>
    <n v="16.25"/>
    <x v="0"/>
    <x v="2"/>
    <s v="?duja Salami, Pancetta, Tomatoes, Red Onions, Friggitello Peppers, Garlic"/>
    <x v="6"/>
  </r>
  <r>
    <n v="30354"/>
    <n v="13415"/>
    <n v="0.5"/>
    <s v="big_meat_s"/>
    <n v="1"/>
    <x v="95"/>
    <x v="6"/>
    <x v="2694"/>
    <n v="12"/>
    <n v="12"/>
    <x v="1"/>
    <x v="0"/>
    <s v="Bacon, Pepperoni, Italian Sausage, Chorizo Sausage"/>
    <x v="4"/>
  </r>
  <r>
    <n v="30357"/>
    <n v="13415"/>
    <n v="0.5"/>
    <s v="the_greek_s"/>
    <n v="1"/>
    <x v="95"/>
    <x v="6"/>
    <x v="2694"/>
    <n v="12"/>
    <n v="12"/>
    <x v="1"/>
    <x v="0"/>
    <s v="Kalamata Olives, Feta Cheese, Tomatoes, Garlic, Beef Chuck Roast, Red Onions"/>
    <x v="2"/>
  </r>
  <r>
    <n v="30359"/>
    <n v="13417"/>
    <n v="0.33333333333333331"/>
    <s v="brie_carre_s"/>
    <n v="1"/>
    <x v="95"/>
    <x v="6"/>
    <x v="2695"/>
    <n v="23.65"/>
    <n v="23.65"/>
    <x v="1"/>
    <x v="2"/>
    <s v="Brie Carre Cheese, Prosciutto, Caramelized Onions, Pears, Thyme, Garlic"/>
    <x v="8"/>
  </r>
  <r>
    <n v="30361"/>
    <n v="13417"/>
    <n v="0.33333333333333331"/>
    <s v="hawaiian_m"/>
    <n v="1"/>
    <x v="95"/>
    <x v="6"/>
    <x v="2695"/>
    <n v="13.25"/>
    <n v="13.25"/>
    <x v="0"/>
    <x v="0"/>
    <s v="Sliced Ham, Pineapple, Mozzarella Cheese"/>
    <x v="0"/>
  </r>
  <r>
    <n v="30362"/>
    <n v="13417"/>
    <n v="0.33333333333333331"/>
    <s v="hawaiian_s"/>
    <n v="1"/>
    <x v="95"/>
    <x v="6"/>
    <x v="2695"/>
    <n v="10.5"/>
    <n v="10.5"/>
    <x v="1"/>
    <x v="0"/>
    <s v="Sliced Ham, Pineapple, Mozzarella Cheese"/>
    <x v="0"/>
  </r>
  <r>
    <n v="30370"/>
    <n v="13420"/>
    <n v="1"/>
    <s v="big_meat_s"/>
    <n v="1"/>
    <x v="95"/>
    <x v="6"/>
    <x v="2696"/>
    <n v="12"/>
    <n v="12"/>
    <x v="1"/>
    <x v="0"/>
    <s v="Bacon, Pepperoni, Italian Sausage, Chorizo Sausage"/>
    <x v="4"/>
  </r>
  <r>
    <n v="30381"/>
    <n v="13424"/>
    <n v="1"/>
    <s v="napolitana_s"/>
    <n v="1"/>
    <x v="95"/>
    <x v="6"/>
    <x v="2697"/>
    <n v="12"/>
    <n v="12"/>
    <x v="1"/>
    <x v="0"/>
    <s v="Tomatoes, Anchovies, Green Olives, Red Onions, Garlic"/>
    <x v="5"/>
  </r>
  <r>
    <n v="30384"/>
    <n v="13425"/>
    <n v="1"/>
    <s v="sicilian_s"/>
    <n v="1"/>
    <x v="95"/>
    <x v="6"/>
    <x v="2698"/>
    <n v="12.25"/>
    <n v="12.25"/>
    <x v="1"/>
    <x v="2"/>
    <s v="Coarse Sicilian Salami, Tomatoes, Green Olives, Luganega Sausage, Onions, Garlic"/>
    <x v="7"/>
  </r>
  <r>
    <n v="30386"/>
    <n v="13426"/>
    <n v="1"/>
    <s v="pepperoni_m"/>
    <n v="1"/>
    <x v="95"/>
    <x v="6"/>
    <x v="2699"/>
    <n v="12.5"/>
    <n v="12.5"/>
    <x v="0"/>
    <x v="0"/>
    <s v="Mozzarella Cheese, Pepperoni"/>
    <x v="3"/>
  </r>
  <r>
    <n v="30387"/>
    <n v="13427"/>
    <n v="1"/>
    <s v="big_meat_s"/>
    <n v="1"/>
    <x v="95"/>
    <x v="6"/>
    <x v="2700"/>
    <n v="12"/>
    <n v="12"/>
    <x v="1"/>
    <x v="0"/>
    <s v="Bacon, Pepperoni, Italian Sausage, Chorizo Sausage"/>
    <x v="4"/>
  </r>
  <r>
    <n v="30391"/>
    <n v="13428"/>
    <n v="1"/>
    <s v="calabrese_m"/>
    <n v="1"/>
    <x v="95"/>
    <x v="6"/>
    <x v="2701"/>
    <n v="16.25"/>
    <n v="16.25"/>
    <x v="0"/>
    <x v="2"/>
    <s v="?duja Salami, Pancetta, Tomatoes, Red Onions, Friggitello Peppers, Garlic"/>
    <x v="6"/>
  </r>
  <r>
    <n v="30394"/>
    <n v="13429"/>
    <n v="1"/>
    <s v="mexicana_l"/>
    <n v="1"/>
    <x v="95"/>
    <x v="6"/>
    <x v="1098"/>
    <n v="20.25"/>
    <n v="20.25"/>
    <x v="2"/>
    <x v="1"/>
    <s v="Tomatoes, Red Peppers, Jalapeno Peppers, Red Onions, Cilantro, Corn, Chipotle Sauce, Garlic"/>
    <x v="1"/>
  </r>
  <r>
    <n v="30398"/>
    <n v="13431"/>
    <n v="1"/>
    <s v="hawaiian_s"/>
    <n v="1"/>
    <x v="95"/>
    <x v="6"/>
    <x v="2702"/>
    <n v="10.5"/>
    <n v="10.5"/>
    <x v="1"/>
    <x v="0"/>
    <s v="Sliced Ham, Pineapple, Mozzarella Cheese"/>
    <x v="0"/>
  </r>
  <r>
    <n v="30407"/>
    <n v="13434"/>
    <n v="1"/>
    <s v="pepperoni_l"/>
    <n v="1"/>
    <x v="95"/>
    <x v="6"/>
    <x v="1651"/>
    <n v="15.25"/>
    <n v="15.25"/>
    <x v="2"/>
    <x v="0"/>
    <s v="Mozzarella Cheese, Pepperoni"/>
    <x v="3"/>
  </r>
  <r>
    <n v="30410"/>
    <n v="13436"/>
    <n v="1"/>
    <s v="the_greek_xl"/>
    <n v="1"/>
    <x v="95"/>
    <x v="6"/>
    <x v="2703"/>
    <n v="25.5"/>
    <n v="25.5"/>
    <x v="3"/>
    <x v="0"/>
    <s v="Kalamata Olives, Feta Cheese, Tomatoes, Garlic, Beef Chuck Roast, Red Onions"/>
    <x v="2"/>
  </r>
  <r>
    <n v="30413"/>
    <n v="13437"/>
    <n v="1"/>
    <s v="mexicana_l"/>
    <n v="1"/>
    <x v="95"/>
    <x v="6"/>
    <x v="2704"/>
    <n v="20.25"/>
    <n v="20.25"/>
    <x v="2"/>
    <x v="1"/>
    <s v="Tomatoes, Red Peppers, Jalapeno Peppers, Red Onions, Cilantro, Corn, Chipotle Sauce, Garlic"/>
    <x v="1"/>
  </r>
  <r>
    <n v="30415"/>
    <n v="13438"/>
    <n v="0.5"/>
    <s v="hawaiian_l"/>
    <n v="1"/>
    <x v="95"/>
    <x v="6"/>
    <x v="2705"/>
    <n v="16.5"/>
    <n v="16.5"/>
    <x v="2"/>
    <x v="0"/>
    <s v="Sliced Ham, Pineapple, Mozzarella Cheese"/>
    <x v="0"/>
  </r>
  <r>
    <n v="30416"/>
    <n v="13438"/>
    <n v="0.5"/>
    <s v="pepperoni_s"/>
    <n v="1"/>
    <x v="95"/>
    <x v="6"/>
    <x v="2705"/>
    <n v="9.75"/>
    <n v="9.75"/>
    <x v="1"/>
    <x v="0"/>
    <s v="Mozzarella Cheese, Pepperoni"/>
    <x v="3"/>
  </r>
  <r>
    <n v="30419"/>
    <n v="13439"/>
    <n v="1"/>
    <s v="sicilian_m"/>
    <n v="1"/>
    <x v="95"/>
    <x v="6"/>
    <x v="2706"/>
    <n v="16.25"/>
    <n v="16.25"/>
    <x v="0"/>
    <x v="2"/>
    <s v="Coarse Sicilian Salami, Tomatoes, Green Olives, Luganega Sausage, Onions, Garlic"/>
    <x v="7"/>
  </r>
  <r>
    <n v="30420"/>
    <n v="13440"/>
    <n v="1"/>
    <s v="hawaiian_s"/>
    <n v="1"/>
    <x v="95"/>
    <x v="6"/>
    <x v="2707"/>
    <n v="10.5"/>
    <n v="10.5"/>
    <x v="1"/>
    <x v="0"/>
    <s v="Sliced Ham, Pineapple, Mozzarella Cheese"/>
    <x v="0"/>
  </r>
  <r>
    <n v="30426"/>
    <n v="13441"/>
    <n v="1"/>
    <s v="napolitana_s"/>
    <n v="1"/>
    <x v="95"/>
    <x v="6"/>
    <x v="2708"/>
    <n v="12"/>
    <n v="12"/>
    <x v="1"/>
    <x v="0"/>
    <s v="Tomatoes, Anchovies, Green Olives, Red Onions, Garlic"/>
    <x v="5"/>
  </r>
  <r>
    <n v="30433"/>
    <n v="13444"/>
    <n v="0.5"/>
    <s v="brie_carre_s"/>
    <n v="1"/>
    <x v="95"/>
    <x v="6"/>
    <x v="975"/>
    <n v="23.65"/>
    <n v="23.65"/>
    <x v="1"/>
    <x v="2"/>
    <s v="Brie Carre Cheese, Prosciutto, Caramelized Onions, Pears, Thyme, Garlic"/>
    <x v="8"/>
  </r>
  <r>
    <n v="30435"/>
    <n v="13444"/>
    <n v="0.5"/>
    <s v="sicilian_l"/>
    <n v="1"/>
    <x v="95"/>
    <x v="6"/>
    <x v="975"/>
    <n v="20.25"/>
    <n v="20.25"/>
    <x v="2"/>
    <x v="2"/>
    <s v="Coarse Sicilian Salami, Tomatoes, Green Olives, Luganega Sausage, Onions, Garlic"/>
    <x v="7"/>
  </r>
  <r>
    <n v="30436"/>
    <n v="13445"/>
    <n v="0.33333333333333331"/>
    <s v="brie_carre_s"/>
    <n v="1"/>
    <x v="95"/>
    <x v="6"/>
    <x v="2709"/>
    <n v="23.65"/>
    <n v="23.65"/>
    <x v="1"/>
    <x v="2"/>
    <s v="Brie Carre Cheese, Prosciutto, Caramelized Onions, Pears, Thyme, Garlic"/>
    <x v="8"/>
  </r>
  <r>
    <n v="30438"/>
    <n v="13445"/>
    <n v="0.33333333333333331"/>
    <s v="pepperoni_m"/>
    <n v="1"/>
    <x v="95"/>
    <x v="6"/>
    <x v="2709"/>
    <n v="12.5"/>
    <n v="12.5"/>
    <x v="0"/>
    <x v="0"/>
    <s v="Mozzarella Cheese, Pepperoni"/>
    <x v="3"/>
  </r>
  <r>
    <n v="30439"/>
    <n v="13445"/>
    <n v="0.33333333333333331"/>
    <s v="the_greek_xl"/>
    <n v="1"/>
    <x v="95"/>
    <x v="6"/>
    <x v="2709"/>
    <n v="25.5"/>
    <n v="25.5"/>
    <x v="3"/>
    <x v="0"/>
    <s v="Kalamata Olives, Feta Cheese, Tomatoes, Garlic, Beef Chuck Roast, Red Onions"/>
    <x v="2"/>
  </r>
  <r>
    <n v="30446"/>
    <n v="13448"/>
    <n v="1"/>
    <s v="mexicana_l"/>
    <n v="1"/>
    <x v="95"/>
    <x v="6"/>
    <x v="2710"/>
    <n v="20.25"/>
    <n v="20.25"/>
    <x v="2"/>
    <x v="1"/>
    <s v="Tomatoes, Red Peppers, Jalapeno Peppers, Red Onions, Cilantro, Corn, Chipotle Sauce, Garlic"/>
    <x v="1"/>
  </r>
  <r>
    <n v="30447"/>
    <n v="13449"/>
    <n v="1"/>
    <s v="hawaiian_l"/>
    <n v="1"/>
    <x v="95"/>
    <x v="6"/>
    <x v="2711"/>
    <n v="16.5"/>
    <n v="16.5"/>
    <x v="2"/>
    <x v="0"/>
    <s v="Sliced Ham, Pineapple, Mozzarella Cheese"/>
    <x v="0"/>
  </r>
  <r>
    <n v="30452"/>
    <n v="13450"/>
    <n v="1"/>
    <s v="napolitana_s"/>
    <n v="1"/>
    <x v="95"/>
    <x v="6"/>
    <x v="2712"/>
    <n v="12"/>
    <n v="12"/>
    <x v="1"/>
    <x v="0"/>
    <s v="Tomatoes, Anchovies, Green Olives, Red Onions, Garlic"/>
    <x v="5"/>
  </r>
  <r>
    <n v="30455"/>
    <n v="13451"/>
    <n v="1"/>
    <s v="hawaiian_s"/>
    <n v="1"/>
    <x v="95"/>
    <x v="6"/>
    <x v="2713"/>
    <n v="10.5"/>
    <n v="10.5"/>
    <x v="1"/>
    <x v="0"/>
    <s v="Sliced Ham, Pineapple, Mozzarella Cheese"/>
    <x v="0"/>
  </r>
  <r>
    <n v="30462"/>
    <n v="13454"/>
    <n v="1"/>
    <s v="mexicana_l"/>
    <n v="1"/>
    <x v="95"/>
    <x v="6"/>
    <x v="2714"/>
    <n v="20.25"/>
    <n v="20.25"/>
    <x v="2"/>
    <x v="1"/>
    <s v="Tomatoes, Red Peppers, Jalapeno Peppers, Red Onions, Cilantro, Corn, Chipotle Sauce, Garlic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97832-8D4E-4105-9077-7B257DA0FFDD}" name="KPI" cacheId="3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>
  <location ref="A3:C4" firstHeaderRow="0" firstDataRow="1" firstDataCol="0"/>
  <pivotFields count="16">
    <pivotField showAll="0"/>
    <pivotField showAll="0"/>
    <pivotField dataField="1" showAll="0"/>
    <pivotField showAll="0"/>
    <pivotField dataField="1" showAll="0"/>
    <pivotField numFmtId="14" showAll="0">
      <items count="97">
        <item x="0"/>
        <item x="13"/>
        <item x="25"/>
        <item x="37"/>
        <item x="49"/>
        <item x="60"/>
        <item x="72"/>
        <item x="84"/>
        <item x="1"/>
        <item x="14"/>
        <item x="26"/>
        <item x="38"/>
        <item x="10"/>
        <item x="61"/>
        <item x="73"/>
        <item x="85"/>
        <item x="2"/>
        <item x="15"/>
        <item x="27"/>
        <item x="39"/>
        <item x="50"/>
        <item x="62"/>
        <item x="74"/>
        <item x="86"/>
        <item x="3"/>
        <item x="16"/>
        <item x="28"/>
        <item x="40"/>
        <item x="51"/>
        <item x="63"/>
        <item x="75"/>
        <item x="87"/>
        <item x="4"/>
        <item x="17"/>
        <item x="29"/>
        <item x="41"/>
        <item x="52"/>
        <item x="64"/>
        <item x="76"/>
        <item x="88"/>
        <item x="5"/>
        <item x="18"/>
        <item x="30"/>
        <item x="42"/>
        <item x="53"/>
        <item x="65"/>
        <item x="77"/>
        <item x="89"/>
        <item x="6"/>
        <item x="19"/>
        <item x="31"/>
        <item x="43"/>
        <item x="54"/>
        <item x="66"/>
        <item x="78"/>
        <item x="90"/>
        <item x="7"/>
        <item x="20"/>
        <item x="32"/>
        <item x="44"/>
        <item x="55"/>
        <item x="67"/>
        <item x="79"/>
        <item x="91"/>
        <item x="8"/>
        <item x="21"/>
        <item x="33"/>
        <item x="45"/>
        <item x="56"/>
        <item x="68"/>
        <item x="80"/>
        <item x="92"/>
        <item x="9"/>
        <item x="22"/>
        <item x="34"/>
        <item x="46"/>
        <item x="57"/>
        <item x="69"/>
        <item x="81"/>
        <item x="93"/>
        <item x="11"/>
        <item x="23"/>
        <item x="35"/>
        <item x="47"/>
        <item x="58"/>
        <item x="70"/>
        <item x="82"/>
        <item x="94"/>
        <item x="12"/>
        <item x="24"/>
        <item x="36"/>
        <item x="48"/>
        <item x="59"/>
        <item x="71"/>
        <item x="83"/>
        <item x="95"/>
        <item t="default"/>
      </items>
    </pivotField>
    <pivotField showAll="0"/>
    <pivotField numFmtId="164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Revenue" fld="9" baseField="0" baseItem="49676800" numFmtId="165"/>
    <dataField name="Total Orders" fld="2" baseField="0" baseItem="1" numFmtId="166"/>
    <dataField name="Total pizza sold" fld="4" baseField="0" baseItem="2" numFmtId="166"/>
  </dataFields>
  <formats count="4">
    <format dxfId="38">
      <pivotArea outline="0" collapsedLevelsAreSubtotals="1" fieldPosition="0"/>
    </format>
    <format dxfId="3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5" type="dateBetween" evalOrder="-1" id="45" name="order_date">
      <autoFilter ref="A1">
        <filterColumn colId="0">
          <customFilters and="1">
            <customFilter operator="greaterThanOrEqual" val="42156"/>
            <customFilter operator="lessThanOrEqual" val="4224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FDE0D-9127-424C-A50B-94CA5F31B0BC}" name="Daily Trend" cacheId="3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 chartFormat="3">
  <location ref="A3:B11" firstHeaderRow="1" firstDataRow="1" firstDataCol="1"/>
  <pivotFields count="16">
    <pivotField showAll="0"/>
    <pivotField showAll="0"/>
    <pivotField dataField="1" showAll="0"/>
    <pivotField showAll="0"/>
    <pivotField showAll="0"/>
    <pivotField numFmtId="14" showAll="0">
      <items count="97">
        <item x="0"/>
        <item x="13"/>
        <item x="25"/>
        <item x="37"/>
        <item x="49"/>
        <item x="60"/>
        <item x="72"/>
        <item x="84"/>
        <item x="1"/>
        <item x="14"/>
        <item x="26"/>
        <item x="38"/>
        <item x="10"/>
        <item x="61"/>
        <item x="73"/>
        <item x="85"/>
        <item x="2"/>
        <item x="15"/>
        <item x="27"/>
        <item x="39"/>
        <item x="50"/>
        <item x="62"/>
        <item x="74"/>
        <item x="86"/>
        <item x="3"/>
        <item x="16"/>
        <item x="28"/>
        <item x="40"/>
        <item x="51"/>
        <item x="63"/>
        <item x="75"/>
        <item x="87"/>
        <item x="4"/>
        <item x="17"/>
        <item x="29"/>
        <item x="41"/>
        <item x="52"/>
        <item x="64"/>
        <item x="76"/>
        <item x="88"/>
        <item x="5"/>
        <item x="18"/>
        <item x="30"/>
        <item x="42"/>
        <item x="53"/>
        <item x="65"/>
        <item x="77"/>
        <item x="89"/>
        <item x="6"/>
        <item x="19"/>
        <item x="31"/>
        <item x="43"/>
        <item x="54"/>
        <item x="66"/>
        <item x="78"/>
        <item x="90"/>
        <item x="7"/>
        <item x="20"/>
        <item x="32"/>
        <item x="44"/>
        <item x="55"/>
        <item x="67"/>
        <item x="79"/>
        <item x="91"/>
        <item x="8"/>
        <item x="21"/>
        <item x="33"/>
        <item x="45"/>
        <item x="56"/>
        <item x="68"/>
        <item x="80"/>
        <item x="92"/>
        <item x="9"/>
        <item x="22"/>
        <item x="34"/>
        <item x="46"/>
        <item x="57"/>
        <item x="69"/>
        <item x="81"/>
        <item x="93"/>
        <item x="11"/>
        <item x="23"/>
        <item x="35"/>
        <item x="47"/>
        <item x="58"/>
        <item x="70"/>
        <item x="82"/>
        <item x="94"/>
        <item x="12"/>
        <item x="24"/>
        <item x="36"/>
        <item x="48"/>
        <item x="59"/>
        <item x="71"/>
        <item x="83"/>
        <item x="95"/>
        <item t="default"/>
      </items>
    </pivotField>
    <pivotField axis="axisRow" showAll="0">
      <items count="8">
        <item x="1"/>
        <item x="4"/>
        <item x="6"/>
        <item x="2"/>
        <item x="0"/>
        <item x="3"/>
        <item x="5"/>
        <item t="default"/>
      </items>
    </pivotField>
    <pivotField numFmtId="164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order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dateBetween" evalOrder="-1" id="45" name="order_date">
      <autoFilter ref="A1">
        <filterColumn colId="0">
          <customFilters and="1">
            <customFilter operator="greaterThanOrEqual" val="42156"/>
            <customFilter operator="lessThanOrEqual" val="4224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29064-E4C5-455D-9EDD-8CB519C5306F}" name="Hourly Trend" cacheId="3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 chartFormat="4">
  <location ref="A18:B32" firstHeaderRow="1" firstDataRow="1" firstDataCol="1"/>
  <pivotFields count="16">
    <pivotField showAll="0"/>
    <pivotField showAll="0"/>
    <pivotField dataField="1" showAll="0"/>
    <pivotField showAll="0"/>
    <pivotField showAll="0"/>
    <pivotField numFmtId="14" showAll="0">
      <items count="97">
        <item x="0"/>
        <item x="13"/>
        <item x="25"/>
        <item x="37"/>
        <item x="49"/>
        <item x="60"/>
        <item x="72"/>
        <item x="84"/>
        <item x="1"/>
        <item x="14"/>
        <item x="26"/>
        <item x="38"/>
        <item x="10"/>
        <item x="61"/>
        <item x="73"/>
        <item x="85"/>
        <item x="2"/>
        <item x="15"/>
        <item x="27"/>
        <item x="39"/>
        <item x="50"/>
        <item x="62"/>
        <item x="74"/>
        <item x="86"/>
        <item x="3"/>
        <item x="16"/>
        <item x="28"/>
        <item x="40"/>
        <item x="51"/>
        <item x="63"/>
        <item x="75"/>
        <item x="87"/>
        <item x="4"/>
        <item x="17"/>
        <item x="29"/>
        <item x="41"/>
        <item x="52"/>
        <item x="64"/>
        <item x="76"/>
        <item x="88"/>
        <item x="5"/>
        <item x="18"/>
        <item x="30"/>
        <item x="42"/>
        <item x="53"/>
        <item x="65"/>
        <item x="77"/>
        <item x="89"/>
        <item x="6"/>
        <item x="19"/>
        <item x="31"/>
        <item x="43"/>
        <item x="54"/>
        <item x="66"/>
        <item x="78"/>
        <item x="90"/>
        <item x="7"/>
        <item x="20"/>
        <item x="32"/>
        <item x="44"/>
        <item x="55"/>
        <item x="67"/>
        <item x="79"/>
        <item x="91"/>
        <item x="8"/>
        <item x="21"/>
        <item x="33"/>
        <item x="45"/>
        <item x="56"/>
        <item x="68"/>
        <item x="80"/>
        <item x="92"/>
        <item x="9"/>
        <item x="22"/>
        <item x="34"/>
        <item x="46"/>
        <item x="57"/>
        <item x="69"/>
        <item x="81"/>
        <item x="93"/>
        <item x="11"/>
        <item x="23"/>
        <item x="35"/>
        <item x="47"/>
        <item x="58"/>
        <item x="70"/>
        <item x="82"/>
        <item x="94"/>
        <item x="12"/>
        <item x="24"/>
        <item x="36"/>
        <item x="48"/>
        <item x="59"/>
        <item x="71"/>
        <item x="83"/>
        <item x="95"/>
        <item t="default"/>
      </items>
    </pivotField>
    <pivotField showAll="0">
      <items count="8">
        <item x="1"/>
        <item x="4"/>
        <item x="6"/>
        <item x="2"/>
        <item x="0"/>
        <item x="3"/>
        <item x="5"/>
        <item t="default"/>
      </items>
    </pivotField>
    <pivotField numFmtId="164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5"/>
  </rowFields>
  <rowItems count="14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total_orders"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dateBetween" evalOrder="-1" id="45" name="order_date">
      <autoFilter ref="A1">
        <filterColumn colId="0">
          <customFilters and="1">
            <customFilter operator="greaterThanOrEqual" val="42156"/>
            <customFilter operator="lessThanOrEqual" val="4224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5AAD6-A556-4DE7-9DD6-8AF7301D4A09}" name="percentage of pizza size" cacheId="3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 chartFormat="4">
  <location ref="A16:B22" firstHeaderRow="1" firstDataRow="1" firstDataCol="1"/>
  <pivotFields count="16">
    <pivotField showAll="0"/>
    <pivotField showAll="0"/>
    <pivotField showAll="0"/>
    <pivotField showAll="0"/>
    <pivotField showAll="0"/>
    <pivotField numFmtId="14" showAll="0">
      <items count="97">
        <item x="0"/>
        <item x="13"/>
        <item x="25"/>
        <item x="37"/>
        <item x="49"/>
        <item x="60"/>
        <item x="72"/>
        <item x="84"/>
        <item x="1"/>
        <item x="14"/>
        <item x="26"/>
        <item x="38"/>
        <item x="10"/>
        <item x="61"/>
        <item x="73"/>
        <item x="85"/>
        <item x="2"/>
        <item x="15"/>
        <item x="27"/>
        <item x="39"/>
        <item x="50"/>
        <item x="62"/>
        <item x="74"/>
        <item x="86"/>
        <item x="3"/>
        <item x="16"/>
        <item x="28"/>
        <item x="40"/>
        <item x="51"/>
        <item x="63"/>
        <item x="75"/>
        <item x="87"/>
        <item x="4"/>
        <item x="17"/>
        <item x="29"/>
        <item x="41"/>
        <item x="52"/>
        <item x="64"/>
        <item x="76"/>
        <item x="88"/>
        <item x="5"/>
        <item x="18"/>
        <item x="30"/>
        <item x="42"/>
        <item x="53"/>
        <item x="65"/>
        <item x="77"/>
        <item x="89"/>
        <item x="6"/>
        <item x="19"/>
        <item x="31"/>
        <item x="43"/>
        <item x="54"/>
        <item x="66"/>
        <item x="78"/>
        <item x="90"/>
        <item x="7"/>
        <item x="20"/>
        <item x="32"/>
        <item x="44"/>
        <item x="55"/>
        <item x="67"/>
        <item x="79"/>
        <item x="91"/>
        <item x="8"/>
        <item x="21"/>
        <item x="33"/>
        <item x="45"/>
        <item x="56"/>
        <item x="68"/>
        <item x="80"/>
        <item x="92"/>
        <item x="9"/>
        <item x="22"/>
        <item x="34"/>
        <item x="46"/>
        <item x="57"/>
        <item x="69"/>
        <item x="81"/>
        <item x="93"/>
        <item x="11"/>
        <item x="23"/>
        <item x="35"/>
        <item x="47"/>
        <item x="58"/>
        <item x="70"/>
        <item x="82"/>
        <item x="94"/>
        <item x="12"/>
        <item x="24"/>
        <item x="36"/>
        <item x="48"/>
        <item x="59"/>
        <item x="71"/>
        <item x="83"/>
        <item x="95"/>
        <item t="default"/>
      </items>
    </pivotField>
    <pivotField showAll="0"/>
    <pivotField numFmtId="164" showAll="0"/>
    <pivotField showAll="0"/>
    <pivotField dataField="1"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 defaultSubtotal="0"/>
    <pivotField showAll="0" defaultSubtota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price" fld="9" showDataAs="percentOfTotal" baseField="0" baseItem="0" numFmtId="1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dateBetween" evalOrder="-1" id="45" name="order_date">
      <autoFilter ref="A1">
        <filterColumn colId="0">
          <customFilters and="1">
            <customFilter operator="greaterThanOrEqual" val="42156"/>
            <customFilter operator="lessThanOrEqual" val="4224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CF6D5-33EC-469F-BC84-FE030EEF388C}" name="percentage of sells by category" cacheId="3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 chartFormat="3">
  <location ref="A3:B7" firstHeaderRow="1" firstDataRow="1" firstDataCol="1"/>
  <pivotFields count="16">
    <pivotField showAll="0"/>
    <pivotField showAll="0"/>
    <pivotField showAll="0"/>
    <pivotField showAll="0"/>
    <pivotField showAll="0"/>
    <pivotField numFmtId="14" showAll="0">
      <items count="97">
        <item x="0"/>
        <item x="13"/>
        <item x="25"/>
        <item x="37"/>
        <item x="49"/>
        <item x="60"/>
        <item x="72"/>
        <item x="84"/>
        <item x="1"/>
        <item x="14"/>
        <item x="26"/>
        <item x="38"/>
        <item x="10"/>
        <item x="61"/>
        <item x="73"/>
        <item x="85"/>
        <item x="2"/>
        <item x="15"/>
        <item x="27"/>
        <item x="39"/>
        <item x="50"/>
        <item x="62"/>
        <item x="74"/>
        <item x="86"/>
        <item x="3"/>
        <item x="16"/>
        <item x="28"/>
        <item x="40"/>
        <item x="51"/>
        <item x="63"/>
        <item x="75"/>
        <item x="87"/>
        <item x="4"/>
        <item x="17"/>
        <item x="29"/>
        <item x="41"/>
        <item x="52"/>
        <item x="64"/>
        <item x="76"/>
        <item x="88"/>
        <item x="5"/>
        <item x="18"/>
        <item x="30"/>
        <item x="42"/>
        <item x="53"/>
        <item x="65"/>
        <item x="77"/>
        <item x="89"/>
        <item x="6"/>
        <item x="19"/>
        <item x="31"/>
        <item x="43"/>
        <item x="54"/>
        <item x="66"/>
        <item x="78"/>
        <item x="90"/>
        <item x="7"/>
        <item x="20"/>
        <item x="32"/>
        <item x="44"/>
        <item x="55"/>
        <item x="67"/>
        <item x="79"/>
        <item x="91"/>
        <item x="8"/>
        <item x="21"/>
        <item x="33"/>
        <item x="45"/>
        <item x="56"/>
        <item x="68"/>
        <item x="80"/>
        <item x="92"/>
        <item x="9"/>
        <item x="22"/>
        <item x="34"/>
        <item x="46"/>
        <item x="57"/>
        <item x="69"/>
        <item x="81"/>
        <item x="93"/>
        <item x="11"/>
        <item x="23"/>
        <item x="35"/>
        <item x="47"/>
        <item x="58"/>
        <item x="70"/>
        <item x="82"/>
        <item x="94"/>
        <item x="12"/>
        <item x="24"/>
        <item x="36"/>
        <item x="48"/>
        <item x="59"/>
        <item x="71"/>
        <item x="83"/>
        <item x="95"/>
        <item t="default"/>
      </items>
    </pivotField>
    <pivotField showAll="0"/>
    <pivotField numFmtId="164" showAll="0"/>
    <pivotField showAll="0"/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 defaultSubtotal="0"/>
    <pivotField showAll="0" defaultSubtota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price" fld="9" showDataAs="percentOfTotal" baseField="0" baseItem="0" numFmtId="1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dateBetween" evalOrder="-1" id="45" name="order_date">
      <autoFilter ref="A1">
        <filterColumn colId="0">
          <customFilters and="1">
            <customFilter operator="greaterThanOrEqual" val="42156"/>
            <customFilter operator="lessThanOrEqual" val="4224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59043-C788-4EBA-8E91-285512C58066}" name="Total pizza sold by pizza category" cacheId="3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 chartFormat="2">
  <location ref="A29:B33" firstHeaderRow="1" firstDataRow="1" firstDataCol="1"/>
  <pivotFields count="16">
    <pivotField showAll="0"/>
    <pivotField showAll="0"/>
    <pivotField showAll="0"/>
    <pivotField showAll="0"/>
    <pivotField dataField="1" showAll="0"/>
    <pivotField numFmtId="14" showAll="0">
      <items count="97">
        <item x="0"/>
        <item x="13"/>
        <item x="25"/>
        <item x="37"/>
        <item x="49"/>
        <item x="60"/>
        <item x="72"/>
        <item x="84"/>
        <item x="1"/>
        <item x="14"/>
        <item x="26"/>
        <item x="38"/>
        <item x="10"/>
        <item x="61"/>
        <item x="73"/>
        <item x="85"/>
        <item x="2"/>
        <item x="15"/>
        <item x="27"/>
        <item x="39"/>
        <item x="50"/>
        <item x="62"/>
        <item x="74"/>
        <item x="86"/>
        <item x="3"/>
        <item x="16"/>
        <item x="28"/>
        <item x="40"/>
        <item x="51"/>
        <item x="63"/>
        <item x="75"/>
        <item x="87"/>
        <item x="4"/>
        <item x="17"/>
        <item x="29"/>
        <item x="41"/>
        <item x="52"/>
        <item x="64"/>
        <item x="76"/>
        <item x="88"/>
        <item x="5"/>
        <item x="18"/>
        <item x="30"/>
        <item x="42"/>
        <item x="53"/>
        <item x="65"/>
        <item x="77"/>
        <item x="89"/>
        <item x="6"/>
        <item x="19"/>
        <item x="31"/>
        <item x="43"/>
        <item x="54"/>
        <item x="66"/>
        <item x="78"/>
        <item x="90"/>
        <item x="7"/>
        <item x="20"/>
        <item x="32"/>
        <item x="44"/>
        <item x="55"/>
        <item x="67"/>
        <item x="79"/>
        <item x="91"/>
        <item x="8"/>
        <item x="21"/>
        <item x="33"/>
        <item x="45"/>
        <item x="56"/>
        <item x="68"/>
        <item x="80"/>
        <item x="92"/>
        <item x="9"/>
        <item x="22"/>
        <item x="34"/>
        <item x="46"/>
        <item x="57"/>
        <item x="69"/>
        <item x="81"/>
        <item x="93"/>
        <item x="11"/>
        <item x="23"/>
        <item x="35"/>
        <item x="47"/>
        <item x="58"/>
        <item x="70"/>
        <item x="82"/>
        <item x="94"/>
        <item x="12"/>
        <item x="24"/>
        <item x="36"/>
        <item x="48"/>
        <item x="59"/>
        <item x="71"/>
        <item x="83"/>
        <item x="95"/>
        <item t="default"/>
      </items>
    </pivotField>
    <pivotField showAll="0"/>
    <pivotField numFmtId="164" showAll="0"/>
    <pivotField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defaultSubtotal="0"/>
    <pivotField showAll="0" defaultSubtota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filters count="1">
    <filter fld="5" type="dateBetween" evalOrder="-1" id="45" name="order_date">
      <autoFilter ref="A1">
        <filterColumn colId="0">
          <customFilters and="1">
            <customFilter operator="greaterThanOrEqual" val="42156"/>
            <customFilter operator="lessThanOrEqual" val="4224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8A23C3-904F-41A9-9523-3DB1DD7C4ECD}" name="Worst sellers" cacheId="3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 chartFormat="3">
  <location ref="A15:B21" firstHeaderRow="1" firstDataRow="1" firstDataCol="1"/>
  <pivotFields count="16">
    <pivotField showAll="0"/>
    <pivotField showAll="0"/>
    <pivotField showAll="0"/>
    <pivotField showAll="0"/>
    <pivotField dataField="1" showAll="0"/>
    <pivotField numFmtId="14" showAll="0">
      <items count="97">
        <item x="0"/>
        <item x="13"/>
        <item x="25"/>
        <item x="37"/>
        <item x="49"/>
        <item x="60"/>
        <item x="72"/>
        <item x="84"/>
        <item x="1"/>
        <item x="14"/>
        <item x="26"/>
        <item x="38"/>
        <item x="10"/>
        <item x="61"/>
        <item x="73"/>
        <item x="85"/>
        <item x="2"/>
        <item x="15"/>
        <item x="27"/>
        <item x="39"/>
        <item x="50"/>
        <item x="62"/>
        <item x="74"/>
        <item x="86"/>
        <item x="3"/>
        <item x="16"/>
        <item x="28"/>
        <item x="40"/>
        <item x="51"/>
        <item x="63"/>
        <item x="75"/>
        <item x="87"/>
        <item x="4"/>
        <item x="17"/>
        <item x="29"/>
        <item x="41"/>
        <item x="52"/>
        <item x="64"/>
        <item x="76"/>
        <item x="88"/>
        <item x="5"/>
        <item x="18"/>
        <item x="30"/>
        <item x="42"/>
        <item x="53"/>
        <item x="65"/>
        <item x="77"/>
        <item x="89"/>
        <item x="6"/>
        <item x="19"/>
        <item x="31"/>
        <item x="43"/>
        <item x="54"/>
        <item x="66"/>
        <item x="78"/>
        <item x="90"/>
        <item x="7"/>
        <item x="20"/>
        <item x="32"/>
        <item x="44"/>
        <item x="55"/>
        <item x="67"/>
        <item x="79"/>
        <item x="91"/>
        <item x="8"/>
        <item x="21"/>
        <item x="33"/>
        <item x="45"/>
        <item x="56"/>
        <item x="68"/>
        <item x="80"/>
        <item x="92"/>
        <item x="9"/>
        <item x="22"/>
        <item x="34"/>
        <item x="46"/>
        <item x="57"/>
        <item x="69"/>
        <item x="81"/>
        <item x="93"/>
        <item x="11"/>
        <item x="23"/>
        <item x="35"/>
        <item x="47"/>
        <item x="58"/>
        <item x="70"/>
        <item x="82"/>
        <item x="94"/>
        <item x="12"/>
        <item x="24"/>
        <item x="36"/>
        <item x="48"/>
        <item x="59"/>
        <item x="71"/>
        <item x="83"/>
        <item x="95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axis="axisRow" showAll="0" measureFilter="1" sortType="descending">
      <items count="10">
        <item x="7"/>
        <item x="3"/>
        <item x="5"/>
        <item x="1"/>
        <item x="0"/>
        <item x="2"/>
        <item x="6"/>
        <item x="8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</pivotFields>
  <rowFields count="1">
    <field x="13"/>
  </rowFields>
  <rowItems count="6">
    <i>
      <x v="3"/>
    </i>
    <i>
      <x v="2"/>
    </i>
    <i>
      <x v="5"/>
    </i>
    <i>
      <x v="6"/>
    </i>
    <i>
      <x v="7"/>
    </i>
    <i t="grand">
      <x/>
    </i>
  </rowItems>
  <colItems count="1">
    <i/>
  </colItems>
  <dataFields count="1">
    <dataField name="Sum of quantity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dateBetween" evalOrder="-1" id="48" name="order_date">
      <autoFilter ref="A1">
        <filterColumn colId="0">
          <customFilters and="1">
            <customFilter operator="greaterThanOrEqual" val="42156"/>
            <customFilter operator="lessThanOrEqual" val="4224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3" type="count" evalOrder="-1" id="3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2B85A-0931-4C40-9825-5B7C334944CC}" name="Top 5 best seller" cacheId="3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 chartFormat="3">
  <location ref="A3:B9" firstHeaderRow="1" firstDataRow="1" firstDataCol="1"/>
  <pivotFields count="16">
    <pivotField showAll="0"/>
    <pivotField showAll="0"/>
    <pivotField showAll="0"/>
    <pivotField showAll="0"/>
    <pivotField dataField="1" showAll="0"/>
    <pivotField numFmtId="14" showAll="0">
      <items count="97">
        <item x="0"/>
        <item x="13"/>
        <item x="25"/>
        <item x="37"/>
        <item x="49"/>
        <item x="60"/>
        <item x="72"/>
        <item x="84"/>
        <item x="1"/>
        <item x="14"/>
        <item x="26"/>
        <item x="38"/>
        <item x="10"/>
        <item x="61"/>
        <item x="73"/>
        <item x="85"/>
        <item x="2"/>
        <item x="15"/>
        <item x="27"/>
        <item x="39"/>
        <item x="50"/>
        <item x="62"/>
        <item x="74"/>
        <item x="86"/>
        <item x="3"/>
        <item x="16"/>
        <item x="28"/>
        <item x="40"/>
        <item x="51"/>
        <item x="63"/>
        <item x="75"/>
        <item x="87"/>
        <item x="4"/>
        <item x="17"/>
        <item x="29"/>
        <item x="41"/>
        <item x="52"/>
        <item x="64"/>
        <item x="76"/>
        <item x="88"/>
        <item x="5"/>
        <item x="18"/>
        <item x="30"/>
        <item x="42"/>
        <item x="53"/>
        <item x="65"/>
        <item x="77"/>
        <item x="89"/>
        <item x="6"/>
        <item x="19"/>
        <item x="31"/>
        <item x="43"/>
        <item x="54"/>
        <item x="66"/>
        <item x="78"/>
        <item x="90"/>
        <item x="7"/>
        <item x="20"/>
        <item x="32"/>
        <item x="44"/>
        <item x="55"/>
        <item x="67"/>
        <item x="79"/>
        <item x="91"/>
        <item x="8"/>
        <item x="21"/>
        <item x="33"/>
        <item x="45"/>
        <item x="56"/>
        <item x="68"/>
        <item x="80"/>
        <item x="92"/>
        <item x="9"/>
        <item x="22"/>
        <item x="34"/>
        <item x="46"/>
        <item x="57"/>
        <item x="69"/>
        <item x="81"/>
        <item x="93"/>
        <item x="11"/>
        <item x="23"/>
        <item x="35"/>
        <item x="47"/>
        <item x="58"/>
        <item x="70"/>
        <item x="82"/>
        <item x="94"/>
        <item x="12"/>
        <item x="24"/>
        <item x="36"/>
        <item x="48"/>
        <item x="59"/>
        <item x="71"/>
        <item x="83"/>
        <item x="95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axis="axisRow" showAll="0" measureFilter="1" sortType="ascending">
      <items count="10">
        <item x="7"/>
        <item x="3"/>
        <item x="5"/>
        <item x="1"/>
        <item x="0"/>
        <item x="2"/>
        <item x="6"/>
        <item x="8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</pivotFields>
  <rowFields count="1">
    <field x="13"/>
  </rowFields>
  <rowItems count="6">
    <i>
      <x v="3"/>
    </i>
    <i>
      <x/>
    </i>
    <i>
      <x v="8"/>
    </i>
    <i>
      <x v="1"/>
    </i>
    <i>
      <x v="4"/>
    </i>
    <i t="grand">
      <x/>
    </i>
  </rowItems>
  <colItems count="1">
    <i/>
  </colItems>
  <dataFields count="1">
    <dataField name="Sum of quantity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dateBetween" evalOrder="-1" id="46" name="order_date">
      <autoFilter ref="A1">
        <filterColumn colId="0">
          <customFilters and="1">
            <customFilter operator="greaterThanOrEqual" val="42156"/>
            <customFilter operator="lessThanOrEqual" val="4224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C196EB-436E-4B0A-88B9-678CC8777AB3}" autoFormatId="16" applyNumberFormats="0" applyBorderFormats="0" applyFontFormats="0" applyPatternFormats="0" applyAlignmentFormats="0" applyWidthHeightFormats="0">
  <queryTableRefresh nextId="15">
    <queryTableFields count="14">
      <queryTableField id="1" name="pizza_id" tableColumnId="1"/>
      <queryTableField id="2" name="order_id" tableColumnId="2"/>
      <queryTableField id="14" dataBound="0" tableColumnId="15"/>
      <queryTableField id="3" name="pizza_name_id" tableColumnId="3"/>
      <queryTableField id="4" name="quantity" tableColumnId="4"/>
      <queryTableField id="5" name="order_date" tableColumnId="5"/>
      <queryTableField id="13" dataBound="0" tableColumnId="14"/>
      <queryTableField id="6" name="order_time" tableColumnId="6"/>
      <queryTableField id="7" name="unit_price" tableColumnId="7"/>
      <queryTableField id="8" name="total_price" tableColumnId="8"/>
      <queryTableField id="9" name="pizza_size" tableColumnId="9"/>
      <queryTableField id="10" name="pizza_category" tableColumnId="10"/>
      <queryTableField id="11" name="pizza_ingredients" tableColumnId="11"/>
      <queryTableField id="12" name="pizza_nam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1E9FF3-1539-41C4-9F97-F7E65E87971C}" name="pizza_sales" displayName="pizza_sales" ref="A1:N3762" tableType="queryTable" totalsRowShown="0">
  <autoFilter ref="A1:N3762" xr:uid="{CA1E9FF3-1539-41C4-9F97-F7E65E87971C}"/>
  <tableColumns count="14">
    <tableColumn id="1" xr3:uid="{07D6AFCE-23AD-4CDB-8757-BEA044A75197}" uniqueName="1" name="pizza_id" queryTableFieldId="1"/>
    <tableColumn id="2" xr3:uid="{46F61B87-3002-40D3-AC62-93510318BCFF}" uniqueName="2" name="order_id" queryTableFieldId="2"/>
    <tableColumn id="15" xr3:uid="{BB2451F6-76B0-4879-BC76-0D72534006D2}" uniqueName="15" name="total_orders" queryTableFieldId="14" dataDxfId="34">
      <calculatedColumnFormula>1/COUNTIF(B:B,pizza_sales[[#This Row],[order_id]])</calculatedColumnFormula>
    </tableColumn>
    <tableColumn id="3" xr3:uid="{04594D92-E6BB-4A98-BFF0-4BDCBBCA10C6}" uniqueName="3" name="pizza_name_id" queryTableFieldId="3" dataDxfId="33"/>
    <tableColumn id="4" xr3:uid="{4C021DCF-6DCE-4FC2-BED6-00A7DD40E646}" uniqueName="4" name="quantity" queryTableFieldId="4"/>
    <tableColumn id="5" xr3:uid="{8FAEB92A-6508-4B9B-BBB6-190C8F2A11E5}" uniqueName="5" name="order_date" queryTableFieldId="5" dataDxfId="32"/>
    <tableColumn id="14" xr3:uid="{5315AC50-2DEA-4801-A381-C583B84D025B}" uniqueName="14" name="order_day" queryTableFieldId="13" dataDxfId="31">
      <calculatedColumnFormula>TEXT(pizza_sales[[#This Row],[order_date]],"dddd")</calculatedColumnFormula>
    </tableColumn>
    <tableColumn id="6" xr3:uid="{E538D49C-4DCF-4A5A-88EF-205DB512D1F1}" uniqueName="6" name="order_time" queryTableFieldId="6" dataDxfId="30"/>
    <tableColumn id="7" xr3:uid="{5B7F2B3C-5366-4757-8396-96681858CB75}" uniqueName="7" name="unit_price" queryTableFieldId="7"/>
    <tableColumn id="8" xr3:uid="{F54BC3BA-0959-4BA7-BF56-A3600571ACDA}" uniqueName="8" name="total_price" queryTableFieldId="8"/>
    <tableColumn id="9" xr3:uid="{37917A53-DF14-4742-B294-AE9A12817458}" uniqueName="9" name="pizza_size" queryTableFieldId="9" dataDxfId="29"/>
    <tableColumn id="10" xr3:uid="{450BB305-DACD-40AA-BB92-06B5C676A698}" uniqueName="10" name="pizza_category" queryTableFieldId="10" dataDxfId="28"/>
    <tableColumn id="11" xr3:uid="{667764F3-0C16-46DE-BE86-52EAB06586CC}" uniqueName="11" name="pizza_ingredients" queryTableFieldId="11" dataDxfId="27"/>
    <tableColumn id="12" xr3:uid="{0E15D249-486C-455B-A5B5-B424B23D10BF}" uniqueName="12" name="pizza_name" queryTableFieldId="12" dataDxf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43358A3F-6079-4724-A4C8-2FE45BA4A501}" sourceName="order_date">
  <pivotTables>
    <pivotTable tabId="6" name="percentage of pizza size"/>
    <pivotTable tabId="8" name="Top 5 best seller"/>
    <pivotTable tabId="8" name="Worst sellers"/>
    <pivotTable tabId="3" name="KPI"/>
    <pivotTable tabId="6" name="percentage of sells by category"/>
    <pivotTable tabId="6" name="Total pizza sold by pizza category"/>
    <pivotTable tabId="5" name="Daily Trend"/>
    <pivotTable tabId="5" name="Hourly Trend"/>
  </pivotTables>
  <state minimalRefreshVersion="6" lastRefreshVersion="6" pivotCacheId="60952747" filterType="dateBetween">
    <selection startDate="2015-06-01T00:00:00" endDate="2015-08-31T00:00:00"/>
    <bounds startDate="2015-01-01T00:00:00" endDate="201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 1" xr10:uid="{01EF33EE-25E9-4F49-AECF-49DAD9AD736E}" cache="NativeTimeline_order_date" caption="order_date" level="2" selectionLevel="2" scrollPosition="2015-06-29T00:00:00" style="Pizza slicer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F98DC793-58D7-49B0-9C99-3CC6B3C8C0A3}" cache="NativeTimeline_order_date" caption="order_date" level="2" selectionLevel="2" scrollPosition="2015-06-07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microsoft.com/office/2011/relationships/timeline" Target="../timelines/timeline2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F060-9FCE-4946-9A9B-24B9445A838D}">
  <dimension ref="A3:E4"/>
  <sheetViews>
    <sheetView workbookViewId="0">
      <selection activeCell="E10" sqref="E10"/>
    </sheetView>
  </sheetViews>
  <sheetFormatPr defaultRowHeight="15" x14ac:dyDescent="0.25"/>
  <cols>
    <col min="1" max="1" width="13.85546875" bestFit="1" customWidth="1"/>
    <col min="2" max="2" width="11.85546875" bestFit="1" customWidth="1"/>
    <col min="3" max="3" width="14.5703125" bestFit="1" customWidth="1"/>
    <col min="4" max="4" width="15.5703125" bestFit="1" customWidth="1"/>
    <col min="5" max="5" width="19.28515625" bestFit="1" customWidth="1"/>
  </cols>
  <sheetData>
    <row r="3" spans="1:5" x14ac:dyDescent="0.25">
      <c r="A3" t="s">
        <v>64</v>
      </c>
      <c r="B3" t="s">
        <v>67</v>
      </c>
      <c r="C3" t="s">
        <v>70</v>
      </c>
      <c r="D3" s="3" t="s">
        <v>68</v>
      </c>
      <c r="E3" s="3" t="s">
        <v>69</v>
      </c>
    </row>
    <row r="4" spans="1:5" ht="21" x14ac:dyDescent="0.35">
      <c r="A4" s="5">
        <v>15153.149999999992</v>
      </c>
      <c r="B4" s="6">
        <v>713.00000000000057</v>
      </c>
      <c r="C4" s="6">
        <v>996</v>
      </c>
      <c r="D4" s="7">
        <f>A4/B4</f>
        <v>21.252664796633912</v>
      </c>
      <c r="E4" s="4">
        <f>C4/B4</f>
        <v>1.396914446002804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F0A2C-DE47-47A9-AB34-23C84EC055CC}">
  <dimension ref="A1"/>
  <sheetViews>
    <sheetView showGridLines="0" zoomScale="80" zoomScaleNormal="80" workbookViewId="0">
      <selection activeCell="Y7" sqref="Y7"/>
    </sheetView>
  </sheetViews>
  <sheetFormatPr defaultRowHeight="15" x14ac:dyDescent="0.25"/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E5DB-3ECB-45DD-B3FC-174B7DDA47FA}">
  <dimension ref="A2:B32"/>
  <sheetViews>
    <sheetView workbookViewId="0">
      <selection activeCell="C20" sqref="C20"/>
    </sheetView>
  </sheetViews>
  <sheetFormatPr defaultRowHeight="15" x14ac:dyDescent="0.25"/>
  <cols>
    <col min="1" max="1" width="13.140625" bestFit="1" customWidth="1"/>
    <col min="2" max="2" width="18.7109375" bestFit="1" customWidth="1"/>
  </cols>
  <sheetData>
    <row r="2" spans="1:2" x14ac:dyDescent="0.25">
      <c r="A2" s="11" t="s">
        <v>80</v>
      </c>
      <c r="B2" s="11"/>
    </row>
    <row r="3" spans="1:2" x14ac:dyDescent="0.25">
      <c r="A3" s="8" t="s">
        <v>71</v>
      </c>
      <c r="B3" t="s">
        <v>66</v>
      </c>
    </row>
    <row r="4" spans="1:2" x14ac:dyDescent="0.25">
      <c r="A4" s="9" t="s">
        <v>72</v>
      </c>
      <c r="B4" s="13">
        <v>85</v>
      </c>
    </row>
    <row r="5" spans="1:2" x14ac:dyDescent="0.25">
      <c r="A5" s="9" t="s">
        <v>73</v>
      </c>
      <c r="B5" s="13">
        <v>114.99999999999996</v>
      </c>
    </row>
    <row r="6" spans="1:2" x14ac:dyDescent="0.25">
      <c r="A6" s="9" t="s">
        <v>74</v>
      </c>
      <c r="B6" s="13">
        <v>95</v>
      </c>
    </row>
    <row r="7" spans="1:2" x14ac:dyDescent="0.25">
      <c r="A7" s="9" t="s">
        <v>75</v>
      </c>
      <c r="B7" s="13">
        <v>136.00000000000003</v>
      </c>
    </row>
    <row r="8" spans="1:2" x14ac:dyDescent="0.25">
      <c r="A8" s="9" t="s">
        <v>76</v>
      </c>
      <c r="B8" s="13">
        <v>84</v>
      </c>
    </row>
    <row r="9" spans="1:2" x14ac:dyDescent="0.25">
      <c r="A9" s="9" t="s">
        <v>77</v>
      </c>
      <c r="B9" s="13">
        <v>76.999999999999986</v>
      </c>
    </row>
    <row r="10" spans="1:2" x14ac:dyDescent="0.25">
      <c r="A10" s="9" t="s">
        <v>78</v>
      </c>
      <c r="B10" s="13">
        <v>121.00000000000007</v>
      </c>
    </row>
    <row r="11" spans="1:2" x14ac:dyDescent="0.25">
      <c r="A11" s="9" t="s">
        <v>79</v>
      </c>
      <c r="B11" s="13">
        <v>713.00000000000011</v>
      </c>
    </row>
    <row r="17" spans="1:2" x14ac:dyDescent="0.25">
      <c r="A17" s="11" t="s">
        <v>81</v>
      </c>
      <c r="B17" s="10"/>
    </row>
    <row r="18" spans="1:2" x14ac:dyDescent="0.25">
      <c r="A18" s="8" t="s">
        <v>71</v>
      </c>
      <c r="B18" t="s">
        <v>66</v>
      </c>
    </row>
    <row r="19" spans="1:2" x14ac:dyDescent="0.25">
      <c r="A19" s="9" t="s">
        <v>82</v>
      </c>
      <c r="B19" s="13">
        <v>41</v>
      </c>
    </row>
    <row r="20" spans="1:2" x14ac:dyDescent="0.25">
      <c r="A20" s="9" t="s">
        <v>83</v>
      </c>
      <c r="B20" s="13">
        <v>87</v>
      </c>
    </row>
    <row r="21" spans="1:2" x14ac:dyDescent="0.25">
      <c r="A21" s="9" t="s">
        <v>84</v>
      </c>
      <c r="B21" s="13">
        <v>70</v>
      </c>
    </row>
    <row r="22" spans="1:2" x14ac:dyDescent="0.25">
      <c r="A22" s="9" t="s">
        <v>85</v>
      </c>
      <c r="B22" s="13">
        <v>45</v>
      </c>
    </row>
    <row r="23" spans="1:2" x14ac:dyDescent="0.25">
      <c r="A23" s="9" t="s">
        <v>86</v>
      </c>
      <c r="B23" s="13">
        <v>48</v>
      </c>
    </row>
    <row r="24" spans="1:2" x14ac:dyDescent="0.25">
      <c r="A24" s="9" t="s">
        <v>87</v>
      </c>
      <c r="B24" s="13">
        <v>52.000000000000007</v>
      </c>
    </row>
    <row r="25" spans="1:2" x14ac:dyDescent="0.25">
      <c r="A25" s="9" t="s">
        <v>88</v>
      </c>
      <c r="B25" s="13">
        <v>98</v>
      </c>
    </row>
    <row r="26" spans="1:2" x14ac:dyDescent="0.25">
      <c r="A26" s="9" t="s">
        <v>89</v>
      </c>
      <c r="B26" s="13">
        <v>82.000000000000014</v>
      </c>
    </row>
    <row r="27" spans="1:2" x14ac:dyDescent="0.25">
      <c r="A27" s="9" t="s">
        <v>90</v>
      </c>
      <c r="B27" s="13">
        <v>72</v>
      </c>
    </row>
    <row r="28" spans="1:2" x14ac:dyDescent="0.25">
      <c r="A28" s="9" t="s">
        <v>91</v>
      </c>
      <c r="B28" s="13">
        <v>43</v>
      </c>
    </row>
    <row r="29" spans="1:2" x14ac:dyDescent="0.25">
      <c r="A29" s="9" t="s">
        <v>92</v>
      </c>
      <c r="B29" s="13">
        <v>50</v>
      </c>
    </row>
    <row r="30" spans="1:2" x14ac:dyDescent="0.25">
      <c r="A30" s="9" t="s">
        <v>93</v>
      </c>
      <c r="B30" s="13">
        <v>24</v>
      </c>
    </row>
    <row r="31" spans="1:2" x14ac:dyDescent="0.25">
      <c r="A31" s="9" t="s">
        <v>94</v>
      </c>
      <c r="B31" s="13">
        <v>1</v>
      </c>
    </row>
    <row r="32" spans="1:2" x14ac:dyDescent="0.25">
      <c r="A32" s="9" t="s">
        <v>79</v>
      </c>
      <c r="B32" s="13">
        <v>713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A435-95C1-427A-A318-C61529AFA3AC}">
  <dimension ref="A3:E33"/>
  <sheetViews>
    <sheetView tabSelected="1" workbookViewId="0">
      <selection activeCell="R38" sqref="R38"/>
    </sheetView>
  </sheetViews>
  <sheetFormatPr defaultRowHeight="15" x14ac:dyDescent="0.25"/>
  <cols>
    <col min="1" max="1" width="13.140625" bestFit="1" customWidth="1"/>
    <col min="2" max="2" width="17.42578125" bestFit="1" customWidth="1"/>
    <col min="4" max="4" width="13.5703125" bestFit="1" customWidth="1"/>
  </cols>
  <sheetData>
    <row r="3" spans="1:2" x14ac:dyDescent="0.25">
      <c r="A3" s="8" t="s">
        <v>71</v>
      </c>
      <c r="B3" t="s">
        <v>95</v>
      </c>
    </row>
    <row r="4" spans="1:2" x14ac:dyDescent="0.25">
      <c r="A4" s="9" t="s">
        <v>13</v>
      </c>
      <c r="B4" s="12">
        <v>0.62607114692324695</v>
      </c>
    </row>
    <row r="5" spans="1:2" x14ac:dyDescent="0.25">
      <c r="A5" s="9" t="s">
        <v>35</v>
      </c>
      <c r="B5" s="12">
        <v>0.25123159211121127</v>
      </c>
    </row>
    <row r="6" spans="1:2" x14ac:dyDescent="0.25">
      <c r="A6" s="9" t="s">
        <v>17</v>
      </c>
      <c r="B6" s="12">
        <v>0.12269726096554179</v>
      </c>
    </row>
    <row r="7" spans="1:2" x14ac:dyDescent="0.25">
      <c r="A7" s="9" t="s">
        <v>79</v>
      </c>
      <c r="B7" s="12">
        <v>1</v>
      </c>
    </row>
    <row r="16" spans="1:2" x14ac:dyDescent="0.25">
      <c r="A16" s="8" t="s">
        <v>71</v>
      </c>
      <c r="B16" t="s">
        <v>95</v>
      </c>
    </row>
    <row r="17" spans="1:5" x14ac:dyDescent="0.25">
      <c r="A17" s="9" t="s">
        <v>58</v>
      </c>
      <c r="B17" s="12">
        <v>0.34159564183024649</v>
      </c>
    </row>
    <row r="18" spans="1:5" x14ac:dyDescent="0.25">
      <c r="A18" s="9" t="s">
        <v>59</v>
      </c>
      <c r="B18" s="12">
        <v>0.25205980274728357</v>
      </c>
    </row>
    <row r="19" spans="1:5" x14ac:dyDescent="0.25">
      <c r="A19" s="9" t="s">
        <v>60</v>
      </c>
      <c r="B19" s="12">
        <v>0.34507346657295673</v>
      </c>
    </row>
    <row r="20" spans="1:5" x14ac:dyDescent="0.25">
      <c r="A20" s="9" t="s">
        <v>61</v>
      </c>
      <c r="B20" s="12">
        <v>5.8898644836222168E-2</v>
      </c>
    </row>
    <row r="21" spans="1:5" x14ac:dyDescent="0.25">
      <c r="A21" s="9" t="s">
        <v>62</v>
      </c>
      <c r="B21" s="12">
        <v>2.372444013290966E-3</v>
      </c>
    </row>
    <row r="22" spans="1:5" x14ac:dyDescent="0.25">
      <c r="A22" s="9" t="s">
        <v>79</v>
      </c>
      <c r="B22" s="12">
        <v>1</v>
      </c>
    </row>
    <row r="29" spans="1:5" x14ac:dyDescent="0.25">
      <c r="A29" s="8" t="s">
        <v>71</v>
      </c>
      <c r="B29" t="s">
        <v>96</v>
      </c>
      <c r="D29" t="s">
        <v>97</v>
      </c>
      <c r="E29" t="s">
        <v>98</v>
      </c>
    </row>
    <row r="30" spans="1:5" x14ac:dyDescent="0.25">
      <c r="A30" s="9" t="s">
        <v>13</v>
      </c>
      <c r="B30" s="13">
        <v>675</v>
      </c>
      <c r="D30" t="str">
        <f>A30</f>
        <v>Classic</v>
      </c>
      <c r="E30">
        <f>GETPIVOTDATA("quantity",$A$29,"pizza_category",A30)</f>
        <v>675</v>
      </c>
    </row>
    <row r="31" spans="1:5" x14ac:dyDescent="0.25">
      <c r="A31" s="9" t="s">
        <v>35</v>
      </c>
      <c r="B31" s="13">
        <v>219</v>
      </c>
      <c r="D31" t="str">
        <f t="shared" ref="D31:D32" si="0">A31</f>
        <v>Supreme</v>
      </c>
      <c r="E31">
        <f t="shared" ref="E31:E32" si="1">GETPIVOTDATA("quantity",$A$29,"pizza_category",A31)</f>
        <v>219</v>
      </c>
    </row>
    <row r="32" spans="1:5" x14ac:dyDescent="0.25">
      <c r="A32" s="9" t="s">
        <v>17</v>
      </c>
      <c r="B32" s="13">
        <v>102</v>
      </c>
      <c r="D32" t="str">
        <f t="shared" si="0"/>
        <v>Veggie</v>
      </c>
      <c r="E32">
        <f t="shared" si="1"/>
        <v>102</v>
      </c>
    </row>
    <row r="33" spans="1:2" x14ac:dyDescent="0.25">
      <c r="A33" s="9" t="s">
        <v>79</v>
      </c>
      <c r="B33" s="13">
        <v>996</v>
      </c>
    </row>
  </sheetData>
  <pageMargins left="0.7" right="0.7" top="0.75" bottom="0.75" header="0.3" footer="0.3"/>
  <drawing r:id="rId4"/>
  <extLs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1BB19-A6F7-4096-9052-3545CCF5C38B}">
  <dimension ref="A3:B21"/>
  <sheetViews>
    <sheetView topLeftCell="A4" workbookViewId="0">
      <selection activeCell="B16" sqref="B16"/>
    </sheetView>
  </sheetViews>
  <sheetFormatPr defaultRowHeight="15" x14ac:dyDescent="0.25"/>
  <cols>
    <col min="1" max="1" width="19.5703125" bestFit="1" customWidth="1"/>
    <col min="2" max="2" width="15.140625" bestFit="1" customWidth="1"/>
  </cols>
  <sheetData>
    <row r="3" spans="1:2" x14ac:dyDescent="0.25">
      <c r="A3" s="8" t="s">
        <v>71</v>
      </c>
      <c r="B3" t="s">
        <v>96</v>
      </c>
    </row>
    <row r="4" spans="1:2" x14ac:dyDescent="0.25">
      <c r="A4" s="9" t="s">
        <v>19</v>
      </c>
      <c r="B4" s="13">
        <v>102</v>
      </c>
    </row>
    <row r="5" spans="1:2" x14ac:dyDescent="0.25">
      <c r="A5" s="9" t="s">
        <v>41</v>
      </c>
      <c r="B5" s="13">
        <v>116</v>
      </c>
    </row>
    <row r="6" spans="1:2" x14ac:dyDescent="0.25">
      <c r="A6" s="9" t="s">
        <v>30</v>
      </c>
      <c r="B6" s="13">
        <v>152</v>
      </c>
    </row>
    <row r="7" spans="1:2" x14ac:dyDescent="0.25">
      <c r="A7" s="9" t="s">
        <v>27</v>
      </c>
      <c r="B7" s="13">
        <v>171</v>
      </c>
    </row>
    <row r="8" spans="1:2" x14ac:dyDescent="0.25">
      <c r="A8" s="9" t="s">
        <v>15</v>
      </c>
      <c r="B8" s="13">
        <v>178</v>
      </c>
    </row>
    <row r="9" spans="1:2" x14ac:dyDescent="0.25">
      <c r="A9" s="9" t="s">
        <v>79</v>
      </c>
      <c r="B9" s="13">
        <v>719</v>
      </c>
    </row>
    <row r="15" spans="1:2" x14ac:dyDescent="0.25">
      <c r="A15" s="8" t="s">
        <v>71</v>
      </c>
      <c r="B15" t="s">
        <v>96</v>
      </c>
    </row>
    <row r="16" spans="1:2" x14ac:dyDescent="0.25">
      <c r="A16" s="9" t="s">
        <v>19</v>
      </c>
      <c r="B16" s="13">
        <v>102</v>
      </c>
    </row>
    <row r="17" spans="1:2" x14ac:dyDescent="0.25">
      <c r="A17" s="9" t="s">
        <v>33</v>
      </c>
      <c r="B17" s="13">
        <v>95</v>
      </c>
    </row>
    <row r="18" spans="1:2" x14ac:dyDescent="0.25">
      <c r="A18" s="9" t="s">
        <v>22</v>
      </c>
      <c r="B18" s="13">
        <v>79</v>
      </c>
    </row>
    <row r="19" spans="1:2" x14ac:dyDescent="0.25">
      <c r="A19" s="9" t="s">
        <v>37</v>
      </c>
      <c r="B19" s="13">
        <v>70</v>
      </c>
    </row>
    <row r="20" spans="1:2" x14ac:dyDescent="0.25">
      <c r="A20" s="9" t="s">
        <v>53</v>
      </c>
      <c r="B20" s="13">
        <v>33</v>
      </c>
    </row>
    <row r="21" spans="1:2" x14ac:dyDescent="0.25">
      <c r="A21" s="9" t="s">
        <v>79</v>
      </c>
      <c r="B21" s="13">
        <v>379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F2FF5-3E56-48D3-8306-6FCB3EBF8F5C}">
  <dimension ref="A1:N3762"/>
  <sheetViews>
    <sheetView topLeftCell="A2" workbookViewId="0">
      <selection activeCell="C4" sqref="C4"/>
    </sheetView>
  </sheetViews>
  <sheetFormatPr defaultRowHeight="15" x14ac:dyDescent="0.25"/>
  <cols>
    <col min="1" max="1" width="10.42578125" bestFit="1" customWidth="1"/>
    <col min="2" max="2" width="10.85546875" bestFit="1" customWidth="1"/>
    <col min="3" max="3" width="16.5703125" bestFit="1" customWidth="1"/>
    <col min="4" max="4" width="10.7109375" bestFit="1" customWidth="1"/>
    <col min="5" max="5" width="13.140625" bestFit="1" customWidth="1"/>
    <col min="6" max="6" width="13.140625" customWidth="1"/>
    <col min="7" max="7" width="13.28515625" bestFit="1" customWidth="1"/>
    <col min="8" max="8" width="12.28515625" bestFit="1" customWidth="1"/>
    <col min="9" max="9" width="12.85546875" bestFit="1" customWidth="1"/>
    <col min="10" max="10" width="12.140625" bestFit="1" customWidth="1"/>
    <col min="11" max="11" width="16.42578125" bestFit="1" customWidth="1"/>
    <col min="12" max="12" width="81.140625" bestFit="1" customWidth="1"/>
    <col min="13" max="13" width="19.5703125" bestFit="1" customWidth="1"/>
  </cols>
  <sheetData>
    <row r="1" spans="1:14" x14ac:dyDescent="0.25">
      <c r="A1" t="s">
        <v>0</v>
      </c>
      <c r="B1" t="s">
        <v>1</v>
      </c>
      <c r="C1" t="s">
        <v>65</v>
      </c>
      <c r="D1" t="s">
        <v>2</v>
      </c>
      <c r="E1" t="s">
        <v>3</v>
      </c>
      <c r="F1" t="s">
        <v>4</v>
      </c>
      <c r="G1" t="s">
        <v>63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>
        <v>1</v>
      </c>
      <c r="B2">
        <v>1</v>
      </c>
      <c r="C2">
        <f>1/COUNTIF(B:B,pizza_sales[[#This Row],[order_id]])</f>
        <v>1</v>
      </c>
      <c r="D2" t="s">
        <v>12</v>
      </c>
      <c r="E2">
        <v>1</v>
      </c>
      <c r="F2" s="1">
        <v>42005</v>
      </c>
      <c r="G2" s="1" t="str">
        <f>TEXT(pizza_sales[[#This Row],[order_date]],"dddd")</f>
        <v>Thursday</v>
      </c>
      <c r="H2" s="2">
        <v>0.4851388888888889</v>
      </c>
      <c r="I2">
        <v>13.25</v>
      </c>
      <c r="J2">
        <v>13.25</v>
      </c>
      <c r="K2" t="s">
        <v>59</v>
      </c>
      <c r="L2" t="s">
        <v>13</v>
      </c>
      <c r="M2" t="s">
        <v>14</v>
      </c>
      <c r="N2" t="s">
        <v>15</v>
      </c>
    </row>
    <row r="3" spans="1:14" x14ac:dyDescent="0.25">
      <c r="A3">
        <v>5</v>
      </c>
      <c r="B3">
        <v>2</v>
      </c>
      <c r="C3">
        <f>1/COUNTIF(B:B,pizza_sales[[#This Row],[order_id]])</f>
        <v>1</v>
      </c>
      <c r="D3" t="s">
        <v>16</v>
      </c>
      <c r="E3">
        <v>1</v>
      </c>
      <c r="F3" s="1">
        <v>42005</v>
      </c>
      <c r="G3" s="1" t="str">
        <f>TEXT(pizza_sales[[#This Row],[order_date]],"dddd")</f>
        <v>Thursday</v>
      </c>
      <c r="H3" s="2">
        <v>0.49837962962962962</v>
      </c>
      <c r="I3">
        <v>16</v>
      </c>
      <c r="J3">
        <v>16</v>
      </c>
      <c r="K3" t="s">
        <v>59</v>
      </c>
      <c r="L3" t="s">
        <v>17</v>
      </c>
      <c r="M3" t="s">
        <v>18</v>
      </c>
      <c r="N3" t="s">
        <v>19</v>
      </c>
    </row>
    <row r="4" spans="1:14" x14ac:dyDescent="0.25">
      <c r="A4">
        <v>12</v>
      </c>
      <c r="B4">
        <v>6</v>
      </c>
      <c r="C4">
        <f>1/COUNTIF(B:B,pizza_sales[[#This Row],[order_id]])</f>
        <v>1</v>
      </c>
      <c r="D4" t="s">
        <v>20</v>
      </c>
      <c r="E4">
        <v>1</v>
      </c>
      <c r="F4" s="1">
        <v>42005</v>
      </c>
      <c r="G4" s="1" t="str">
        <f>TEXT(pizza_sales[[#This Row],[order_date]],"dddd")</f>
        <v>Thursday</v>
      </c>
      <c r="H4" s="2">
        <v>0.52055555555555555</v>
      </c>
      <c r="I4">
        <v>12</v>
      </c>
      <c r="J4">
        <v>12</v>
      </c>
      <c r="K4" t="s">
        <v>60</v>
      </c>
      <c r="L4" t="s">
        <v>13</v>
      </c>
      <c r="M4" t="s">
        <v>21</v>
      </c>
      <c r="N4" t="s">
        <v>22</v>
      </c>
    </row>
    <row r="5" spans="1:14" x14ac:dyDescent="0.25">
      <c r="A5">
        <v>20</v>
      </c>
      <c r="B5">
        <v>9</v>
      </c>
      <c r="C5">
        <f>1/COUNTIF(B:B,pizza_sales[[#This Row],[order_id]])</f>
        <v>1</v>
      </c>
      <c r="D5" t="s">
        <v>23</v>
      </c>
      <c r="E5">
        <v>1</v>
      </c>
      <c r="F5" s="1">
        <v>42005</v>
      </c>
      <c r="G5" s="1" t="str">
        <f>TEXT(pizza_sales[[#This Row],[order_date]],"dddd")</f>
        <v>Thursday</v>
      </c>
      <c r="H5" s="2">
        <v>0.53612268518518513</v>
      </c>
      <c r="I5">
        <v>12</v>
      </c>
      <c r="J5">
        <v>12</v>
      </c>
      <c r="K5" t="s">
        <v>60</v>
      </c>
      <c r="L5" t="s">
        <v>17</v>
      </c>
      <c r="M5" t="s">
        <v>18</v>
      </c>
      <c r="N5" t="s">
        <v>19</v>
      </c>
    </row>
    <row r="6" spans="1:14" x14ac:dyDescent="0.25">
      <c r="A6">
        <v>24</v>
      </c>
      <c r="B6">
        <v>10</v>
      </c>
      <c r="C6">
        <f>1/COUNTIF(B:B,pizza_sales[[#This Row],[order_id]])</f>
        <v>1</v>
      </c>
      <c r="D6" t="s">
        <v>24</v>
      </c>
      <c r="E6">
        <v>1</v>
      </c>
      <c r="F6" s="1">
        <v>42005</v>
      </c>
      <c r="G6" s="1" t="str">
        <f>TEXT(pizza_sales[[#This Row],[order_date]],"dddd")</f>
        <v>Thursday</v>
      </c>
      <c r="H6" s="2">
        <v>0.54184027777777777</v>
      </c>
      <c r="I6">
        <v>20.25</v>
      </c>
      <c r="J6">
        <v>20.25</v>
      </c>
      <c r="K6" t="s">
        <v>58</v>
      </c>
      <c r="L6" t="s">
        <v>17</v>
      </c>
      <c r="M6" t="s">
        <v>18</v>
      </c>
      <c r="N6" t="s">
        <v>19</v>
      </c>
    </row>
    <row r="7" spans="1:14" x14ac:dyDescent="0.25">
      <c r="A7">
        <v>29</v>
      </c>
      <c r="B7">
        <v>11</v>
      </c>
      <c r="C7">
        <f>1/COUNTIF(B:B,pizza_sales[[#This Row],[order_id]])</f>
        <v>1</v>
      </c>
      <c r="D7" t="s">
        <v>25</v>
      </c>
      <c r="E7">
        <v>1</v>
      </c>
      <c r="F7" s="1">
        <v>42005</v>
      </c>
      <c r="G7" s="1" t="str">
        <f>TEXT(pizza_sales[[#This Row],[order_date]],"dddd")</f>
        <v>Thursday</v>
      </c>
      <c r="H7" s="2">
        <v>0.54373842592592592</v>
      </c>
      <c r="I7">
        <v>15.25</v>
      </c>
      <c r="J7">
        <v>15.25</v>
      </c>
      <c r="K7" t="s">
        <v>58</v>
      </c>
      <c r="L7" t="s">
        <v>13</v>
      </c>
      <c r="M7" t="s">
        <v>26</v>
      </c>
      <c r="N7" t="s">
        <v>27</v>
      </c>
    </row>
    <row r="8" spans="1:14" x14ac:dyDescent="0.25">
      <c r="A8">
        <v>34</v>
      </c>
      <c r="B8">
        <v>13</v>
      </c>
      <c r="C8">
        <f>1/COUNTIF(B:B,pizza_sales[[#This Row],[order_id]])</f>
        <v>1</v>
      </c>
      <c r="D8" t="s">
        <v>24</v>
      </c>
      <c r="E8">
        <v>1</v>
      </c>
      <c r="F8" s="1">
        <v>42005</v>
      </c>
      <c r="G8" s="1" t="str">
        <f>TEXT(pizza_sales[[#This Row],[order_date]],"dddd")</f>
        <v>Thursday</v>
      </c>
      <c r="H8" s="2">
        <v>0.54994212962962963</v>
      </c>
      <c r="I8">
        <v>20.25</v>
      </c>
      <c r="J8">
        <v>20.25</v>
      </c>
      <c r="K8" t="s">
        <v>58</v>
      </c>
      <c r="L8" t="s">
        <v>17</v>
      </c>
      <c r="M8" t="s">
        <v>18</v>
      </c>
      <c r="N8" t="s">
        <v>19</v>
      </c>
    </row>
    <row r="9" spans="1:14" x14ac:dyDescent="0.25">
      <c r="A9">
        <v>35</v>
      </c>
      <c r="B9">
        <v>14</v>
      </c>
      <c r="C9">
        <f>1/COUNTIF(B:B,pizza_sales[[#This Row],[order_id]])</f>
        <v>1</v>
      </c>
      <c r="D9" t="s">
        <v>20</v>
      </c>
      <c r="E9">
        <v>1</v>
      </c>
      <c r="F9" s="1">
        <v>42005</v>
      </c>
      <c r="G9" s="1" t="str">
        <f>TEXT(pizza_sales[[#This Row],[order_date]],"dddd")</f>
        <v>Thursday</v>
      </c>
      <c r="H9" s="2">
        <v>0.55160879629629633</v>
      </c>
      <c r="I9">
        <v>12</v>
      </c>
      <c r="J9">
        <v>12</v>
      </c>
      <c r="K9" t="s">
        <v>60</v>
      </c>
      <c r="L9" t="s">
        <v>13</v>
      </c>
      <c r="M9" t="s">
        <v>21</v>
      </c>
      <c r="N9" t="s">
        <v>22</v>
      </c>
    </row>
    <row r="10" spans="1:14" x14ac:dyDescent="0.25">
      <c r="A10">
        <v>36</v>
      </c>
      <c r="B10">
        <v>15</v>
      </c>
      <c r="C10">
        <f>1/COUNTIF(B:B,pizza_sales[[#This Row],[order_id]])</f>
        <v>0.5</v>
      </c>
      <c r="D10" t="s">
        <v>28</v>
      </c>
      <c r="E10">
        <v>1</v>
      </c>
      <c r="F10" s="1">
        <v>42005</v>
      </c>
      <c r="G10" s="1" t="str">
        <f>TEXT(pizza_sales[[#This Row],[order_date]],"dddd")</f>
        <v>Thursday</v>
      </c>
      <c r="H10" s="2">
        <v>0.56458333333333333</v>
      </c>
      <c r="I10">
        <v>12</v>
      </c>
      <c r="J10">
        <v>12</v>
      </c>
      <c r="K10" t="s">
        <v>60</v>
      </c>
      <c r="L10" t="s">
        <v>13</v>
      </c>
      <c r="M10" t="s">
        <v>29</v>
      </c>
      <c r="N10" t="s">
        <v>30</v>
      </c>
    </row>
    <row r="11" spans="1:14" x14ac:dyDescent="0.25">
      <c r="A11">
        <v>39</v>
      </c>
      <c r="B11">
        <v>15</v>
      </c>
      <c r="C11">
        <f>1/COUNTIF(B:B,pizza_sales[[#This Row],[order_id]])</f>
        <v>0.5</v>
      </c>
      <c r="D11" t="s">
        <v>20</v>
      </c>
      <c r="E11">
        <v>1</v>
      </c>
      <c r="F11" s="1">
        <v>42005</v>
      </c>
      <c r="G11" s="1" t="str">
        <f>TEXT(pizza_sales[[#This Row],[order_date]],"dddd")</f>
        <v>Thursday</v>
      </c>
      <c r="H11" s="2">
        <v>0.56458333333333333</v>
      </c>
      <c r="I11">
        <v>12</v>
      </c>
      <c r="J11">
        <v>12</v>
      </c>
      <c r="K11" t="s">
        <v>60</v>
      </c>
      <c r="L11" t="s">
        <v>13</v>
      </c>
      <c r="M11" t="s">
        <v>21</v>
      </c>
      <c r="N11" t="s">
        <v>22</v>
      </c>
    </row>
    <row r="12" spans="1:14" x14ac:dyDescent="0.25">
      <c r="A12">
        <v>41</v>
      </c>
      <c r="B12">
        <v>16</v>
      </c>
      <c r="C12">
        <f>1/COUNTIF(B:B,pizza_sales[[#This Row],[order_id]])</f>
        <v>1</v>
      </c>
      <c r="D12" t="s">
        <v>31</v>
      </c>
      <c r="E12">
        <v>1</v>
      </c>
      <c r="F12" s="1">
        <v>42005</v>
      </c>
      <c r="G12" s="1" t="str">
        <f>TEXT(pizza_sales[[#This Row],[order_date]],"dddd")</f>
        <v>Thursday</v>
      </c>
      <c r="H12" s="2">
        <v>0.56535879629629626</v>
      </c>
      <c r="I12">
        <v>12</v>
      </c>
      <c r="J12">
        <v>12</v>
      </c>
      <c r="K12" t="s">
        <v>60</v>
      </c>
      <c r="L12" t="s">
        <v>13</v>
      </c>
      <c r="M12" t="s">
        <v>32</v>
      </c>
      <c r="N12" t="s">
        <v>33</v>
      </c>
    </row>
    <row r="13" spans="1:14" x14ac:dyDescent="0.25">
      <c r="A13">
        <v>44</v>
      </c>
      <c r="B13">
        <v>17</v>
      </c>
      <c r="C13">
        <f>1/COUNTIF(B:B,pizza_sales[[#This Row],[order_id]])</f>
        <v>0.5</v>
      </c>
      <c r="D13" t="s">
        <v>34</v>
      </c>
      <c r="E13">
        <v>1</v>
      </c>
      <c r="F13" s="1">
        <v>42005</v>
      </c>
      <c r="G13" s="1" t="str">
        <f>TEXT(pizza_sales[[#This Row],[order_date]],"dddd")</f>
        <v>Thursday</v>
      </c>
      <c r="H13" s="2">
        <v>0.57847222222222228</v>
      </c>
      <c r="I13">
        <v>16.25</v>
      </c>
      <c r="J13">
        <v>16.25</v>
      </c>
      <c r="K13" t="s">
        <v>59</v>
      </c>
      <c r="L13" t="s">
        <v>35</v>
      </c>
      <c r="M13" t="s">
        <v>36</v>
      </c>
      <c r="N13" t="s">
        <v>37</v>
      </c>
    </row>
    <row r="14" spans="1:14" x14ac:dyDescent="0.25">
      <c r="A14">
        <v>50</v>
      </c>
      <c r="B14">
        <v>17</v>
      </c>
      <c r="C14">
        <f>1/COUNTIF(B:B,pizza_sales[[#This Row],[order_id]])</f>
        <v>0.5</v>
      </c>
      <c r="D14" t="s">
        <v>24</v>
      </c>
      <c r="E14">
        <v>1</v>
      </c>
      <c r="F14" s="1">
        <v>42005</v>
      </c>
      <c r="G14" s="1" t="str">
        <f>TEXT(pizza_sales[[#This Row],[order_date]],"dddd")</f>
        <v>Thursday</v>
      </c>
      <c r="H14" s="2">
        <v>0.57847222222222228</v>
      </c>
      <c r="I14">
        <v>20.25</v>
      </c>
      <c r="J14">
        <v>20.25</v>
      </c>
      <c r="K14" t="s">
        <v>58</v>
      </c>
      <c r="L14" t="s">
        <v>17</v>
      </c>
      <c r="M14" t="s">
        <v>18</v>
      </c>
      <c r="N14" t="s">
        <v>19</v>
      </c>
    </row>
    <row r="15" spans="1:14" x14ac:dyDescent="0.25">
      <c r="A15">
        <v>53</v>
      </c>
      <c r="B15">
        <v>18</v>
      </c>
      <c r="C15">
        <f>1/COUNTIF(B:B,pizza_sales[[#This Row],[order_id]])</f>
        <v>1</v>
      </c>
      <c r="D15" t="s">
        <v>38</v>
      </c>
      <c r="E15">
        <v>1</v>
      </c>
      <c r="F15" s="1">
        <v>42005</v>
      </c>
      <c r="G15" s="1" t="str">
        <f>TEXT(pizza_sales[[#This Row],[order_date]],"dddd")</f>
        <v>Thursday</v>
      </c>
      <c r="H15" s="2">
        <v>0.58134259259259258</v>
      </c>
      <c r="I15">
        <v>20.5</v>
      </c>
      <c r="J15">
        <v>20.5</v>
      </c>
      <c r="K15" t="s">
        <v>58</v>
      </c>
      <c r="L15" t="s">
        <v>13</v>
      </c>
      <c r="M15" t="s">
        <v>32</v>
      </c>
      <c r="N15" t="s">
        <v>33</v>
      </c>
    </row>
    <row r="16" spans="1:14" x14ac:dyDescent="0.25">
      <c r="A16">
        <v>55</v>
      </c>
      <c r="B16">
        <v>19</v>
      </c>
      <c r="C16">
        <f>1/COUNTIF(B:B,pizza_sales[[#This Row],[order_id]])</f>
        <v>1</v>
      </c>
      <c r="D16" t="s">
        <v>39</v>
      </c>
      <c r="E16">
        <v>1</v>
      </c>
      <c r="F16" s="1">
        <v>42005</v>
      </c>
      <c r="G16" s="1" t="str">
        <f>TEXT(pizza_sales[[#This Row],[order_date]],"dddd")</f>
        <v>Thursday</v>
      </c>
      <c r="H16" s="2">
        <v>0.5827430555555555</v>
      </c>
      <c r="I16">
        <v>20.25</v>
      </c>
      <c r="J16">
        <v>20.25</v>
      </c>
      <c r="K16" t="s">
        <v>58</v>
      </c>
      <c r="L16" t="s">
        <v>35</v>
      </c>
      <c r="M16" t="s">
        <v>40</v>
      </c>
      <c r="N16" t="s">
        <v>41</v>
      </c>
    </row>
    <row r="17" spans="1:14" x14ac:dyDescent="0.25">
      <c r="A17">
        <v>56</v>
      </c>
      <c r="B17">
        <v>20</v>
      </c>
      <c r="C17">
        <f>1/COUNTIF(B:B,pizza_sales[[#This Row],[order_id]])</f>
        <v>1</v>
      </c>
      <c r="D17" t="s">
        <v>28</v>
      </c>
      <c r="E17">
        <v>1</v>
      </c>
      <c r="F17" s="1">
        <v>42005</v>
      </c>
      <c r="G17" s="1" t="str">
        <f>TEXT(pizza_sales[[#This Row],[order_date]],"dddd")</f>
        <v>Thursday</v>
      </c>
      <c r="H17" s="2">
        <v>0.58550925925925923</v>
      </c>
      <c r="I17">
        <v>12</v>
      </c>
      <c r="J17">
        <v>12</v>
      </c>
      <c r="K17" t="s">
        <v>60</v>
      </c>
      <c r="L17" t="s">
        <v>13</v>
      </c>
      <c r="M17" t="s">
        <v>29</v>
      </c>
      <c r="N17" t="s">
        <v>30</v>
      </c>
    </row>
    <row r="18" spans="1:14" x14ac:dyDescent="0.25">
      <c r="A18">
        <v>65</v>
      </c>
      <c r="B18">
        <v>24</v>
      </c>
      <c r="C18">
        <f>1/COUNTIF(B:B,pizza_sales[[#This Row],[order_id]])</f>
        <v>1</v>
      </c>
      <c r="D18" t="s">
        <v>42</v>
      </c>
      <c r="E18">
        <v>1</v>
      </c>
      <c r="F18" s="1">
        <v>42005</v>
      </c>
      <c r="G18" s="1" t="str">
        <f>TEXT(pizza_sales[[#This Row],[order_date]],"dddd")</f>
        <v>Thursday</v>
      </c>
      <c r="H18" s="2">
        <v>0.59931712962962957</v>
      </c>
      <c r="I18">
        <v>12.5</v>
      </c>
      <c r="J18">
        <v>12.5</v>
      </c>
      <c r="K18" t="s">
        <v>59</v>
      </c>
      <c r="L18" t="s">
        <v>13</v>
      </c>
      <c r="M18" t="s">
        <v>26</v>
      </c>
      <c r="N18" t="s">
        <v>27</v>
      </c>
    </row>
    <row r="19" spans="1:14" x14ac:dyDescent="0.25">
      <c r="A19">
        <v>67</v>
      </c>
      <c r="B19">
        <v>25</v>
      </c>
      <c r="C19">
        <f>1/COUNTIF(B:B,pizza_sales[[#This Row],[order_id]])</f>
        <v>1</v>
      </c>
      <c r="D19" t="s">
        <v>43</v>
      </c>
      <c r="E19">
        <v>1</v>
      </c>
      <c r="F19" s="1">
        <v>42005</v>
      </c>
      <c r="G19" s="1" t="str">
        <f>TEXT(pizza_sales[[#This Row],[order_date]],"dddd")</f>
        <v>Thursday</v>
      </c>
      <c r="H19" s="2">
        <v>0.61439814814814819</v>
      </c>
      <c r="I19">
        <v>16.25</v>
      </c>
      <c r="J19">
        <v>16.25</v>
      </c>
      <c r="K19" t="s">
        <v>59</v>
      </c>
      <c r="L19" t="s">
        <v>35</v>
      </c>
      <c r="M19" t="s">
        <v>40</v>
      </c>
      <c r="N19" t="s">
        <v>41</v>
      </c>
    </row>
    <row r="20" spans="1:14" x14ac:dyDescent="0.25">
      <c r="A20">
        <v>77</v>
      </c>
      <c r="B20">
        <v>31</v>
      </c>
      <c r="C20">
        <f>1/COUNTIF(B:B,pizza_sales[[#This Row],[order_id]])</f>
        <v>0.5</v>
      </c>
      <c r="D20" t="s">
        <v>16</v>
      </c>
      <c r="E20">
        <v>1</v>
      </c>
      <c r="F20" s="1">
        <v>42005</v>
      </c>
      <c r="G20" s="1" t="str">
        <f>TEXT(pizza_sales[[#This Row],[order_date]],"dddd")</f>
        <v>Thursday</v>
      </c>
      <c r="H20" s="2">
        <v>0.65993055555555558</v>
      </c>
      <c r="I20">
        <v>16</v>
      </c>
      <c r="J20">
        <v>16</v>
      </c>
      <c r="K20" t="s">
        <v>59</v>
      </c>
      <c r="L20" t="s">
        <v>17</v>
      </c>
      <c r="M20" t="s">
        <v>18</v>
      </c>
      <c r="N20" t="s">
        <v>19</v>
      </c>
    </row>
    <row r="21" spans="1:14" x14ac:dyDescent="0.25">
      <c r="A21">
        <v>78</v>
      </c>
      <c r="B21">
        <v>31</v>
      </c>
      <c r="C21">
        <f>1/COUNTIF(B:B,pizza_sales[[#This Row],[order_id]])</f>
        <v>0.5</v>
      </c>
      <c r="D21" t="s">
        <v>44</v>
      </c>
      <c r="E21">
        <v>1</v>
      </c>
      <c r="F21" s="1">
        <v>42005</v>
      </c>
      <c r="G21" s="1" t="str">
        <f>TEXT(pizza_sales[[#This Row],[order_date]],"dddd")</f>
        <v>Thursday</v>
      </c>
      <c r="H21" s="2">
        <v>0.65993055555555558</v>
      </c>
      <c r="I21">
        <v>9.75</v>
      </c>
      <c r="J21">
        <v>9.75</v>
      </c>
      <c r="K21" t="s">
        <v>60</v>
      </c>
      <c r="L21" t="s">
        <v>13</v>
      </c>
      <c r="M21" t="s">
        <v>26</v>
      </c>
      <c r="N21" t="s">
        <v>27</v>
      </c>
    </row>
    <row r="22" spans="1:14" x14ac:dyDescent="0.25">
      <c r="A22">
        <v>79</v>
      </c>
      <c r="B22">
        <v>32</v>
      </c>
      <c r="C22">
        <f>1/COUNTIF(B:B,pizza_sales[[#This Row],[order_id]])</f>
        <v>1</v>
      </c>
      <c r="D22" t="s">
        <v>28</v>
      </c>
      <c r="E22">
        <v>1</v>
      </c>
      <c r="F22" s="1">
        <v>42005</v>
      </c>
      <c r="G22" s="1" t="str">
        <f>TEXT(pizza_sales[[#This Row],[order_date]],"dddd")</f>
        <v>Thursday</v>
      </c>
      <c r="H22" s="2">
        <v>0.6620138888888889</v>
      </c>
      <c r="I22">
        <v>12</v>
      </c>
      <c r="J22">
        <v>12</v>
      </c>
      <c r="K22" t="s">
        <v>60</v>
      </c>
      <c r="L22" t="s">
        <v>13</v>
      </c>
      <c r="M22" t="s">
        <v>29</v>
      </c>
      <c r="N22" t="s">
        <v>30</v>
      </c>
    </row>
    <row r="23" spans="1:14" x14ac:dyDescent="0.25">
      <c r="A23">
        <v>85</v>
      </c>
      <c r="B23">
        <v>34</v>
      </c>
      <c r="C23">
        <f>1/COUNTIF(B:B,pizza_sales[[#This Row],[order_id]])</f>
        <v>1</v>
      </c>
      <c r="D23" t="s">
        <v>20</v>
      </c>
      <c r="E23">
        <v>1</v>
      </c>
      <c r="F23" s="1">
        <v>42005</v>
      </c>
      <c r="G23" s="1" t="str">
        <f>TEXT(pizza_sales[[#This Row],[order_date]],"dddd")</f>
        <v>Thursday</v>
      </c>
      <c r="H23" s="2">
        <v>0.6814930555555555</v>
      </c>
      <c r="I23">
        <v>12</v>
      </c>
      <c r="J23">
        <v>12</v>
      </c>
      <c r="K23" t="s">
        <v>60</v>
      </c>
      <c r="L23" t="s">
        <v>13</v>
      </c>
      <c r="M23" t="s">
        <v>21</v>
      </c>
      <c r="N23" t="s">
        <v>22</v>
      </c>
    </row>
    <row r="24" spans="1:14" x14ac:dyDescent="0.25">
      <c r="A24">
        <v>88</v>
      </c>
      <c r="B24">
        <v>35</v>
      </c>
      <c r="C24">
        <f>1/COUNTIF(B:B,pizza_sales[[#This Row],[order_id]])</f>
        <v>1</v>
      </c>
      <c r="D24" t="s">
        <v>42</v>
      </c>
      <c r="E24">
        <v>1</v>
      </c>
      <c r="F24" s="1">
        <v>42005</v>
      </c>
      <c r="G24" s="1" t="str">
        <f>TEXT(pizza_sales[[#This Row],[order_date]],"dddd")</f>
        <v>Thursday</v>
      </c>
      <c r="H24" s="2">
        <v>0.68893518518518515</v>
      </c>
      <c r="I24">
        <v>12.5</v>
      </c>
      <c r="J24">
        <v>12.5</v>
      </c>
      <c r="K24" t="s">
        <v>59</v>
      </c>
      <c r="L24" t="s">
        <v>13</v>
      </c>
      <c r="M24" t="s">
        <v>26</v>
      </c>
      <c r="N24" t="s">
        <v>27</v>
      </c>
    </row>
    <row r="25" spans="1:14" x14ac:dyDescent="0.25">
      <c r="A25">
        <v>93</v>
      </c>
      <c r="B25">
        <v>37</v>
      </c>
      <c r="C25">
        <f>1/COUNTIF(B:B,pizza_sales[[#This Row],[order_id]])</f>
        <v>1</v>
      </c>
      <c r="D25" t="s">
        <v>24</v>
      </c>
      <c r="E25">
        <v>1</v>
      </c>
      <c r="F25" s="1">
        <v>42005</v>
      </c>
      <c r="G25" s="1" t="str">
        <f>TEXT(pizza_sales[[#This Row],[order_date]],"dddd")</f>
        <v>Thursday</v>
      </c>
      <c r="H25" s="2">
        <v>0.70565972222222217</v>
      </c>
      <c r="I25">
        <v>20.25</v>
      </c>
      <c r="J25">
        <v>20.25</v>
      </c>
      <c r="K25" t="s">
        <v>58</v>
      </c>
      <c r="L25" t="s">
        <v>17</v>
      </c>
      <c r="M25" t="s">
        <v>18</v>
      </c>
      <c r="N25" t="s">
        <v>19</v>
      </c>
    </row>
    <row r="26" spans="1:14" x14ac:dyDescent="0.25">
      <c r="A26">
        <v>94</v>
      </c>
      <c r="B26">
        <v>38</v>
      </c>
      <c r="C26">
        <f>1/COUNTIF(B:B,pizza_sales[[#This Row],[order_id]])</f>
        <v>1</v>
      </c>
      <c r="D26" t="s">
        <v>45</v>
      </c>
      <c r="E26">
        <v>1</v>
      </c>
      <c r="F26" s="1">
        <v>42005</v>
      </c>
      <c r="G26" s="1" t="str">
        <f>TEXT(pizza_sales[[#This Row],[order_date]],"dddd")</f>
        <v>Thursday</v>
      </c>
      <c r="H26" s="2">
        <v>0.7104166666666667</v>
      </c>
      <c r="I26">
        <v>10.5</v>
      </c>
      <c r="J26">
        <v>10.5</v>
      </c>
      <c r="K26" t="s">
        <v>60</v>
      </c>
      <c r="L26" t="s">
        <v>13</v>
      </c>
      <c r="M26" t="s">
        <v>14</v>
      </c>
      <c r="N26" t="s">
        <v>15</v>
      </c>
    </row>
    <row r="27" spans="1:14" x14ac:dyDescent="0.25">
      <c r="A27">
        <v>101</v>
      </c>
      <c r="B27">
        <v>42</v>
      </c>
      <c r="C27">
        <f>1/COUNTIF(B:B,pizza_sales[[#This Row],[order_id]])</f>
        <v>0.5</v>
      </c>
      <c r="D27" t="s">
        <v>28</v>
      </c>
      <c r="E27">
        <v>1</v>
      </c>
      <c r="F27" s="1">
        <v>42005</v>
      </c>
      <c r="G27" s="1" t="str">
        <f>TEXT(pizza_sales[[#This Row],[order_date]],"dddd")</f>
        <v>Thursday</v>
      </c>
      <c r="H27" s="2">
        <v>0.72788194444444443</v>
      </c>
      <c r="I27">
        <v>12</v>
      </c>
      <c r="J27">
        <v>12</v>
      </c>
      <c r="K27" t="s">
        <v>60</v>
      </c>
      <c r="L27" t="s">
        <v>13</v>
      </c>
      <c r="M27" t="s">
        <v>29</v>
      </c>
      <c r="N27" t="s">
        <v>30</v>
      </c>
    </row>
    <row r="28" spans="1:14" x14ac:dyDescent="0.25">
      <c r="A28">
        <v>103</v>
      </c>
      <c r="B28">
        <v>42</v>
      </c>
      <c r="C28">
        <f>1/COUNTIF(B:B,pizza_sales[[#This Row],[order_id]])</f>
        <v>0.5</v>
      </c>
      <c r="D28" t="s">
        <v>24</v>
      </c>
      <c r="E28">
        <v>1</v>
      </c>
      <c r="F28" s="1">
        <v>42005</v>
      </c>
      <c r="G28" s="1" t="str">
        <f>TEXT(pizza_sales[[#This Row],[order_date]],"dddd")</f>
        <v>Thursday</v>
      </c>
      <c r="H28" s="2">
        <v>0.72788194444444443</v>
      </c>
      <c r="I28">
        <v>20.25</v>
      </c>
      <c r="J28">
        <v>20.25</v>
      </c>
      <c r="K28" t="s">
        <v>58</v>
      </c>
      <c r="L28" t="s">
        <v>17</v>
      </c>
      <c r="M28" t="s">
        <v>18</v>
      </c>
      <c r="N28" t="s">
        <v>19</v>
      </c>
    </row>
    <row r="29" spans="1:14" x14ac:dyDescent="0.25">
      <c r="A29">
        <v>110</v>
      </c>
      <c r="B29">
        <v>45</v>
      </c>
      <c r="C29">
        <f>1/COUNTIF(B:B,pizza_sales[[#This Row],[order_id]])</f>
        <v>1</v>
      </c>
      <c r="D29" t="s">
        <v>45</v>
      </c>
      <c r="E29">
        <v>1</v>
      </c>
      <c r="F29" s="1">
        <v>42005</v>
      </c>
      <c r="G29" s="1" t="str">
        <f>TEXT(pizza_sales[[#This Row],[order_date]],"dddd")</f>
        <v>Thursday</v>
      </c>
      <c r="H29" s="2">
        <v>0.74708333333333332</v>
      </c>
      <c r="I29">
        <v>10.5</v>
      </c>
      <c r="J29">
        <v>10.5</v>
      </c>
      <c r="K29" t="s">
        <v>60</v>
      </c>
      <c r="L29" t="s">
        <v>13</v>
      </c>
      <c r="M29" t="s">
        <v>14</v>
      </c>
      <c r="N29" t="s">
        <v>15</v>
      </c>
    </row>
    <row r="30" spans="1:14" x14ac:dyDescent="0.25">
      <c r="A30">
        <v>121</v>
      </c>
      <c r="B30">
        <v>49</v>
      </c>
      <c r="C30">
        <f>1/COUNTIF(B:B,pizza_sales[[#This Row],[order_id]])</f>
        <v>1</v>
      </c>
      <c r="D30" t="s">
        <v>39</v>
      </c>
      <c r="E30">
        <v>1</v>
      </c>
      <c r="F30" s="1">
        <v>42005</v>
      </c>
      <c r="G30" s="1" t="str">
        <f>TEXT(pizza_sales[[#This Row],[order_date]],"dddd")</f>
        <v>Thursday</v>
      </c>
      <c r="H30" s="2">
        <v>0.7729166666666667</v>
      </c>
      <c r="I30">
        <v>20.25</v>
      </c>
      <c r="J30">
        <v>20.25</v>
      </c>
      <c r="K30" t="s">
        <v>58</v>
      </c>
      <c r="L30" t="s">
        <v>35</v>
      </c>
      <c r="M30" t="s">
        <v>40</v>
      </c>
      <c r="N30" t="s">
        <v>41</v>
      </c>
    </row>
    <row r="31" spans="1:14" x14ac:dyDescent="0.25">
      <c r="A31">
        <v>122</v>
      </c>
      <c r="B31">
        <v>50</v>
      </c>
      <c r="C31">
        <f>1/COUNTIF(B:B,pizza_sales[[#This Row],[order_id]])</f>
        <v>1</v>
      </c>
      <c r="D31" t="s">
        <v>46</v>
      </c>
      <c r="E31">
        <v>1</v>
      </c>
      <c r="F31" s="1">
        <v>42005</v>
      </c>
      <c r="G31" s="1" t="str">
        <f>TEXT(pizza_sales[[#This Row],[order_date]],"dddd")</f>
        <v>Thursday</v>
      </c>
      <c r="H31" s="2">
        <v>0.77848379629629627</v>
      </c>
      <c r="I31">
        <v>25.5</v>
      </c>
      <c r="J31">
        <v>25.5</v>
      </c>
      <c r="K31" t="s">
        <v>61</v>
      </c>
      <c r="L31" t="s">
        <v>13</v>
      </c>
      <c r="M31" t="s">
        <v>21</v>
      </c>
      <c r="N31" t="s">
        <v>22</v>
      </c>
    </row>
    <row r="32" spans="1:14" x14ac:dyDescent="0.25">
      <c r="A32">
        <v>125</v>
      </c>
      <c r="B32">
        <v>52</v>
      </c>
      <c r="C32">
        <f>1/COUNTIF(B:B,pizza_sales[[#This Row],[order_id]])</f>
        <v>0.5</v>
      </c>
      <c r="D32" t="s">
        <v>47</v>
      </c>
      <c r="E32">
        <v>1</v>
      </c>
      <c r="F32" s="1">
        <v>42005</v>
      </c>
      <c r="G32" s="1" t="str">
        <f>TEXT(pizza_sales[[#This Row],[order_date]],"dddd")</f>
        <v>Thursday</v>
      </c>
      <c r="H32" s="2">
        <v>0.78682870370370372</v>
      </c>
      <c r="I32">
        <v>16.5</v>
      </c>
      <c r="J32">
        <v>16.5</v>
      </c>
      <c r="K32" t="s">
        <v>58</v>
      </c>
      <c r="L32" t="s">
        <v>13</v>
      </c>
      <c r="M32" t="s">
        <v>14</v>
      </c>
      <c r="N32" t="s">
        <v>15</v>
      </c>
    </row>
    <row r="33" spans="1:14" x14ac:dyDescent="0.25">
      <c r="A33">
        <v>126</v>
      </c>
      <c r="B33">
        <v>52</v>
      </c>
      <c r="C33">
        <f>1/COUNTIF(B:B,pizza_sales[[#This Row],[order_id]])</f>
        <v>0.5</v>
      </c>
      <c r="D33" t="s">
        <v>24</v>
      </c>
      <c r="E33">
        <v>1</v>
      </c>
      <c r="F33" s="1">
        <v>42005</v>
      </c>
      <c r="G33" s="1" t="str">
        <f>TEXT(pizza_sales[[#This Row],[order_date]],"dddd")</f>
        <v>Thursday</v>
      </c>
      <c r="H33" s="2">
        <v>0.78682870370370372</v>
      </c>
      <c r="I33">
        <v>20.25</v>
      </c>
      <c r="J33">
        <v>20.25</v>
      </c>
      <c r="K33" t="s">
        <v>58</v>
      </c>
      <c r="L33" t="s">
        <v>17</v>
      </c>
      <c r="M33" t="s">
        <v>18</v>
      </c>
      <c r="N33" t="s">
        <v>19</v>
      </c>
    </row>
    <row r="34" spans="1:14" x14ac:dyDescent="0.25">
      <c r="A34">
        <v>139</v>
      </c>
      <c r="B34">
        <v>58</v>
      </c>
      <c r="C34">
        <f>1/COUNTIF(B:B,pizza_sales[[#This Row],[order_id]])</f>
        <v>1</v>
      </c>
      <c r="D34" t="s">
        <v>42</v>
      </c>
      <c r="E34">
        <v>1</v>
      </c>
      <c r="F34" s="1">
        <v>42005</v>
      </c>
      <c r="G34" s="1" t="str">
        <f>TEXT(pizza_sales[[#This Row],[order_date]],"dddd")</f>
        <v>Thursday</v>
      </c>
      <c r="H34" s="2">
        <v>0.812962962962963</v>
      </c>
      <c r="I34">
        <v>12.5</v>
      </c>
      <c r="J34">
        <v>12.5</v>
      </c>
      <c r="K34" t="s">
        <v>59</v>
      </c>
      <c r="L34" t="s">
        <v>13</v>
      </c>
      <c r="M34" t="s">
        <v>26</v>
      </c>
      <c r="N34" t="s">
        <v>27</v>
      </c>
    </row>
    <row r="35" spans="1:14" x14ac:dyDescent="0.25">
      <c r="A35">
        <v>142</v>
      </c>
      <c r="B35">
        <v>59</v>
      </c>
      <c r="C35">
        <f>1/COUNTIF(B:B,pizza_sales[[#This Row],[order_id]])</f>
        <v>1</v>
      </c>
      <c r="D35" t="s">
        <v>25</v>
      </c>
      <c r="E35">
        <v>1</v>
      </c>
      <c r="F35" s="1">
        <v>42005</v>
      </c>
      <c r="G35" s="1" t="str">
        <f>TEXT(pizza_sales[[#This Row],[order_date]],"dddd")</f>
        <v>Thursday</v>
      </c>
      <c r="H35" s="2">
        <v>0.81953703703703706</v>
      </c>
      <c r="I35">
        <v>15.25</v>
      </c>
      <c r="J35">
        <v>15.25</v>
      </c>
      <c r="K35" t="s">
        <v>58</v>
      </c>
      <c r="L35" t="s">
        <v>13</v>
      </c>
      <c r="M35" t="s">
        <v>26</v>
      </c>
      <c r="N35" t="s">
        <v>27</v>
      </c>
    </row>
    <row r="36" spans="1:14" x14ac:dyDescent="0.25">
      <c r="A36">
        <v>150</v>
      </c>
      <c r="B36">
        <v>64</v>
      </c>
      <c r="C36">
        <f>1/COUNTIF(B:B,pizza_sales[[#This Row],[order_id]])</f>
        <v>1</v>
      </c>
      <c r="D36" t="s">
        <v>28</v>
      </c>
      <c r="E36">
        <v>1</v>
      </c>
      <c r="F36" s="1">
        <v>42005</v>
      </c>
      <c r="G36" s="1" t="str">
        <f>TEXT(pizza_sales[[#This Row],[order_date]],"dddd")</f>
        <v>Thursday</v>
      </c>
      <c r="H36" s="2">
        <v>0.869537037037037</v>
      </c>
      <c r="I36">
        <v>12</v>
      </c>
      <c r="J36">
        <v>12</v>
      </c>
      <c r="K36" t="s">
        <v>60</v>
      </c>
      <c r="L36" t="s">
        <v>13</v>
      </c>
      <c r="M36" t="s">
        <v>29</v>
      </c>
      <c r="N36" t="s">
        <v>30</v>
      </c>
    </row>
    <row r="37" spans="1:14" x14ac:dyDescent="0.25">
      <c r="A37">
        <v>152</v>
      </c>
      <c r="B37">
        <v>65</v>
      </c>
      <c r="C37">
        <f>1/COUNTIF(B:B,pizza_sales[[#This Row],[order_id]])</f>
        <v>1</v>
      </c>
      <c r="D37" t="s">
        <v>48</v>
      </c>
      <c r="E37">
        <v>1</v>
      </c>
      <c r="F37" s="1">
        <v>42005</v>
      </c>
      <c r="G37" s="1" t="str">
        <f>TEXT(pizza_sales[[#This Row],[order_date]],"dddd")</f>
        <v>Thursday</v>
      </c>
      <c r="H37" s="2">
        <v>0.88611111111111107</v>
      </c>
      <c r="I37">
        <v>12.25</v>
      </c>
      <c r="J37">
        <v>12.25</v>
      </c>
      <c r="K37" t="s">
        <v>60</v>
      </c>
      <c r="L37" t="s">
        <v>35</v>
      </c>
      <c r="M37" t="s">
        <v>40</v>
      </c>
      <c r="N37" t="s">
        <v>41</v>
      </c>
    </row>
    <row r="38" spans="1:14" x14ac:dyDescent="0.25">
      <c r="A38">
        <v>168</v>
      </c>
      <c r="B38">
        <v>74</v>
      </c>
      <c r="C38">
        <f>1/COUNTIF(B:B,pizza_sales[[#This Row],[order_id]])</f>
        <v>1</v>
      </c>
      <c r="D38" t="s">
        <v>24</v>
      </c>
      <c r="E38">
        <v>1</v>
      </c>
      <c r="F38" s="1">
        <v>42036</v>
      </c>
      <c r="G38" s="1" t="str">
        <f>TEXT(pizza_sales[[#This Row],[order_date]],"dddd")</f>
        <v>Sunday</v>
      </c>
      <c r="H38" s="2">
        <v>0.50083333333333335</v>
      </c>
      <c r="I38">
        <v>20.25</v>
      </c>
      <c r="J38">
        <v>20.25</v>
      </c>
      <c r="K38" t="s">
        <v>58</v>
      </c>
      <c r="L38" t="s">
        <v>17</v>
      </c>
      <c r="M38" t="s">
        <v>18</v>
      </c>
      <c r="N38" t="s">
        <v>19</v>
      </c>
    </row>
    <row r="39" spans="1:14" x14ac:dyDescent="0.25">
      <c r="A39">
        <v>173</v>
      </c>
      <c r="B39">
        <v>75</v>
      </c>
      <c r="C39">
        <f>1/COUNTIF(B:B,pizza_sales[[#This Row],[order_id]])</f>
        <v>1</v>
      </c>
      <c r="D39" t="s">
        <v>38</v>
      </c>
      <c r="E39">
        <v>1</v>
      </c>
      <c r="F39" s="1">
        <v>42036</v>
      </c>
      <c r="G39" s="1" t="str">
        <f>TEXT(pizza_sales[[#This Row],[order_date]],"dddd")</f>
        <v>Sunday</v>
      </c>
      <c r="H39" s="2">
        <v>0.50711805555555556</v>
      </c>
      <c r="I39">
        <v>20.5</v>
      </c>
      <c r="J39">
        <v>20.5</v>
      </c>
      <c r="K39" t="s">
        <v>58</v>
      </c>
      <c r="L39" t="s">
        <v>13</v>
      </c>
      <c r="M39" t="s">
        <v>32</v>
      </c>
      <c r="N39" t="s">
        <v>33</v>
      </c>
    </row>
    <row r="40" spans="1:14" x14ac:dyDescent="0.25">
      <c r="A40">
        <v>174</v>
      </c>
      <c r="B40">
        <v>76</v>
      </c>
      <c r="C40">
        <f>1/COUNTIF(B:B,pizza_sales[[#This Row],[order_id]])</f>
        <v>0.5</v>
      </c>
      <c r="D40" t="s">
        <v>28</v>
      </c>
      <c r="E40">
        <v>1</v>
      </c>
      <c r="F40" s="1">
        <v>42036</v>
      </c>
      <c r="G40" s="1" t="str">
        <f>TEXT(pizza_sales[[#This Row],[order_date]],"dddd")</f>
        <v>Sunday</v>
      </c>
      <c r="H40" s="2">
        <v>0.51478009259259261</v>
      </c>
      <c r="I40">
        <v>12</v>
      </c>
      <c r="J40">
        <v>12</v>
      </c>
      <c r="K40" t="s">
        <v>60</v>
      </c>
      <c r="L40" t="s">
        <v>13</v>
      </c>
      <c r="M40" t="s">
        <v>29</v>
      </c>
      <c r="N40" t="s">
        <v>30</v>
      </c>
    </row>
    <row r="41" spans="1:14" x14ac:dyDescent="0.25">
      <c r="A41">
        <v>175</v>
      </c>
      <c r="B41">
        <v>76</v>
      </c>
      <c r="C41">
        <f>1/COUNTIF(B:B,pizza_sales[[#This Row],[order_id]])</f>
        <v>0.5</v>
      </c>
      <c r="D41" t="s">
        <v>47</v>
      </c>
      <c r="E41">
        <v>1</v>
      </c>
      <c r="F41" s="1">
        <v>42036</v>
      </c>
      <c r="G41" s="1" t="str">
        <f>TEXT(pizza_sales[[#This Row],[order_date]],"dddd")</f>
        <v>Sunday</v>
      </c>
      <c r="H41" s="2">
        <v>0.51478009259259261</v>
      </c>
      <c r="I41">
        <v>16.5</v>
      </c>
      <c r="J41">
        <v>16.5</v>
      </c>
      <c r="K41" t="s">
        <v>58</v>
      </c>
      <c r="L41" t="s">
        <v>13</v>
      </c>
      <c r="M41" t="s">
        <v>14</v>
      </c>
      <c r="N41" t="s">
        <v>15</v>
      </c>
    </row>
    <row r="42" spans="1:14" x14ac:dyDescent="0.25">
      <c r="A42">
        <v>179</v>
      </c>
      <c r="B42">
        <v>77</v>
      </c>
      <c r="C42">
        <f>1/COUNTIF(B:B,pizza_sales[[#This Row],[order_id]])</f>
        <v>1</v>
      </c>
      <c r="D42" t="s">
        <v>12</v>
      </c>
      <c r="E42">
        <v>1</v>
      </c>
      <c r="F42" s="1">
        <v>42036</v>
      </c>
      <c r="G42" s="1" t="str">
        <f>TEXT(pizza_sales[[#This Row],[order_date]],"dddd")</f>
        <v>Sunday</v>
      </c>
      <c r="H42" s="2">
        <v>0.51581018518518518</v>
      </c>
      <c r="I42">
        <v>13.25</v>
      </c>
      <c r="J42">
        <v>13.25</v>
      </c>
      <c r="K42" t="s">
        <v>59</v>
      </c>
      <c r="L42" t="s">
        <v>13</v>
      </c>
      <c r="M42" t="s">
        <v>14</v>
      </c>
      <c r="N42" t="s">
        <v>15</v>
      </c>
    </row>
    <row r="43" spans="1:14" x14ac:dyDescent="0.25">
      <c r="A43">
        <v>180</v>
      </c>
      <c r="B43">
        <v>78</v>
      </c>
      <c r="C43">
        <f>1/COUNTIF(B:B,pizza_sales[[#This Row],[order_id]])</f>
        <v>1</v>
      </c>
      <c r="D43" t="s">
        <v>28</v>
      </c>
      <c r="E43">
        <v>1</v>
      </c>
      <c r="F43" s="1">
        <v>42036</v>
      </c>
      <c r="G43" s="1" t="str">
        <f>TEXT(pizza_sales[[#This Row],[order_date]],"dddd")</f>
        <v>Sunday</v>
      </c>
      <c r="H43" s="2">
        <v>0.51960648148148147</v>
      </c>
      <c r="I43">
        <v>12</v>
      </c>
      <c r="J43">
        <v>12</v>
      </c>
      <c r="K43" t="s">
        <v>60</v>
      </c>
      <c r="L43" t="s">
        <v>13</v>
      </c>
      <c r="M43" t="s">
        <v>29</v>
      </c>
      <c r="N43" t="s">
        <v>30</v>
      </c>
    </row>
    <row r="44" spans="1:14" x14ac:dyDescent="0.25">
      <c r="A44">
        <v>189</v>
      </c>
      <c r="B44">
        <v>80</v>
      </c>
      <c r="C44">
        <f>1/COUNTIF(B:B,pizza_sales[[#This Row],[order_id]])</f>
        <v>1</v>
      </c>
      <c r="D44" t="s">
        <v>44</v>
      </c>
      <c r="E44">
        <v>1</v>
      </c>
      <c r="F44" s="1">
        <v>42036</v>
      </c>
      <c r="G44" s="1" t="str">
        <f>TEXT(pizza_sales[[#This Row],[order_date]],"dddd")</f>
        <v>Sunday</v>
      </c>
      <c r="H44" s="2">
        <v>0.52474537037037039</v>
      </c>
      <c r="I44">
        <v>9.75</v>
      </c>
      <c r="J44">
        <v>9.75</v>
      </c>
      <c r="K44" t="s">
        <v>60</v>
      </c>
      <c r="L44" t="s">
        <v>13</v>
      </c>
      <c r="M44" t="s">
        <v>26</v>
      </c>
      <c r="N44" t="s">
        <v>27</v>
      </c>
    </row>
    <row r="45" spans="1:14" x14ac:dyDescent="0.25">
      <c r="A45">
        <v>192</v>
      </c>
      <c r="B45">
        <v>82</v>
      </c>
      <c r="C45">
        <f>1/COUNTIF(B:B,pizza_sales[[#This Row],[order_id]])</f>
        <v>1</v>
      </c>
      <c r="D45" t="s">
        <v>28</v>
      </c>
      <c r="E45">
        <v>1</v>
      </c>
      <c r="F45" s="1">
        <v>42036</v>
      </c>
      <c r="G45" s="1" t="str">
        <f>TEXT(pizza_sales[[#This Row],[order_date]],"dddd")</f>
        <v>Sunday</v>
      </c>
      <c r="H45" s="2">
        <v>0.53184027777777776</v>
      </c>
      <c r="I45">
        <v>12</v>
      </c>
      <c r="J45">
        <v>12</v>
      </c>
      <c r="K45" t="s">
        <v>60</v>
      </c>
      <c r="L45" t="s">
        <v>13</v>
      </c>
      <c r="M45" t="s">
        <v>29</v>
      </c>
      <c r="N45" t="s">
        <v>30</v>
      </c>
    </row>
    <row r="46" spans="1:14" x14ac:dyDescent="0.25">
      <c r="A46">
        <v>197</v>
      </c>
      <c r="B46">
        <v>84</v>
      </c>
      <c r="C46">
        <f>1/COUNTIF(B:B,pizza_sales[[#This Row],[order_id]])</f>
        <v>1</v>
      </c>
      <c r="D46" t="s">
        <v>25</v>
      </c>
      <c r="E46">
        <v>1</v>
      </c>
      <c r="F46" s="1">
        <v>42036</v>
      </c>
      <c r="G46" s="1" t="str">
        <f>TEXT(pizza_sales[[#This Row],[order_date]],"dddd")</f>
        <v>Sunday</v>
      </c>
      <c r="H46" s="2">
        <v>0.55116898148148152</v>
      </c>
      <c r="I46">
        <v>15.25</v>
      </c>
      <c r="J46">
        <v>15.25</v>
      </c>
      <c r="K46" t="s">
        <v>58</v>
      </c>
      <c r="L46" t="s">
        <v>13</v>
      </c>
      <c r="M46" t="s">
        <v>26</v>
      </c>
      <c r="N46" t="s">
        <v>27</v>
      </c>
    </row>
    <row r="47" spans="1:14" x14ac:dyDescent="0.25">
      <c r="A47">
        <v>201</v>
      </c>
      <c r="B47">
        <v>85</v>
      </c>
      <c r="C47">
        <f>1/COUNTIF(B:B,pizza_sales[[#This Row],[order_id]])</f>
        <v>1</v>
      </c>
      <c r="D47" t="s">
        <v>49</v>
      </c>
      <c r="E47">
        <v>1</v>
      </c>
      <c r="F47" s="1">
        <v>42036</v>
      </c>
      <c r="G47" s="1" t="str">
        <f>TEXT(pizza_sales[[#This Row],[order_date]],"dddd")</f>
        <v>Sunday</v>
      </c>
      <c r="H47" s="2">
        <v>0.56584490740740745</v>
      </c>
      <c r="I47">
        <v>16</v>
      </c>
      <c r="J47">
        <v>16</v>
      </c>
      <c r="K47" t="s">
        <v>59</v>
      </c>
      <c r="L47" t="s">
        <v>13</v>
      </c>
      <c r="M47" t="s">
        <v>21</v>
      </c>
      <c r="N47" t="s">
        <v>22</v>
      </c>
    </row>
    <row r="48" spans="1:14" x14ac:dyDescent="0.25">
      <c r="A48">
        <v>202</v>
      </c>
      <c r="B48">
        <v>86</v>
      </c>
      <c r="C48">
        <f>1/COUNTIF(B:B,pizza_sales[[#This Row],[order_id]])</f>
        <v>1</v>
      </c>
      <c r="D48" t="s">
        <v>47</v>
      </c>
      <c r="E48">
        <v>1</v>
      </c>
      <c r="F48" s="1">
        <v>42036</v>
      </c>
      <c r="G48" s="1" t="str">
        <f>TEXT(pizza_sales[[#This Row],[order_date]],"dddd")</f>
        <v>Sunday</v>
      </c>
      <c r="H48" s="2">
        <v>0.56980324074074074</v>
      </c>
      <c r="I48">
        <v>16.5</v>
      </c>
      <c r="J48">
        <v>16.5</v>
      </c>
      <c r="K48" t="s">
        <v>58</v>
      </c>
      <c r="L48" t="s">
        <v>13</v>
      </c>
      <c r="M48" t="s">
        <v>14</v>
      </c>
      <c r="N48" t="s">
        <v>15</v>
      </c>
    </row>
    <row r="49" spans="1:14" x14ac:dyDescent="0.25">
      <c r="A49">
        <v>204</v>
      </c>
      <c r="B49">
        <v>87</v>
      </c>
      <c r="C49">
        <f>1/COUNTIF(B:B,pizza_sales[[#This Row],[order_id]])</f>
        <v>1</v>
      </c>
      <c r="D49" t="s">
        <v>16</v>
      </c>
      <c r="E49">
        <v>1</v>
      </c>
      <c r="F49" s="1">
        <v>42036</v>
      </c>
      <c r="G49" s="1" t="str">
        <f>TEXT(pizza_sales[[#This Row],[order_date]],"dddd")</f>
        <v>Sunday</v>
      </c>
      <c r="H49" s="2">
        <v>0.58405092592592589</v>
      </c>
      <c r="I49">
        <v>16</v>
      </c>
      <c r="J49">
        <v>16</v>
      </c>
      <c r="K49" t="s">
        <v>59</v>
      </c>
      <c r="L49" t="s">
        <v>17</v>
      </c>
      <c r="M49" t="s">
        <v>18</v>
      </c>
      <c r="N49" t="s">
        <v>19</v>
      </c>
    </row>
    <row r="50" spans="1:14" x14ac:dyDescent="0.25">
      <c r="A50">
        <v>210</v>
      </c>
      <c r="B50">
        <v>90</v>
      </c>
      <c r="C50">
        <f>1/COUNTIF(B:B,pizza_sales[[#This Row],[order_id]])</f>
        <v>1</v>
      </c>
      <c r="D50" t="s">
        <v>39</v>
      </c>
      <c r="E50">
        <v>1</v>
      </c>
      <c r="F50" s="1">
        <v>42036</v>
      </c>
      <c r="G50" s="1" t="str">
        <f>TEXT(pizza_sales[[#This Row],[order_date]],"dddd")</f>
        <v>Sunday</v>
      </c>
      <c r="H50" s="2">
        <v>0.63111111111111107</v>
      </c>
      <c r="I50">
        <v>20.25</v>
      </c>
      <c r="J50">
        <v>20.25</v>
      </c>
      <c r="K50" t="s">
        <v>58</v>
      </c>
      <c r="L50" t="s">
        <v>35</v>
      </c>
      <c r="M50" t="s">
        <v>40</v>
      </c>
      <c r="N50" t="s">
        <v>41</v>
      </c>
    </row>
    <row r="51" spans="1:14" x14ac:dyDescent="0.25">
      <c r="A51">
        <v>214</v>
      </c>
      <c r="B51">
        <v>91</v>
      </c>
      <c r="C51">
        <f>1/COUNTIF(B:B,pizza_sales[[#This Row],[order_id]])</f>
        <v>1</v>
      </c>
      <c r="D51" t="s">
        <v>44</v>
      </c>
      <c r="E51">
        <v>1</v>
      </c>
      <c r="F51" s="1">
        <v>42036</v>
      </c>
      <c r="G51" s="1" t="str">
        <f>TEXT(pizza_sales[[#This Row],[order_date]],"dddd")</f>
        <v>Sunday</v>
      </c>
      <c r="H51" s="2">
        <v>0.63521990740740741</v>
      </c>
      <c r="I51">
        <v>9.75</v>
      </c>
      <c r="J51">
        <v>9.75</v>
      </c>
      <c r="K51" t="s">
        <v>60</v>
      </c>
      <c r="L51" t="s">
        <v>13</v>
      </c>
      <c r="M51" t="s">
        <v>26</v>
      </c>
      <c r="N51" t="s">
        <v>27</v>
      </c>
    </row>
    <row r="52" spans="1:14" x14ac:dyDescent="0.25">
      <c r="A52">
        <v>219</v>
      </c>
      <c r="B52">
        <v>92</v>
      </c>
      <c r="C52">
        <f>1/COUNTIF(B:B,pizza_sales[[#This Row],[order_id]])</f>
        <v>0.5</v>
      </c>
      <c r="D52" t="s">
        <v>42</v>
      </c>
      <c r="E52">
        <v>1</v>
      </c>
      <c r="F52" s="1">
        <v>42036</v>
      </c>
      <c r="G52" s="1" t="str">
        <f>TEXT(pizza_sales[[#This Row],[order_date]],"dddd")</f>
        <v>Sunday</v>
      </c>
      <c r="H52" s="2">
        <v>0.6368287037037037</v>
      </c>
      <c r="I52">
        <v>12.5</v>
      </c>
      <c r="J52">
        <v>12.5</v>
      </c>
      <c r="K52" t="s">
        <v>59</v>
      </c>
      <c r="L52" t="s">
        <v>13</v>
      </c>
      <c r="M52" t="s">
        <v>26</v>
      </c>
      <c r="N52" t="s">
        <v>27</v>
      </c>
    </row>
    <row r="53" spans="1:14" x14ac:dyDescent="0.25">
      <c r="A53">
        <v>223</v>
      </c>
      <c r="B53">
        <v>92</v>
      </c>
      <c r="C53">
        <f>1/COUNTIF(B:B,pizza_sales[[#This Row],[order_id]])</f>
        <v>0.5</v>
      </c>
      <c r="D53" t="s">
        <v>49</v>
      </c>
      <c r="E53">
        <v>2</v>
      </c>
      <c r="F53" s="1">
        <v>42036</v>
      </c>
      <c r="G53" s="1" t="str">
        <f>TEXT(pizza_sales[[#This Row],[order_date]],"dddd")</f>
        <v>Sunday</v>
      </c>
      <c r="H53" s="2">
        <v>0.6368287037037037</v>
      </c>
      <c r="I53">
        <v>16</v>
      </c>
      <c r="J53">
        <v>32</v>
      </c>
      <c r="K53" t="s">
        <v>59</v>
      </c>
      <c r="L53" t="s">
        <v>13</v>
      </c>
      <c r="M53" t="s">
        <v>21</v>
      </c>
      <c r="N53" t="s">
        <v>22</v>
      </c>
    </row>
    <row r="54" spans="1:14" x14ac:dyDescent="0.25">
      <c r="A54">
        <v>224</v>
      </c>
      <c r="B54">
        <v>93</v>
      </c>
      <c r="C54">
        <f>1/COUNTIF(B:B,pizza_sales[[#This Row],[order_id]])</f>
        <v>1</v>
      </c>
      <c r="D54" t="s">
        <v>43</v>
      </c>
      <c r="E54">
        <v>1</v>
      </c>
      <c r="F54" s="1">
        <v>42036</v>
      </c>
      <c r="G54" s="1" t="str">
        <f>TEXT(pizza_sales[[#This Row],[order_date]],"dddd")</f>
        <v>Sunday</v>
      </c>
      <c r="H54" s="2">
        <v>0.64549768518518513</v>
      </c>
      <c r="I54">
        <v>16.25</v>
      </c>
      <c r="J54">
        <v>16.25</v>
      </c>
      <c r="K54" t="s">
        <v>59</v>
      </c>
      <c r="L54" t="s">
        <v>35</v>
      </c>
      <c r="M54" t="s">
        <v>40</v>
      </c>
      <c r="N54" t="s">
        <v>41</v>
      </c>
    </row>
    <row r="55" spans="1:14" x14ac:dyDescent="0.25">
      <c r="A55">
        <v>227</v>
      </c>
      <c r="B55">
        <v>95</v>
      </c>
      <c r="C55">
        <f>1/COUNTIF(B:B,pizza_sales[[#This Row],[order_id]])</f>
        <v>1</v>
      </c>
      <c r="D55" t="s">
        <v>31</v>
      </c>
      <c r="E55">
        <v>1</v>
      </c>
      <c r="F55" s="1">
        <v>42036</v>
      </c>
      <c r="G55" s="1" t="str">
        <f>TEXT(pizza_sales[[#This Row],[order_date]],"dddd")</f>
        <v>Sunday</v>
      </c>
      <c r="H55" s="2">
        <v>0.67921296296296296</v>
      </c>
      <c r="I55">
        <v>12</v>
      </c>
      <c r="J55">
        <v>12</v>
      </c>
      <c r="K55" t="s">
        <v>60</v>
      </c>
      <c r="L55" t="s">
        <v>13</v>
      </c>
      <c r="M55" t="s">
        <v>32</v>
      </c>
      <c r="N55" t="s">
        <v>33</v>
      </c>
    </row>
    <row r="56" spans="1:14" x14ac:dyDescent="0.25">
      <c r="A56">
        <v>229</v>
      </c>
      <c r="B56">
        <v>96</v>
      </c>
      <c r="C56">
        <f>1/COUNTIF(B:B,pizza_sales[[#This Row],[order_id]])</f>
        <v>1</v>
      </c>
      <c r="D56" t="s">
        <v>31</v>
      </c>
      <c r="E56">
        <v>1</v>
      </c>
      <c r="F56" s="1">
        <v>42036</v>
      </c>
      <c r="G56" s="1" t="str">
        <f>TEXT(pizza_sales[[#This Row],[order_date]],"dddd")</f>
        <v>Sunday</v>
      </c>
      <c r="H56" s="2">
        <v>0.68148148148148147</v>
      </c>
      <c r="I56">
        <v>12</v>
      </c>
      <c r="J56">
        <v>12</v>
      </c>
      <c r="K56" t="s">
        <v>60</v>
      </c>
      <c r="L56" t="s">
        <v>13</v>
      </c>
      <c r="M56" t="s">
        <v>32</v>
      </c>
      <c r="N56" t="s">
        <v>33</v>
      </c>
    </row>
    <row r="57" spans="1:14" x14ac:dyDescent="0.25">
      <c r="A57">
        <v>230</v>
      </c>
      <c r="B57">
        <v>97</v>
      </c>
      <c r="C57">
        <f>1/COUNTIF(B:B,pizza_sales[[#This Row],[order_id]])</f>
        <v>1</v>
      </c>
      <c r="D57" t="s">
        <v>28</v>
      </c>
      <c r="E57">
        <v>1</v>
      </c>
      <c r="F57" s="1">
        <v>42036</v>
      </c>
      <c r="G57" s="1" t="str">
        <f>TEXT(pizza_sales[[#This Row],[order_date]],"dddd")</f>
        <v>Sunday</v>
      </c>
      <c r="H57" s="2">
        <v>0.69829861111111113</v>
      </c>
      <c r="I57">
        <v>12</v>
      </c>
      <c r="J57">
        <v>12</v>
      </c>
      <c r="K57" t="s">
        <v>60</v>
      </c>
      <c r="L57" t="s">
        <v>13</v>
      </c>
      <c r="M57" t="s">
        <v>29</v>
      </c>
      <c r="N57" t="s">
        <v>30</v>
      </c>
    </row>
    <row r="58" spans="1:14" x14ac:dyDescent="0.25">
      <c r="A58">
        <v>232</v>
      </c>
      <c r="B58">
        <v>98</v>
      </c>
      <c r="C58">
        <f>1/COUNTIF(B:B,pizza_sales[[#This Row],[order_id]])</f>
        <v>1</v>
      </c>
      <c r="D58" t="s">
        <v>38</v>
      </c>
      <c r="E58">
        <v>1</v>
      </c>
      <c r="F58" s="1">
        <v>42036</v>
      </c>
      <c r="G58" s="1" t="str">
        <f>TEXT(pizza_sales[[#This Row],[order_date]],"dddd")</f>
        <v>Sunday</v>
      </c>
      <c r="H58" s="2">
        <v>0.72104166666666669</v>
      </c>
      <c r="I58">
        <v>20.5</v>
      </c>
      <c r="J58">
        <v>20.5</v>
      </c>
      <c r="K58" t="s">
        <v>58</v>
      </c>
      <c r="L58" t="s">
        <v>13</v>
      </c>
      <c r="M58" t="s">
        <v>32</v>
      </c>
      <c r="N58" t="s">
        <v>33</v>
      </c>
    </row>
    <row r="59" spans="1:14" x14ac:dyDescent="0.25">
      <c r="A59">
        <v>234</v>
      </c>
      <c r="B59">
        <v>100</v>
      </c>
      <c r="C59">
        <f>1/COUNTIF(B:B,pizza_sales[[#This Row],[order_id]])</f>
        <v>1</v>
      </c>
      <c r="D59" t="s">
        <v>47</v>
      </c>
      <c r="E59">
        <v>1</v>
      </c>
      <c r="F59" s="1">
        <v>42036</v>
      </c>
      <c r="G59" s="1" t="str">
        <f>TEXT(pizza_sales[[#This Row],[order_date]],"dddd")</f>
        <v>Sunday</v>
      </c>
      <c r="H59" s="2">
        <v>0.74047453703703703</v>
      </c>
      <c r="I59">
        <v>16.5</v>
      </c>
      <c r="J59">
        <v>16.5</v>
      </c>
      <c r="K59" t="s">
        <v>58</v>
      </c>
      <c r="L59" t="s">
        <v>13</v>
      </c>
      <c r="M59" t="s">
        <v>14</v>
      </c>
      <c r="N59" t="s">
        <v>15</v>
      </c>
    </row>
    <row r="60" spans="1:14" x14ac:dyDescent="0.25">
      <c r="A60">
        <v>236</v>
      </c>
      <c r="B60">
        <v>101</v>
      </c>
      <c r="C60">
        <f>1/COUNTIF(B:B,pizza_sales[[#This Row],[order_id]])</f>
        <v>1</v>
      </c>
      <c r="D60" t="s">
        <v>25</v>
      </c>
      <c r="E60">
        <v>1</v>
      </c>
      <c r="F60" s="1">
        <v>42036</v>
      </c>
      <c r="G60" s="1" t="str">
        <f>TEXT(pizza_sales[[#This Row],[order_date]],"dddd")</f>
        <v>Sunday</v>
      </c>
      <c r="H60" s="2">
        <v>0.74413194444444442</v>
      </c>
      <c r="I60">
        <v>15.25</v>
      </c>
      <c r="J60">
        <v>15.25</v>
      </c>
      <c r="K60" t="s">
        <v>58</v>
      </c>
      <c r="L60" t="s">
        <v>13</v>
      </c>
      <c r="M60" t="s">
        <v>26</v>
      </c>
      <c r="N60" t="s">
        <v>27</v>
      </c>
    </row>
    <row r="61" spans="1:14" x14ac:dyDescent="0.25">
      <c r="A61">
        <v>246</v>
      </c>
      <c r="B61">
        <v>105</v>
      </c>
      <c r="C61">
        <f>1/COUNTIF(B:B,pizza_sales[[#This Row],[order_id]])</f>
        <v>0.5</v>
      </c>
      <c r="D61" t="s">
        <v>45</v>
      </c>
      <c r="E61">
        <v>2</v>
      </c>
      <c r="F61" s="1">
        <v>42036</v>
      </c>
      <c r="G61" s="1" t="str">
        <f>TEXT(pizza_sales[[#This Row],[order_date]],"dddd")</f>
        <v>Sunday</v>
      </c>
      <c r="H61" s="2">
        <v>0.75834490740740745</v>
      </c>
      <c r="I61">
        <v>10.5</v>
      </c>
      <c r="J61">
        <v>21</v>
      </c>
      <c r="K61" t="s">
        <v>60</v>
      </c>
      <c r="L61" t="s">
        <v>13</v>
      </c>
      <c r="M61" t="s">
        <v>14</v>
      </c>
      <c r="N61" t="s">
        <v>15</v>
      </c>
    </row>
    <row r="62" spans="1:14" x14ac:dyDescent="0.25">
      <c r="A62">
        <v>247</v>
      </c>
      <c r="B62">
        <v>105</v>
      </c>
      <c r="C62">
        <f>1/COUNTIF(B:B,pizza_sales[[#This Row],[order_id]])</f>
        <v>0.5</v>
      </c>
      <c r="D62" t="s">
        <v>25</v>
      </c>
      <c r="E62">
        <v>1</v>
      </c>
      <c r="F62" s="1">
        <v>42036</v>
      </c>
      <c r="G62" s="1" t="str">
        <f>TEXT(pizza_sales[[#This Row],[order_date]],"dddd")</f>
        <v>Sunday</v>
      </c>
      <c r="H62" s="2">
        <v>0.75834490740740745</v>
      </c>
      <c r="I62">
        <v>15.25</v>
      </c>
      <c r="J62">
        <v>15.25</v>
      </c>
      <c r="K62" t="s">
        <v>58</v>
      </c>
      <c r="L62" t="s">
        <v>13</v>
      </c>
      <c r="M62" t="s">
        <v>26</v>
      </c>
      <c r="N62" t="s">
        <v>27</v>
      </c>
    </row>
    <row r="63" spans="1:14" x14ac:dyDescent="0.25">
      <c r="A63">
        <v>249</v>
      </c>
      <c r="B63">
        <v>106</v>
      </c>
      <c r="C63">
        <f>1/COUNTIF(B:B,pizza_sales[[#This Row],[order_id]])</f>
        <v>1</v>
      </c>
      <c r="D63" t="s">
        <v>24</v>
      </c>
      <c r="E63">
        <v>1</v>
      </c>
      <c r="F63" s="1">
        <v>42036</v>
      </c>
      <c r="G63" s="1" t="str">
        <f>TEXT(pizza_sales[[#This Row],[order_date]],"dddd")</f>
        <v>Sunday</v>
      </c>
      <c r="H63" s="2">
        <v>0.75848379629629625</v>
      </c>
      <c r="I63">
        <v>20.25</v>
      </c>
      <c r="J63">
        <v>20.25</v>
      </c>
      <c r="K63" t="s">
        <v>58</v>
      </c>
      <c r="L63" t="s">
        <v>17</v>
      </c>
      <c r="M63" t="s">
        <v>18</v>
      </c>
      <c r="N63" t="s">
        <v>19</v>
      </c>
    </row>
    <row r="64" spans="1:14" x14ac:dyDescent="0.25">
      <c r="A64">
        <v>256</v>
      </c>
      <c r="B64">
        <v>108</v>
      </c>
      <c r="C64">
        <f>1/COUNTIF(B:B,pizza_sales[[#This Row],[order_id]])</f>
        <v>1</v>
      </c>
      <c r="D64" t="s">
        <v>47</v>
      </c>
      <c r="E64">
        <v>1</v>
      </c>
      <c r="F64" s="1">
        <v>42036</v>
      </c>
      <c r="G64" s="1" t="str">
        <f>TEXT(pizza_sales[[#This Row],[order_date]],"dddd")</f>
        <v>Sunday</v>
      </c>
      <c r="H64" s="2">
        <v>0.76765046296296291</v>
      </c>
      <c r="I64">
        <v>16.5</v>
      </c>
      <c r="J64">
        <v>16.5</v>
      </c>
      <c r="K64" t="s">
        <v>58</v>
      </c>
      <c r="L64" t="s">
        <v>13</v>
      </c>
      <c r="M64" t="s">
        <v>14</v>
      </c>
      <c r="N64" t="s">
        <v>15</v>
      </c>
    </row>
    <row r="65" spans="1:14" x14ac:dyDescent="0.25">
      <c r="A65">
        <v>260</v>
      </c>
      <c r="B65">
        <v>109</v>
      </c>
      <c r="C65">
        <f>1/COUNTIF(B:B,pizza_sales[[#This Row],[order_id]])</f>
        <v>1</v>
      </c>
      <c r="D65" t="s">
        <v>42</v>
      </c>
      <c r="E65">
        <v>1</v>
      </c>
      <c r="F65" s="1">
        <v>42036</v>
      </c>
      <c r="G65" s="1" t="str">
        <f>TEXT(pizza_sales[[#This Row],[order_date]],"dddd")</f>
        <v>Sunday</v>
      </c>
      <c r="H65" s="2">
        <v>0.76932870370370365</v>
      </c>
      <c r="I65">
        <v>12.5</v>
      </c>
      <c r="J65">
        <v>12.5</v>
      </c>
      <c r="K65" t="s">
        <v>59</v>
      </c>
      <c r="L65" t="s">
        <v>13</v>
      </c>
      <c r="M65" t="s">
        <v>26</v>
      </c>
      <c r="N65" t="s">
        <v>27</v>
      </c>
    </row>
    <row r="66" spans="1:14" x14ac:dyDescent="0.25">
      <c r="A66">
        <v>262</v>
      </c>
      <c r="B66">
        <v>110</v>
      </c>
      <c r="C66">
        <f>1/COUNTIF(B:B,pizza_sales[[#This Row],[order_id]])</f>
        <v>0.5</v>
      </c>
      <c r="D66" t="s">
        <v>28</v>
      </c>
      <c r="E66">
        <v>1</v>
      </c>
      <c r="F66" s="1">
        <v>42036</v>
      </c>
      <c r="G66" s="1" t="str">
        <f>TEXT(pizza_sales[[#This Row],[order_date]],"dddd")</f>
        <v>Sunday</v>
      </c>
      <c r="H66" s="2">
        <v>0.77521990740740743</v>
      </c>
      <c r="I66">
        <v>12</v>
      </c>
      <c r="J66">
        <v>12</v>
      </c>
      <c r="K66" t="s">
        <v>60</v>
      </c>
      <c r="L66" t="s">
        <v>13</v>
      </c>
      <c r="M66" t="s">
        <v>29</v>
      </c>
      <c r="N66" t="s">
        <v>30</v>
      </c>
    </row>
    <row r="67" spans="1:14" x14ac:dyDescent="0.25">
      <c r="A67">
        <v>263</v>
      </c>
      <c r="B67">
        <v>110</v>
      </c>
      <c r="C67">
        <f>1/COUNTIF(B:B,pizza_sales[[#This Row],[order_id]])</f>
        <v>0.5</v>
      </c>
      <c r="D67" t="s">
        <v>38</v>
      </c>
      <c r="E67">
        <v>1</v>
      </c>
      <c r="F67" s="1">
        <v>42036</v>
      </c>
      <c r="G67" s="1" t="str">
        <f>TEXT(pizza_sales[[#This Row],[order_date]],"dddd")</f>
        <v>Sunday</v>
      </c>
      <c r="H67" s="2">
        <v>0.77521990740740743</v>
      </c>
      <c r="I67">
        <v>20.5</v>
      </c>
      <c r="J67">
        <v>20.5</v>
      </c>
      <c r="K67" t="s">
        <v>58</v>
      </c>
      <c r="L67" t="s">
        <v>13</v>
      </c>
      <c r="M67" t="s">
        <v>32</v>
      </c>
      <c r="N67" t="s">
        <v>33</v>
      </c>
    </row>
    <row r="68" spans="1:14" x14ac:dyDescent="0.25">
      <c r="A68">
        <v>268</v>
      </c>
      <c r="B68">
        <v>111</v>
      </c>
      <c r="C68">
        <f>1/COUNTIF(B:B,pizza_sales[[#This Row],[order_id]])</f>
        <v>1</v>
      </c>
      <c r="D68" t="s">
        <v>42</v>
      </c>
      <c r="E68">
        <v>1</v>
      </c>
      <c r="F68" s="1">
        <v>42036</v>
      </c>
      <c r="G68" s="1" t="str">
        <f>TEXT(pizza_sales[[#This Row],[order_date]],"dddd")</f>
        <v>Sunday</v>
      </c>
      <c r="H68" s="2">
        <v>0.77640046296296295</v>
      </c>
      <c r="I68">
        <v>12.5</v>
      </c>
      <c r="J68">
        <v>12.5</v>
      </c>
      <c r="K68" t="s">
        <v>59</v>
      </c>
      <c r="L68" t="s">
        <v>13</v>
      </c>
      <c r="M68" t="s">
        <v>26</v>
      </c>
      <c r="N68" t="s">
        <v>27</v>
      </c>
    </row>
    <row r="69" spans="1:14" x14ac:dyDescent="0.25">
      <c r="A69">
        <v>270</v>
      </c>
      <c r="B69">
        <v>112</v>
      </c>
      <c r="C69">
        <f>1/COUNTIF(B:B,pizza_sales[[#This Row],[order_id]])</f>
        <v>1</v>
      </c>
      <c r="D69" t="s">
        <v>44</v>
      </c>
      <c r="E69">
        <v>1</v>
      </c>
      <c r="F69" s="1">
        <v>42036</v>
      </c>
      <c r="G69" s="1" t="str">
        <f>TEXT(pizza_sales[[#This Row],[order_date]],"dddd")</f>
        <v>Sunday</v>
      </c>
      <c r="H69" s="2">
        <v>0.77893518518518523</v>
      </c>
      <c r="I69">
        <v>9.75</v>
      </c>
      <c r="J69">
        <v>9.75</v>
      </c>
      <c r="K69" t="s">
        <v>60</v>
      </c>
      <c r="L69" t="s">
        <v>13</v>
      </c>
      <c r="M69" t="s">
        <v>26</v>
      </c>
      <c r="N69" t="s">
        <v>27</v>
      </c>
    </row>
    <row r="70" spans="1:14" x14ac:dyDescent="0.25">
      <c r="A70">
        <v>272</v>
      </c>
      <c r="B70">
        <v>113</v>
      </c>
      <c r="C70">
        <f>1/COUNTIF(B:B,pizza_sales[[#This Row],[order_id]])</f>
        <v>1</v>
      </c>
      <c r="D70" t="s">
        <v>24</v>
      </c>
      <c r="E70">
        <v>1</v>
      </c>
      <c r="F70" s="1">
        <v>42036</v>
      </c>
      <c r="G70" s="1" t="str">
        <f>TEXT(pizza_sales[[#This Row],[order_date]],"dddd")</f>
        <v>Sunday</v>
      </c>
      <c r="H70" s="2">
        <v>0.7849652777777778</v>
      </c>
      <c r="I70">
        <v>20.25</v>
      </c>
      <c r="J70">
        <v>20.25</v>
      </c>
      <c r="K70" t="s">
        <v>58</v>
      </c>
      <c r="L70" t="s">
        <v>17</v>
      </c>
      <c r="M70" t="s">
        <v>18</v>
      </c>
      <c r="N70" t="s">
        <v>19</v>
      </c>
    </row>
    <row r="71" spans="1:14" x14ac:dyDescent="0.25">
      <c r="A71">
        <v>274</v>
      </c>
      <c r="B71">
        <v>114</v>
      </c>
      <c r="C71">
        <f>1/COUNTIF(B:B,pizza_sales[[#This Row],[order_id]])</f>
        <v>0.5</v>
      </c>
      <c r="D71" t="s">
        <v>25</v>
      </c>
      <c r="E71">
        <v>1</v>
      </c>
      <c r="F71" s="1">
        <v>42036</v>
      </c>
      <c r="G71" s="1" t="str">
        <f>TEXT(pizza_sales[[#This Row],[order_date]],"dddd")</f>
        <v>Sunday</v>
      </c>
      <c r="H71" s="2">
        <v>0.79134259259259254</v>
      </c>
      <c r="I71">
        <v>15.25</v>
      </c>
      <c r="J71">
        <v>15.25</v>
      </c>
      <c r="K71" t="s">
        <v>58</v>
      </c>
      <c r="L71" t="s">
        <v>13</v>
      </c>
      <c r="M71" t="s">
        <v>26</v>
      </c>
      <c r="N71" t="s">
        <v>27</v>
      </c>
    </row>
    <row r="72" spans="1:14" x14ac:dyDescent="0.25">
      <c r="A72">
        <v>275</v>
      </c>
      <c r="B72">
        <v>114</v>
      </c>
      <c r="C72">
        <f>1/COUNTIF(B:B,pizza_sales[[#This Row],[order_id]])</f>
        <v>0.5</v>
      </c>
      <c r="D72" t="s">
        <v>48</v>
      </c>
      <c r="E72">
        <v>1</v>
      </c>
      <c r="F72" s="1">
        <v>42036</v>
      </c>
      <c r="G72" s="1" t="str">
        <f>TEXT(pizza_sales[[#This Row],[order_date]],"dddd")</f>
        <v>Sunday</v>
      </c>
      <c r="H72" s="2">
        <v>0.79134259259259254</v>
      </c>
      <c r="I72">
        <v>12.25</v>
      </c>
      <c r="J72">
        <v>12.25</v>
      </c>
      <c r="K72" t="s">
        <v>60</v>
      </c>
      <c r="L72" t="s">
        <v>35</v>
      </c>
      <c r="M72" t="s">
        <v>40</v>
      </c>
      <c r="N72" t="s">
        <v>41</v>
      </c>
    </row>
    <row r="73" spans="1:14" x14ac:dyDescent="0.25">
      <c r="A73">
        <v>276</v>
      </c>
      <c r="B73">
        <v>115</v>
      </c>
      <c r="C73">
        <f>1/COUNTIF(B:B,pizza_sales[[#This Row],[order_id]])</f>
        <v>0.5</v>
      </c>
      <c r="D73" t="s">
        <v>28</v>
      </c>
      <c r="E73">
        <v>1</v>
      </c>
      <c r="F73" s="1">
        <v>42036</v>
      </c>
      <c r="G73" s="1" t="str">
        <f>TEXT(pizza_sales[[#This Row],[order_date]],"dddd")</f>
        <v>Sunday</v>
      </c>
      <c r="H73" s="2">
        <v>0.79533564814814817</v>
      </c>
      <c r="I73">
        <v>12</v>
      </c>
      <c r="J73">
        <v>12</v>
      </c>
      <c r="K73" t="s">
        <v>60</v>
      </c>
      <c r="L73" t="s">
        <v>13</v>
      </c>
      <c r="M73" t="s">
        <v>29</v>
      </c>
      <c r="N73" t="s">
        <v>30</v>
      </c>
    </row>
    <row r="74" spans="1:14" x14ac:dyDescent="0.25">
      <c r="A74">
        <v>277</v>
      </c>
      <c r="B74">
        <v>115</v>
      </c>
      <c r="C74">
        <f>1/COUNTIF(B:B,pizza_sales[[#This Row],[order_id]])</f>
        <v>0.5</v>
      </c>
      <c r="D74" t="s">
        <v>38</v>
      </c>
      <c r="E74">
        <v>1</v>
      </c>
      <c r="F74" s="1">
        <v>42036</v>
      </c>
      <c r="G74" s="1" t="str">
        <f>TEXT(pizza_sales[[#This Row],[order_date]],"dddd")</f>
        <v>Sunday</v>
      </c>
      <c r="H74" s="2">
        <v>0.79533564814814817</v>
      </c>
      <c r="I74">
        <v>20.5</v>
      </c>
      <c r="J74">
        <v>20.5</v>
      </c>
      <c r="K74" t="s">
        <v>58</v>
      </c>
      <c r="L74" t="s">
        <v>13</v>
      </c>
      <c r="M74" t="s">
        <v>32</v>
      </c>
      <c r="N74" t="s">
        <v>33</v>
      </c>
    </row>
    <row r="75" spans="1:14" x14ac:dyDescent="0.25">
      <c r="A75">
        <v>281</v>
      </c>
      <c r="B75">
        <v>117</v>
      </c>
      <c r="C75">
        <f>1/COUNTIF(B:B,pizza_sales[[#This Row],[order_id]])</f>
        <v>1</v>
      </c>
      <c r="D75" t="s">
        <v>39</v>
      </c>
      <c r="E75">
        <v>1</v>
      </c>
      <c r="F75" s="1">
        <v>42036</v>
      </c>
      <c r="G75" s="1" t="str">
        <f>TEXT(pizza_sales[[#This Row],[order_date]],"dddd")</f>
        <v>Sunday</v>
      </c>
      <c r="H75" s="2">
        <v>0.80766203703703698</v>
      </c>
      <c r="I75">
        <v>20.25</v>
      </c>
      <c r="J75">
        <v>20.25</v>
      </c>
      <c r="K75" t="s">
        <v>58</v>
      </c>
      <c r="L75" t="s">
        <v>35</v>
      </c>
      <c r="M75" t="s">
        <v>40</v>
      </c>
      <c r="N75" t="s">
        <v>41</v>
      </c>
    </row>
    <row r="76" spans="1:14" x14ac:dyDescent="0.25">
      <c r="A76">
        <v>286</v>
      </c>
      <c r="B76">
        <v>120</v>
      </c>
      <c r="C76">
        <f>1/COUNTIF(B:B,pizza_sales[[#This Row],[order_id]])</f>
        <v>1</v>
      </c>
      <c r="D76" t="s">
        <v>45</v>
      </c>
      <c r="E76">
        <v>1</v>
      </c>
      <c r="F76" s="1">
        <v>42036</v>
      </c>
      <c r="G76" s="1" t="str">
        <f>TEXT(pizza_sales[[#This Row],[order_date]],"dddd")</f>
        <v>Sunday</v>
      </c>
      <c r="H76" s="2">
        <v>0.8160532407407407</v>
      </c>
      <c r="I76">
        <v>10.5</v>
      </c>
      <c r="J76">
        <v>10.5</v>
      </c>
      <c r="K76" t="s">
        <v>60</v>
      </c>
      <c r="L76" t="s">
        <v>13</v>
      </c>
      <c r="M76" t="s">
        <v>14</v>
      </c>
      <c r="N76" t="s">
        <v>15</v>
      </c>
    </row>
    <row r="77" spans="1:14" x14ac:dyDescent="0.25">
      <c r="A77">
        <v>290</v>
      </c>
      <c r="B77">
        <v>121</v>
      </c>
      <c r="C77">
        <f>1/COUNTIF(B:B,pizza_sales[[#This Row],[order_id]])</f>
        <v>1</v>
      </c>
      <c r="D77" t="s">
        <v>39</v>
      </c>
      <c r="E77">
        <v>1</v>
      </c>
      <c r="F77" s="1">
        <v>42036</v>
      </c>
      <c r="G77" s="1" t="str">
        <f>TEXT(pizza_sales[[#This Row],[order_date]],"dddd")</f>
        <v>Sunday</v>
      </c>
      <c r="H77" s="2">
        <v>0.81861111111111107</v>
      </c>
      <c r="I77">
        <v>20.25</v>
      </c>
      <c r="J77">
        <v>20.25</v>
      </c>
      <c r="K77" t="s">
        <v>58</v>
      </c>
      <c r="L77" t="s">
        <v>35</v>
      </c>
      <c r="M77" t="s">
        <v>40</v>
      </c>
      <c r="N77" t="s">
        <v>41</v>
      </c>
    </row>
    <row r="78" spans="1:14" x14ac:dyDescent="0.25">
      <c r="A78">
        <v>295</v>
      </c>
      <c r="B78">
        <v>124</v>
      </c>
      <c r="C78">
        <f>1/COUNTIF(B:B,pizza_sales[[#This Row],[order_id]])</f>
        <v>0.5</v>
      </c>
      <c r="D78" t="s">
        <v>39</v>
      </c>
      <c r="E78">
        <v>1</v>
      </c>
      <c r="F78" s="1">
        <v>42036</v>
      </c>
      <c r="G78" s="1" t="str">
        <f>TEXT(pizza_sales[[#This Row],[order_date]],"dddd")</f>
        <v>Sunday</v>
      </c>
      <c r="H78" s="2">
        <v>0.84206018518518522</v>
      </c>
      <c r="I78">
        <v>20.25</v>
      </c>
      <c r="J78">
        <v>20.25</v>
      </c>
      <c r="K78" t="s">
        <v>58</v>
      </c>
      <c r="L78" t="s">
        <v>35</v>
      </c>
      <c r="M78" t="s">
        <v>40</v>
      </c>
      <c r="N78" t="s">
        <v>41</v>
      </c>
    </row>
    <row r="79" spans="1:14" x14ac:dyDescent="0.25">
      <c r="A79">
        <v>297</v>
      </c>
      <c r="B79">
        <v>124</v>
      </c>
      <c r="C79">
        <f>1/COUNTIF(B:B,pizza_sales[[#This Row],[order_id]])</f>
        <v>0.5</v>
      </c>
      <c r="D79" t="s">
        <v>20</v>
      </c>
      <c r="E79">
        <v>1</v>
      </c>
      <c r="F79" s="1">
        <v>42036</v>
      </c>
      <c r="G79" s="1" t="str">
        <f>TEXT(pizza_sales[[#This Row],[order_date]],"dddd")</f>
        <v>Sunday</v>
      </c>
      <c r="H79" s="2">
        <v>0.84206018518518522</v>
      </c>
      <c r="I79">
        <v>12</v>
      </c>
      <c r="J79">
        <v>12</v>
      </c>
      <c r="K79" t="s">
        <v>60</v>
      </c>
      <c r="L79" t="s">
        <v>13</v>
      </c>
      <c r="M79" t="s">
        <v>21</v>
      </c>
      <c r="N79" t="s">
        <v>22</v>
      </c>
    </row>
    <row r="80" spans="1:14" x14ac:dyDescent="0.25">
      <c r="A80">
        <v>298</v>
      </c>
      <c r="B80">
        <v>125</v>
      </c>
      <c r="C80">
        <f>1/COUNTIF(B:B,pizza_sales[[#This Row],[order_id]])</f>
        <v>1</v>
      </c>
      <c r="D80" t="s">
        <v>46</v>
      </c>
      <c r="E80">
        <v>1</v>
      </c>
      <c r="F80" s="1">
        <v>42036</v>
      </c>
      <c r="G80" s="1" t="str">
        <f>TEXT(pizza_sales[[#This Row],[order_date]],"dddd")</f>
        <v>Sunday</v>
      </c>
      <c r="H80" s="2">
        <v>0.85493055555555553</v>
      </c>
      <c r="I80">
        <v>25.5</v>
      </c>
      <c r="J80">
        <v>25.5</v>
      </c>
      <c r="K80" t="s">
        <v>61</v>
      </c>
      <c r="L80" t="s">
        <v>13</v>
      </c>
      <c r="M80" t="s">
        <v>21</v>
      </c>
      <c r="N80" t="s">
        <v>22</v>
      </c>
    </row>
    <row r="81" spans="1:14" x14ac:dyDescent="0.25">
      <c r="A81">
        <v>300</v>
      </c>
      <c r="B81">
        <v>127</v>
      </c>
      <c r="C81">
        <f>1/COUNTIF(B:B,pizza_sales[[#This Row],[order_id]])</f>
        <v>1</v>
      </c>
      <c r="D81" t="s">
        <v>42</v>
      </c>
      <c r="E81">
        <v>1</v>
      </c>
      <c r="F81" s="1">
        <v>42036</v>
      </c>
      <c r="G81" s="1" t="str">
        <f>TEXT(pizza_sales[[#This Row],[order_date]],"dddd")</f>
        <v>Sunday</v>
      </c>
      <c r="H81" s="2">
        <v>0.87387731481481479</v>
      </c>
      <c r="I81">
        <v>12.5</v>
      </c>
      <c r="J81">
        <v>12.5</v>
      </c>
      <c r="K81" t="s">
        <v>59</v>
      </c>
      <c r="L81" t="s">
        <v>13</v>
      </c>
      <c r="M81" t="s">
        <v>26</v>
      </c>
      <c r="N81" t="s">
        <v>27</v>
      </c>
    </row>
    <row r="82" spans="1:14" x14ac:dyDescent="0.25">
      <c r="A82">
        <v>302</v>
      </c>
      <c r="B82">
        <v>129</v>
      </c>
      <c r="C82">
        <f>1/COUNTIF(B:B,pizza_sales[[#This Row],[order_id]])</f>
        <v>0.5</v>
      </c>
      <c r="D82" t="s">
        <v>28</v>
      </c>
      <c r="E82">
        <v>1</v>
      </c>
      <c r="F82" s="1">
        <v>42036</v>
      </c>
      <c r="G82" s="1" t="str">
        <f>TEXT(pizza_sales[[#This Row],[order_date]],"dddd")</f>
        <v>Sunday</v>
      </c>
      <c r="H82" s="2">
        <v>0.88405092592592593</v>
      </c>
      <c r="I82">
        <v>12</v>
      </c>
      <c r="J82">
        <v>12</v>
      </c>
      <c r="K82" t="s">
        <v>60</v>
      </c>
      <c r="L82" t="s">
        <v>13</v>
      </c>
      <c r="M82" t="s">
        <v>29</v>
      </c>
      <c r="N82" t="s">
        <v>30</v>
      </c>
    </row>
    <row r="83" spans="1:14" x14ac:dyDescent="0.25">
      <c r="A83">
        <v>303</v>
      </c>
      <c r="B83">
        <v>129</v>
      </c>
      <c r="C83">
        <f>1/COUNTIF(B:B,pizza_sales[[#This Row],[order_id]])</f>
        <v>0.5</v>
      </c>
      <c r="D83" t="s">
        <v>49</v>
      </c>
      <c r="E83">
        <v>1</v>
      </c>
      <c r="F83" s="1">
        <v>42036</v>
      </c>
      <c r="G83" s="1" t="str">
        <f>TEXT(pizza_sales[[#This Row],[order_date]],"dddd")</f>
        <v>Sunday</v>
      </c>
      <c r="H83" s="2">
        <v>0.88405092592592593</v>
      </c>
      <c r="I83">
        <v>16</v>
      </c>
      <c r="J83">
        <v>16</v>
      </c>
      <c r="K83" t="s">
        <v>59</v>
      </c>
      <c r="L83" t="s">
        <v>13</v>
      </c>
      <c r="M83" t="s">
        <v>21</v>
      </c>
      <c r="N83" t="s">
        <v>22</v>
      </c>
    </row>
    <row r="84" spans="1:14" x14ac:dyDescent="0.25">
      <c r="A84">
        <v>304</v>
      </c>
      <c r="B84">
        <v>130</v>
      </c>
      <c r="C84">
        <f>1/COUNTIF(B:B,pizza_sales[[#This Row],[order_id]])</f>
        <v>0.5</v>
      </c>
      <c r="D84" t="s">
        <v>45</v>
      </c>
      <c r="E84">
        <v>1</v>
      </c>
      <c r="F84" s="1">
        <v>42036</v>
      </c>
      <c r="G84" s="1" t="str">
        <f>TEXT(pizza_sales[[#This Row],[order_date]],"dddd")</f>
        <v>Sunday</v>
      </c>
      <c r="H84" s="2">
        <v>0.88535879629629632</v>
      </c>
      <c r="I84">
        <v>10.5</v>
      </c>
      <c r="J84">
        <v>10.5</v>
      </c>
      <c r="K84" t="s">
        <v>60</v>
      </c>
      <c r="L84" t="s">
        <v>13</v>
      </c>
      <c r="M84" t="s">
        <v>14</v>
      </c>
      <c r="N84" t="s">
        <v>15</v>
      </c>
    </row>
    <row r="85" spans="1:14" x14ac:dyDescent="0.25">
      <c r="A85">
        <v>306</v>
      </c>
      <c r="B85">
        <v>130</v>
      </c>
      <c r="C85">
        <f>1/COUNTIF(B:B,pizza_sales[[#This Row],[order_id]])</f>
        <v>0.5</v>
      </c>
      <c r="D85" t="s">
        <v>16</v>
      </c>
      <c r="E85">
        <v>1</v>
      </c>
      <c r="F85" s="1">
        <v>42036</v>
      </c>
      <c r="G85" s="1" t="str">
        <f>TEXT(pizza_sales[[#This Row],[order_date]],"dddd")</f>
        <v>Sunday</v>
      </c>
      <c r="H85" s="2">
        <v>0.88535879629629632</v>
      </c>
      <c r="I85">
        <v>16</v>
      </c>
      <c r="J85">
        <v>16</v>
      </c>
      <c r="K85" t="s">
        <v>59</v>
      </c>
      <c r="L85" t="s">
        <v>17</v>
      </c>
      <c r="M85" t="s">
        <v>18</v>
      </c>
      <c r="N85" t="s">
        <v>19</v>
      </c>
    </row>
    <row r="86" spans="1:14" x14ac:dyDescent="0.25">
      <c r="A86">
        <v>312</v>
      </c>
      <c r="B86">
        <v>132</v>
      </c>
      <c r="C86">
        <f>1/COUNTIF(B:B,pizza_sales[[#This Row],[order_id]])</f>
        <v>1</v>
      </c>
      <c r="D86" t="s">
        <v>44</v>
      </c>
      <c r="E86">
        <v>1</v>
      </c>
      <c r="F86" s="1">
        <v>42036</v>
      </c>
      <c r="G86" s="1" t="str">
        <f>TEXT(pizza_sales[[#This Row],[order_date]],"dddd")</f>
        <v>Sunday</v>
      </c>
      <c r="H86" s="2">
        <v>0.90468749999999998</v>
      </c>
      <c r="I86">
        <v>9.75</v>
      </c>
      <c r="J86">
        <v>9.75</v>
      </c>
      <c r="K86" t="s">
        <v>60</v>
      </c>
      <c r="L86" t="s">
        <v>13</v>
      </c>
      <c r="M86" t="s">
        <v>26</v>
      </c>
      <c r="N86" t="s">
        <v>27</v>
      </c>
    </row>
    <row r="87" spans="1:14" x14ac:dyDescent="0.25">
      <c r="A87">
        <v>314</v>
      </c>
      <c r="B87">
        <v>133</v>
      </c>
      <c r="C87">
        <f>1/COUNTIF(B:B,pizza_sales[[#This Row],[order_id]])</f>
        <v>0.5</v>
      </c>
      <c r="D87" t="s">
        <v>47</v>
      </c>
      <c r="E87">
        <v>1</v>
      </c>
      <c r="F87" s="1">
        <v>42036</v>
      </c>
      <c r="G87" s="1" t="str">
        <f>TEXT(pizza_sales[[#This Row],[order_date]],"dddd")</f>
        <v>Sunday</v>
      </c>
      <c r="H87" s="2">
        <v>0.91686342592592596</v>
      </c>
      <c r="I87">
        <v>16.5</v>
      </c>
      <c r="J87">
        <v>16.5</v>
      </c>
      <c r="K87" t="s">
        <v>58</v>
      </c>
      <c r="L87" t="s">
        <v>13</v>
      </c>
      <c r="M87" t="s">
        <v>14</v>
      </c>
      <c r="N87" t="s">
        <v>15</v>
      </c>
    </row>
    <row r="88" spans="1:14" x14ac:dyDescent="0.25">
      <c r="A88">
        <v>315</v>
      </c>
      <c r="B88">
        <v>133</v>
      </c>
      <c r="C88">
        <f>1/COUNTIF(B:B,pizza_sales[[#This Row],[order_id]])</f>
        <v>0.5</v>
      </c>
      <c r="D88" t="s">
        <v>20</v>
      </c>
      <c r="E88">
        <v>1</v>
      </c>
      <c r="F88" s="1">
        <v>42036</v>
      </c>
      <c r="G88" s="1" t="str">
        <f>TEXT(pizza_sales[[#This Row],[order_date]],"dddd")</f>
        <v>Sunday</v>
      </c>
      <c r="H88" s="2">
        <v>0.91686342592592596</v>
      </c>
      <c r="I88">
        <v>12</v>
      </c>
      <c r="J88">
        <v>12</v>
      </c>
      <c r="K88" t="s">
        <v>60</v>
      </c>
      <c r="L88" t="s">
        <v>13</v>
      </c>
      <c r="M88" t="s">
        <v>21</v>
      </c>
      <c r="N88" t="s">
        <v>22</v>
      </c>
    </row>
    <row r="89" spans="1:14" x14ac:dyDescent="0.25">
      <c r="A89">
        <v>316</v>
      </c>
      <c r="B89">
        <v>134</v>
      </c>
      <c r="C89">
        <f>1/COUNTIF(B:B,pizza_sales[[#This Row],[order_id]])</f>
        <v>1</v>
      </c>
      <c r="D89" t="s">
        <v>28</v>
      </c>
      <c r="E89">
        <v>1</v>
      </c>
      <c r="F89" s="1">
        <v>42036</v>
      </c>
      <c r="G89" s="1" t="str">
        <f>TEXT(pizza_sales[[#This Row],[order_date]],"dddd")</f>
        <v>Sunday</v>
      </c>
      <c r="H89" s="2">
        <v>0.9259722222222222</v>
      </c>
      <c r="I89">
        <v>12</v>
      </c>
      <c r="J89">
        <v>12</v>
      </c>
      <c r="K89" t="s">
        <v>60</v>
      </c>
      <c r="L89" t="s">
        <v>13</v>
      </c>
      <c r="M89" t="s">
        <v>29</v>
      </c>
      <c r="N89" t="s">
        <v>30</v>
      </c>
    </row>
    <row r="90" spans="1:14" x14ac:dyDescent="0.25">
      <c r="A90">
        <v>323</v>
      </c>
      <c r="B90">
        <v>137</v>
      </c>
      <c r="C90">
        <f>1/COUNTIF(B:B,pizza_sales[[#This Row],[order_id]])</f>
        <v>1</v>
      </c>
      <c r="D90" t="s">
        <v>44</v>
      </c>
      <c r="E90">
        <v>1</v>
      </c>
      <c r="F90" s="1">
        <v>42064</v>
      </c>
      <c r="G90" s="1" t="str">
        <f>TEXT(pizza_sales[[#This Row],[order_date]],"dddd")</f>
        <v>Sunday</v>
      </c>
      <c r="H90" s="2">
        <v>0.48206018518518517</v>
      </c>
      <c r="I90">
        <v>9.75</v>
      </c>
      <c r="J90">
        <v>9.75</v>
      </c>
      <c r="K90" t="s">
        <v>60</v>
      </c>
      <c r="L90" t="s">
        <v>13</v>
      </c>
      <c r="M90" t="s">
        <v>26</v>
      </c>
      <c r="N90" t="s">
        <v>27</v>
      </c>
    </row>
    <row r="91" spans="1:14" x14ac:dyDescent="0.25">
      <c r="A91">
        <v>328</v>
      </c>
      <c r="B91">
        <v>138</v>
      </c>
      <c r="C91">
        <f>1/COUNTIF(B:B,pizza_sales[[#This Row],[order_id]])</f>
        <v>1</v>
      </c>
      <c r="D91" t="s">
        <v>43</v>
      </c>
      <c r="E91">
        <v>1</v>
      </c>
      <c r="F91" s="1">
        <v>42064</v>
      </c>
      <c r="G91" s="1" t="str">
        <f>TEXT(pizza_sales[[#This Row],[order_date]],"dddd")</f>
        <v>Sunday</v>
      </c>
      <c r="H91" s="2">
        <v>0.48946759259259259</v>
      </c>
      <c r="I91">
        <v>16.25</v>
      </c>
      <c r="J91">
        <v>16.25</v>
      </c>
      <c r="K91" t="s">
        <v>59</v>
      </c>
      <c r="L91" t="s">
        <v>35</v>
      </c>
      <c r="M91" t="s">
        <v>40</v>
      </c>
      <c r="N91" t="s">
        <v>41</v>
      </c>
    </row>
    <row r="92" spans="1:14" x14ac:dyDescent="0.25">
      <c r="A92">
        <v>336</v>
      </c>
      <c r="B92">
        <v>143</v>
      </c>
      <c r="C92">
        <f>1/COUNTIF(B:B,pizza_sales[[#This Row],[order_id]])</f>
        <v>0.33333333333333331</v>
      </c>
      <c r="D92" t="s">
        <v>47</v>
      </c>
      <c r="E92">
        <v>1</v>
      </c>
      <c r="F92" s="1">
        <v>42064</v>
      </c>
      <c r="G92" s="1" t="str">
        <f>TEXT(pizza_sales[[#This Row],[order_date]],"dddd")</f>
        <v>Sunday</v>
      </c>
      <c r="H92" s="2">
        <v>0.57055555555555559</v>
      </c>
      <c r="I92">
        <v>16.5</v>
      </c>
      <c r="J92">
        <v>16.5</v>
      </c>
      <c r="K92" t="s">
        <v>58</v>
      </c>
      <c r="L92" t="s">
        <v>13</v>
      </c>
      <c r="M92" t="s">
        <v>14</v>
      </c>
      <c r="N92" t="s">
        <v>15</v>
      </c>
    </row>
    <row r="93" spans="1:14" x14ac:dyDescent="0.25">
      <c r="A93">
        <v>337</v>
      </c>
      <c r="B93">
        <v>143</v>
      </c>
      <c r="C93">
        <f>1/COUNTIF(B:B,pizza_sales[[#This Row],[order_id]])</f>
        <v>0.33333333333333331</v>
      </c>
      <c r="D93" t="s">
        <v>16</v>
      </c>
      <c r="E93">
        <v>1</v>
      </c>
      <c r="F93" s="1">
        <v>42064</v>
      </c>
      <c r="G93" s="1" t="str">
        <f>TEXT(pizza_sales[[#This Row],[order_date]],"dddd")</f>
        <v>Sunday</v>
      </c>
      <c r="H93" s="2">
        <v>0.57055555555555559</v>
      </c>
      <c r="I93">
        <v>16</v>
      </c>
      <c r="J93">
        <v>16</v>
      </c>
      <c r="K93" t="s">
        <v>59</v>
      </c>
      <c r="L93" t="s">
        <v>17</v>
      </c>
      <c r="M93" t="s">
        <v>18</v>
      </c>
      <c r="N93" t="s">
        <v>19</v>
      </c>
    </row>
    <row r="94" spans="1:14" x14ac:dyDescent="0.25">
      <c r="A94">
        <v>338</v>
      </c>
      <c r="B94">
        <v>143</v>
      </c>
      <c r="C94">
        <f>1/COUNTIF(B:B,pizza_sales[[#This Row],[order_id]])</f>
        <v>0.33333333333333331</v>
      </c>
      <c r="D94" t="s">
        <v>25</v>
      </c>
      <c r="E94">
        <v>1</v>
      </c>
      <c r="F94" s="1">
        <v>42064</v>
      </c>
      <c r="G94" s="1" t="str">
        <f>TEXT(pizza_sales[[#This Row],[order_date]],"dddd")</f>
        <v>Sunday</v>
      </c>
      <c r="H94" s="2">
        <v>0.57055555555555559</v>
      </c>
      <c r="I94">
        <v>15.25</v>
      </c>
      <c r="J94">
        <v>15.25</v>
      </c>
      <c r="K94" t="s">
        <v>58</v>
      </c>
      <c r="L94" t="s">
        <v>13</v>
      </c>
      <c r="M94" t="s">
        <v>26</v>
      </c>
      <c r="N94" t="s">
        <v>27</v>
      </c>
    </row>
    <row r="95" spans="1:14" x14ac:dyDescent="0.25">
      <c r="A95">
        <v>343</v>
      </c>
      <c r="B95">
        <v>144</v>
      </c>
      <c r="C95">
        <f>1/COUNTIF(B:B,pizza_sales[[#This Row],[order_id]])</f>
        <v>1</v>
      </c>
      <c r="D95" t="s">
        <v>28</v>
      </c>
      <c r="E95">
        <v>1</v>
      </c>
      <c r="F95" s="1">
        <v>42064</v>
      </c>
      <c r="G95" s="1" t="str">
        <f>TEXT(pizza_sales[[#This Row],[order_date]],"dddd")</f>
        <v>Sunday</v>
      </c>
      <c r="H95" s="2">
        <v>0.57254629629629628</v>
      </c>
      <c r="I95">
        <v>12</v>
      </c>
      <c r="J95">
        <v>12</v>
      </c>
      <c r="K95" t="s">
        <v>60</v>
      </c>
      <c r="L95" t="s">
        <v>13</v>
      </c>
      <c r="M95" t="s">
        <v>29</v>
      </c>
      <c r="N95" t="s">
        <v>30</v>
      </c>
    </row>
    <row r="96" spans="1:14" x14ac:dyDescent="0.25">
      <c r="A96">
        <v>354</v>
      </c>
      <c r="B96">
        <v>145</v>
      </c>
      <c r="C96">
        <f>1/COUNTIF(B:B,pizza_sales[[#This Row],[order_id]])</f>
        <v>1</v>
      </c>
      <c r="D96" t="s">
        <v>20</v>
      </c>
      <c r="E96">
        <v>1</v>
      </c>
      <c r="F96" s="1">
        <v>42064</v>
      </c>
      <c r="G96" s="1" t="str">
        <f>TEXT(pizza_sales[[#This Row],[order_date]],"dddd")</f>
        <v>Sunday</v>
      </c>
      <c r="H96" s="2">
        <v>0.57902777777777781</v>
      </c>
      <c r="I96">
        <v>12</v>
      </c>
      <c r="J96">
        <v>12</v>
      </c>
      <c r="K96" t="s">
        <v>60</v>
      </c>
      <c r="L96" t="s">
        <v>13</v>
      </c>
      <c r="M96" t="s">
        <v>21</v>
      </c>
      <c r="N96" t="s">
        <v>22</v>
      </c>
    </row>
    <row r="97" spans="1:14" x14ac:dyDescent="0.25">
      <c r="A97">
        <v>357</v>
      </c>
      <c r="B97">
        <v>146</v>
      </c>
      <c r="C97">
        <f>1/COUNTIF(B:B,pizza_sales[[#This Row],[order_id]])</f>
        <v>1</v>
      </c>
      <c r="D97" t="s">
        <v>12</v>
      </c>
      <c r="E97">
        <v>1</v>
      </c>
      <c r="F97" s="1">
        <v>42064</v>
      </c>
      <c r="G97" s="1" t="str">
        <f>TEXT(pizza_sales[[#This Row],[order_date]],"dddd")</f>
        <v>Sunday</v>
      </c>
      <c r="H97" s="2">
        <v>0.59872685185185182</v>
      </c>
      <c r="I97">
        <v>13.25</v>
      </c>
      <c r="J97">
        <v>13.25</v>
      </c>
      <c r="K97" t="s">
        <v>59</v>
      </c>
      <c r="L97" t="s">
        <v>13</v>
      </c>
      <c r="M97" t="s">
        <v>14</v>
      </c>
      <c r="N97" t="s">
        <v>15</v>
      </c>
    </row>
    <row r="98" spans="1:14" x14ac:dyDescent="0.25">
      <c r="A98">
        <v>358</v>
      </c>
      <c r="B98">
        <v>147</v>
      </c>
      <c r="C98">
        <f>1/COUNTIF(B:B,pizza_sales[[#This Row],[order_id]])</f>
        <v>1</v>
      </c>
      <c r="D98" t="s">
        <v>46</v>
      </c>
      <c r="E98">
        <v>1</v>
      </c>
      <c r="F98" s="1">
        <v>42064</v>
      </c>
      <c r="G98" s="1" t="str">
        <f>TEXT(pizza_sales[[#This Row],[order_date]],"dddd")</f>
        <v>Sunday</v>
      </c>
      <c r="H98" s="2">
        <v>0.60614583333333338</v>
      </c>
      <c r="I98">
        <v>25.5</v>
      </c>
      <c r="J98">
        <v>25.5</v>
      </c>
      <c r="K98" t="s">
        <v>61</v>
      </c>
      <c r="L98" t="s">
        <v>13</v>
      </c>
      <c r="M98" t="s">
        <v>21</v>
      </c>
      <c r="N98" t="s">
        <v>22</v>
      </c>
    </row>
    <row r="99" spans="1:14" x14ac:dyDescent="0.25">
      <c r="A99">
        <v>361</v>
      </c>
      <c r="B99">
        <v>150</v>
      </c>
      <c r="C99">
        <f>1/COUNTIF(B:B,pizza_sales[[#This Row],[order_id]])</f>
        <v>1</v>
      </c>
      <c r="D99" t="s">
        <v>42</v>
      </c>
      <c r="E99">
        <v>1</v>
      </c>
      <c r="F99" s="1">
        <v>42064</v>
      </c>
      <c r="G99" s="1" t="str">
        <f>TEXT(pizza_sales[[#This Row],[order_date]],"dddd")</f>
        <v>Sunday</v>
      </c>
      <c r="H99" s="2">
        <v>0.61803240740740739</v>
      </c>
      <c r="I99">
        <v>12.5</v>
      </c>
      <c r="J99">
        <v>12.5</v>
      </c>
      <c r="K99" t="s">
        <v>59</v>
      </c>
      <c r="L99" t="s">
        <v>13</v>
      </c>
      <c r="M99" t="s">
        <v>26</v>
      </c>
      <c r="N99" t="s">
        <v>27</v>
      </c>
    </row>
    <row r="100" spans="1:14" x14ac:dyDescent="0.25">
      <c r="A100">
        <v>364</v>
      </c>
      <c r="B100">
        <v>152</v>
      </c>
      <c r="C100">
        <f>1/COUNTIF(B:B,pizza_sales[[#This Row],[order_id]])</f>
        <v>0.5</v>
      </c>
      <c r="D100" t="s">
        <v>45</v>
      </c>
      <c r="E100">
        <v>1</v>
      </c>
      <c r="F100" s="1">
        <v>42064</v>
      </c>
      <c r="G100" s="1" t="str">
        <f>TEXT(pizza_sales[[#This Row],[order_date]],"dddd")</f>
        <v>Sunday</v>
      </c>
      <c r="H100" s="2">
        <v>0.63173611111111116</v>
      </c>
      <c r="I100">
        <v>10.5</v>
      </c>
      <c r="J100">
        <v>10.5</v>
      </c>
      <c r="K100" t="s">
        <v>60</v>
      </c>
      <c r="L100" t="s">
        <v>13</v>
      </c>
      <c r="M100" t="s">
        <v>14</v>
      </c>
      <c r="N100" t="s">
        <v>15</v>
      </c>
    </row>
    <row r="101" spans="1:14" x14ac:dyDescent="0.25">
      <c r="A101">
        <v>367</v>
      </c>
      <c r="B101">
        <v>152</v>
      </c>
      <c r="C101">
        <f>1/COUNTIF(B:B,pizza_sales[[#This Row],[order_id]])</f>
        <v>0.5</v>
      </c>
      <c r="D101" t="s">
        <v>49</v>
      </c>
      <c r="E101">
        <v>1</v>
      </c>
      <c r="F101" s="1">
        <v>42064</v>
      </c>
      <c r="G101" s="1" t="str">
        <f>TEXT(pizza_sales[[#This Row],[order_date]],"dddd")</f>
        <v>Sunday</v>
      </c>
      <c r="H101" s="2">
        <v>0.63173611111111116</v>
      </c>
      <c r="I101">
        <v>16</v>
      </c>
      <c r="J101">
        <v>16</v>
      </c>
      <c r="K101" t="s">
        <v>59</v>
      </c>
      <c r="L101" t="s">
        <v>13</v>
      </c>
      <c r="M101" t="s">
        <v>21</v>
      </c>
      <c r="N101" t="s">
        <v>22</v>
      </c>
    </row>
    <row r="102" spans="1:14" x14ac:dyDescent="0.25">
      <c r="A102">
        <v>368</v>
      </c>
      <c r="B102">
        <v>153</v>
      </c>
      <c r="C102">
        <f>1/COUNTIF(B:B,pizza_sales[[#This Row],[order_id]])</f>
        <v>1</v>
      </c>
      <c r="D102" t="s">
        <v>16</v>
      </c>
      <c r="E102">
        <v>1</v>
      </c>
      <c r="F102" s="1">
        <v>42064</v>
      </c>
      <c r="G102" s="1" t="str">
        <f>TEXT(pizza_sales[[#This Row],[order_date]],"dddd")</f>
        <v>Sunday</v>
      </c>
      <c r="H102" s="2">
        <v>0.63650462962962961</v>
      </c>
      <c r="I102">
        <v>16</v>
      </c>
      <c r="J102">
        <v>16</v>
      </c>
      <c r="K102" t="s">
        <v>59</v>
      </c>
      <c r="L102" t="s">
        <v>17</v>
      </c>
      <c r="M102" t="s">
        <v>18</v>
      </c>
      <c r="N102" t="s">
        <v>19</v>
      </c>
    </row>
    <row r="103" spans="1:14" x14ac:dyDescent="0.25">
      <c r="A103">
        <v>371</v>
      </c>
      <c r="B103">
        <v>155</v>
      </c>
      <c r="C103">
        <f>1/COUNTIF(B:B,pizza_sales[[#This Row],[order_id]])</f>
        <v>0.5</v>
      </c>
      <c r="D103" t="s">
        <v>38</v>
      </c>
      <c r="E103">
        <v>1</v>
      </c>
      <c r="F103" s="1">
        <v>42064</v>
      </c>
      <c r="G103" s="1" t="str">
        <f>TEXT(pizza_sales[[#This Row],[order_date]],"dddd")</f>
        <v>Sunday</v>
      </c>
      <c r="H103" s="2">
        <v>0.64512731481481478</v>
      </c>
      <c r="I103">
        <v>20.5</v>
      </c>
      <c r="J103">
        <v>20.5</v>
      </c>
      <c r="K103" t="s">
        <v>58</v>
      </c>
      <c r="L103" t="s">
        <v>13</v>
      </c>
      <c r="M103" t="s">
        <v>32</v>
      </c>
      <c r="N103" t="s">
        <v>33</v>
      </c>
    </row>
    <row r="104" spans="1:14" x14ac:dyDescent="0.25">
      <c r="A104">
        <v>372</v>
      </c>
      <c r="B104">
        <v>155</v>
      </c>
      <c r="C104">
        <f>1/COUNTIF(B:B,pizza_sales[[#This Row],[order_id]])</f>
        <v>0.5</v>
      </c>
      <c r="D104" t="s">
        <v>25</v>
      </c>
      <c r="E104">
        <v>1</v>
      </c>
      <c r="F104" s="1">
        <v>42064</v>
      </c>
      <c r="G104" s="1" t="str">
        <f>TEXT(pizza_sales[[#This Row],[order_date]],"dddd")</f>
        <v>Sunday</v>
      </c>
      <c r="H104" s="2">
        <v>0.64512731481481478</v>
      </c>
      <c r="I104">
        <v>15.25</v>
      </c>
      <c r="J104">
        <v>15.25</v>
      </c>
      <c r="K104" t="s">
        <v>58</v>
      </c>
      <c r="L104" t="s">
        <v>13</v>
      </c>
      <c r="M104" t="s">
        <v>26</v>
      </c>
      <c r="N104" t="s">
        <v>27</v>
      </c>
    </row>
    <row r="105" spans="1:14" x14ac:dyDescent="0.25">
      <c r="A105">
        <v>374</v>
      </c>
      <c r="B105">
        <v>156</v>
      </c>
      <c r="C105">
        <f>1/COUNTIF(B:B,pizza_sales[[#This Row],[order_id]])</f>
        <v>1</v>
      </c>
      <c r="D105" t="s">
        <v>50</v>
      </c>
      <c r="E105">
        <v>1</v>
      </c>
      <c r="F105" s="1">
        <v>42064</v>
      </c>
      <c r="G105" s="1" t="str">
        <f>TEXT(pizza_sales[[#This Row],[order_date]],"dddd")</f>
        <v>Sunday</v>
      </c>
      <c r="H105" s="2">
        <v>0.65438657407407408</v>
      </c>
      <c r="I105">
        <v>16</v>
      </c>
      <c r="J105">
        <v>16</v>
      </c>
      <c r="K105" t="s">
        <v>59</v>
      </c>
      <c r="L105" t="s">
        <v>13</v>
      </c>
      <c r="M105" t="s">
        <v>32</v>
      </c>
      <c r="N105" t="s">
        <v>33</v>
      </c>
    </row>
    <row r="106" spans="1:14" x14ac:dyDescent="0.25">
      <c r="A106">
        <v>378</v>
      </c>
      <c r="B106">
        <v>157</v>
      </c>
      <c r="C106">
        <f>1/COUNTIF(B:B,pizza_sales[[#This Row],[order_id]])</f>
        <v>1</v>
      </c>
      <c r="D106" t="s">
        <v>43</v>
      </c>
      <c r="E106">
        <v>1</v>
      </c>
      <c r="F106" s="1">
        <v>42064</v>
      </c>
      <c r="G106" s="1" t="str">
        <f>TEXT(pizza_sales[[#This Row],[order_date]],"dddd")</f>
        <v>Sunday</v>
      </c>
      <c r="H106" s="2">
        <v>0.65489583333333334</v>
      </c>
      <c r="I106">
        <v>16.25</v>
      </c>
      <c r="J106">
        <v>16.25</v>
      </c>
      <c r="K106" t="s">
        <v>59</v>
      </c>
      <c r="L106" t="s">
        <v>35</v>
      </c>
      <c r="M106" t="s">
        <v>40</v>
      </c>
      <c r="N106" t="s">
        <v>41</v>
      </c>
    </row>
    <row r="107" spans="1:14" x14ac:dyDescent="0.25">
      <c r="A107">
        <v>385</v>
      </c>
      <c r="B107">
        <v>161</v>
      </c>
      <c r="C107">
        <f>1/COUNTIF(B:B,pizza_sales[[#This Row],[order_id]])</f>
        <v>0.5</v>
      </c>
      <c r="D107" t="s">
        <v>45</v>
      </c>
      <c r="E107">
        <v>1</v>
      </c>
      <c r="F107" s="1">
        <v>42064</v>
      </c>
      <c r="G107" s="1" t="str">
        <f>TEXT(pizza_sales[[#This Row],[order_date]],"dddd")</f>
        <v>Sunday</v>
      </c>
      <c r="H107" s="2">
        <v>0.6970601851851852</v>
      </c>
      <c r="I107">
        <v>10.5</v>
      </c>
      <c r="J107">
        <v>10.5</v>
      </c>
      <c r="K107" t="s">
        <v>60</v>
      </c>
      <c r="L107" t="s">
        <v>13</v>
      </c>
      <c r="M107" t="s">
        <v>14</v>
      </c>
      <c r="N107" t="s">
        <v>15</v>
      </c>
    </row>
    <row r="108" spans="1:14" x14ac:dyDescent="0.25">
      <c r="A108">
        <v>387</v>
      </c>
      <c r="B108">
        <v>161</v>
      </c>
      <c r="C108">
        <f>1/COUNTIF(B:B,pizza_sales[[#This Row],[order_id]])</f>
        <v>0.5</v>
      </c>
      <c r="D108" t="s">
        <v>46</v>
      </c>
      <c r="E108">
        <v>1</v>
      </c>
      <c r="F108" s="1">
        <v>42064</v>
      </c>
      <c r="G108" s="1" t="str">
        <f>TEXT(pizza_sales[[#This Row],[order_date]],"dddd")</f>
        <v>Sunday</v>
      </c>
      <c r="H108" s="2">
        <v>0.6970601851851852</v>
      </c>
      <c r="I108">
        <v>25.5</v>
      </c>
      <c r="J108">
        <v>25.5</v>
      </c>
      <c r="K108" t="s">
        <v>61</v>
      </c>
      <c r="L108" t="s">
        <v>13</v>
      </c>
      <c r="M108" t="s">
        <v>21</v>
      </c>
      <c r="N108" t="s">
        <v>22</v>
      </c>
    </row>
    <row r="109" spans="1:14" x14ac:dyDescent="0.25">
      <c r="A109">
        <v>388</v>
      </c>
      <c r="B109">
        <v>162</v>
      </c>
      <c r="C109">
        <f>1/COUNTIF(B:B,pizza_sales[[#This Row],[order_id]])</f>
        <v>1</v>
      </c>
      <c r="D109" t="s">
        <v>28</v>
      </c>
      <c r="E109">
        <v>1</v>
      </c>
      <c r="F109" s="1">
        <v>42064</v>
      </c>
      <c r="G109" s="1" t="str">
        <f>TEXT(pizza_sales[[#This Row],[order_date]],"dddd")</f>
        <v>Sunday</v>
      </c>
      <c r="H109" s="2">
        <v>0.70233796296296291</v>
      </c>
      <c r="I109">
        <v>12</v>
      </c>
      <c r="J109">
        <v>12</v>
      </c>
      <c r="K109" t="s">
        <v>60</v>
      </c>
      <c r="L109" t="s">
        <v>13</v>
      </c>
      <c r="M109" t="s">
        <v>29</v>
      </c>
      <c r="N109" t="s">
        <v>30</v>
      </c>
    </row>
    <row r="110" spans="1:14" x14ac:dyDescent="0.25">
      <c r="A110">
        <v>389</v>
      </c>
      <c r="B110">
        <v>163</v>
      </c>
      <c r="C110">
        <f>1/COUNTIF(B:B,pizza_sales[[#This Row],[order_id]])</f>
        <v>0.33333333333333331</v>
      </c>
      <c r="D110" t="s">
        <v>12</v>
      </c>
      <c r="E110">
        <v>1</v>
      </c>
      <c r="F110" s="1">
        <v>42064</v>
      </c>
      <c r="G110" s="1" t="str">
        <f>TEXT(pizza_sales[[#This Row],[order_date]],"dddd")</f>
        <v>Sunday</v>
      </c>
      <c r="H110" s="2">
        <v>0.70479166666666671</v>
      </c>
      <c r="I110">
        <v>13.25</v>
      </c>
      <c r="J110">
        <v>13.25</v>
      </c>
      <c r="K110" t="s">
        <v>59</v>
      </c>
      <c r="L110" t="s">
        <v>13</v>
      </c>
      <c r="M110" t="s">
        <v>14</v>
      </c>
      <c r="N110" t="s">
        <v>15</v>
      </c>
    </row>
    <row r="111" spans="1:14" x14ac:dyDescent="0.25">
      <c r="A111">
        <v>390</v>
      </c>
      <c r="B111">
        <v>163</v>
      </c>
      <c r="C111">
        <f>1/COUNTIF(B:B,pizza_sales[[#This Row],[order_id]])</f>
        <v>0.33333333333333331</v>
      </c>
      <c r="D111" t="s">
        <v>25</v>
      </c>
      <c r="E111">
        <v>1</v>
      </c>
      <c r="F111" s="1">
        <v>42064</v>
      </c>
      <c r="G111" s="1" t="str">
        <f>TEXT(pizza_sales[[#This Row],[order_date]],"dddd")</f>
        <v>Sunday</v>
      </c>
      <c r="H111" s="2">
        <v>0.70479166666666671</v>
      </c>
      <c r="I111">
        <v>15.25</v>
      </c>
      <c r="J111">
        <v>15.25</v>
      </c>
      <c r="K111" t="s">
        <v>58</v>
      </c>
      <c r="L111" t="s">
        <v>13</v>
      </c>
      <c r="M111" t="s">
        <v>26</v>
      </c>
      <c r="N111" t="s">
        <v>27</v>
      </c>
    </row>
    <row r="112" spans="1:14" x14ac:dyDescent="0.25">
      <c r="A112">
        <v>391</v>
      </c>
      <c r="B112">
        <v>163</v>
      </c>
      <c r="C112">
        <f>1/COUNTIF(B:B,pizza_sales[[#This Row],[order_id]])</f>
        <v>0.33333333333333331</v>
      </c>
      <c r="D112" t="s">
        <v>49</v>
      </c>
      <c r="E112">
        <v>1</v>
      </c>
      <c r="F112" s="1">
        <v>42064</v>
      </c>
      <c r="G112" s="1" t="str">
        <f>TEXT(pizza_sales[[#This Row],[order_date]],"dddd")</f>
        <v>Sunday</v>
      </c>
      <c r="H112" s="2">
        <v>0.70479166666666671</v>
      </c>
      <c r="I112">
        <v>16</v>
      </c>
      <c r="J112">
        <v>16</v>
      </c>
      <c r="K112" t="s">
        <v>59</v>
      </c>
      <c r="L112" t="s">
        <v>13</v>
      </c>
      <c r="M112" t="s">
        <v>21</v>
      </c>
      <c r="N112" t="s">
        <v>22</v>
      </c>
    </row>
    <row r="113" spans="1:14" x14ac:dyDescent="0.25">
      <c r="A113">
        <v>393</v>
      </c>
      <c r="B113">
        <v>164</v>
      </c>
      <c r="C113">
        <f>1/COUNTIF(B:B,pizza_sales[[#This Row],[order_id]])</f>
        <v>1</v>
      </c>
      <c r="D113" t="s">
        <v>42</v>
      </c>
      <c r="E113">
        <v>1</v>
      </c>
      <c r="F113" s="1">
        <v>42064</v>
      </c>
      <c r="G113" s="1" t="str">
        <f>TEXT(pizza_sales[[#This Row],[order_date]],"dddd")</f>
        <v>Sunday</v>
      </c>
      <c r="H113" s="2">
        <v>0.7059375</v>
      </c>
      <c r="I113">
        <v>12.5</v>
      </c>
      <c r="J113">
        <v>12.5</v>
      </c>
      <c r="K113" t="s">
        <v>59</v>
      </c>
      <c r="L113" t="s">
        <v>13</v>
      </c>
      <c r="M113" t="s">
        <v>26</v>
      </c>
      <c r="N113" t="s">
        <v>27</v>
      </c>
    </row>
    <row r="114" spans="1:14" x14ac:dyDescent="0.25">
      <c r="A114">
        <v>398</v>
      </c>
      <c r="B114">
        <v>167</v>
      </c>
      <c r="C114">
        <f>1/COUNTIF(B:B,pizza_sales[[#This Row],[order_id]])</f>
        <v>1</v>
      </c>
      <c r="D114" t="s">
        <v>42</v>
      </c>
      <c r="E114">
        <v>1</v>
      </c>
      <c r="F114" s="1">
        <v>42064</v>
      </c>
      <c r="G114" s="1" t="str">
        <f>TEXT(pizza_sales[[#This Row],[order_date]],"dddd")</f>
        <v>Sunday</v>
      </c>
      <c r="H114" s="2">
        <v>0.70890046296296294</v>
      </c>
      <c r="I114">
        <v>12.5</v>
      </c>
      <c r="J114">
        <v>12.5</v>
      </c>
      <c r="K114" t="s">
        <v>59</v>
      </c>
      <c r="L114" t="s">
        <v>13</v>
      </c>
      <c r="M114" t="s">
        <v>26</v>
      </c>
      <c r="N114" t="s">
        <v>27</v>
      </c>
    </row>
    <row r="115" spans="1:14" x14ac:dyDescent="0.25">
      <c r="A115">
        <v>399</v>
      </c>
      <c r="B115">
        <v>168</v>
      </c>
      <c r="C115">
        <f>1/COUNTIF(B:B,pizza_sales[[#This Row],[order_id]])</f>
        <v>1</v>
      </c>
      <c r="D115" t="s">
        <v>28</v>
      </c>
      <c r="E115">
        <v>1</v>
      </c>
      <c r="F115" s="1">
        <v>42064</v>
      </c>
      <c r="G115" s="1" t="str">
        <f>TEXT(pizza_sales[[#This Row],[order_date]],"dddd")</f>
        <v>Sunday</v>
      </c>
      <c r="H115" s="2">
        <v>0.71003472222222219</v>
      </c>
      <c r="I115">
        <v>12</v>
      </c>
      <c r="J115">
        <v>12</v>
      </c>
      <c r="K115" t="s">
        <v>60</v>
      </c>
      <c r="L115" t="s">
        <v>13</v>
      </c>
      <c r="M115" t="s">
        <v>29</v>
      </c>
      <c r="N115" t="s">
        <v>30</v>
      </c>
    </row>
    <row r="116" spans="1:14" x14ac:dyDescent="0.25">
      <c r="A116">
        <v>403</v>
      </c>
      <c r="B116">
        <v>169</v>
      </c>
      <c r="C116">
        <f>1/COUNTIF(B:B,pizza_sales[[#This Row],[order_id]])</f>
        <v>1</v>
      </c>
      <c r="D116" t="s">
        <v>43</v>
      </c>
      <c r="E116">
        <v>1</v>
      </c>
      <c r="F116" s="1">
        <v>42064</v>
      </c>
      <c r="G116" s="1" t="str">
        <f>TEXT(pizza_sales[[#This Row],[order_date]],"dddd")</f>
        <v>Sunday</v>
      </c>
      <c r="H116" s="2">
        <v>0.71930555555555553</v>
      </c>
      <c r="I116">
        <v>16.25</v>
      </c>
      <c r="J116">
        <v>16.25</v>
      </c>
      <c r="K116" t="s">
        <v>59</v>
      </c>
      <c r="L116" t="s">
        <v>35</v>
      </c>
      <c r="M116" t="s">
        <v>40</v>
      </c>
      <c r="N116" t="s">
        <v>41</v>
      </c>
    </row>
    <row r="117" spans="1:14" x14ac:dyDescent="0.25">
      <c r="A117">
        <v>404</v>
      </c>
      <c r="B117">
        <v>170</v>
      </c>
      <c r="C117">
        <f>1/COUNTIF(B:B,pizza_sales[[#This Row],[order_id]])</f>
        <v>1</v>
      </c>
      <c r="D117" t="s">
        <v>47</v>
      </c>
      <c r="E117">
        <v>1</v>
      </c>
      <c r="F117" s="1">
        <v>42064</v>
      </c>
      <c r="G117" s="1" t="str">
        <f>TEXT(pizza_sales[[#This Row],[order_date]],"dddd")</f>
        <v>Sunday</v>
      </c>
      <c r="H117" s="2">
        <v>0.72327546296296297</v>
      </c>
      <c r="I117">
        <v>16.5</v>
      </c>
      <c r="J117">
        <v>16.5</v>
      </c>
      <c r="K117" t="s">
        <v>58</v>
      </c>
      <c r="L117" t="s">
        <v>13</v>
      </c>
      <c r="M117" t="s">
        <v>14</v>
      </c>
      <c r="N117" t="s">
        <v>15</v>
      </c>
    </row>
    <row r="118" spans="1:14" x14ac:dyDescent="0.25">
      <c r="A118">
        <v>405</v>
      </c>
      <c r="B118">
        <v>171</v>
      </c>
      <c r="C118">
        <f>1/COUNTIF(B:B,pizza_sales[[#This Row],[order_id]])</f>
        <v>1</v>
      </c>
      <c r="D118" t="s">
        <v>50</v>
      </c>
      <c r="E118">
        <v>1</v>
      </c>
      <c r="F118" s="1">
        <v>42064</v>
      </c>
      <c r="G118" s="1" t="str">
        <f>TEXT(pizza_sales[[#This Row],[order_date]],"dddd")</f>
        <v>Sunday</v>
      </c>
      <c r="H118" s="2">
        <v>0.72434027777777776</v>
      </c>
      <c r="I118">
        <v>16</v>
      </c>
      <c r="J118">
        <v>16</v>
      </c>
      <c r="K118" t="s">
        <v>59</v>
      </c>
      <c r="L118" t="s">
        <v>13</v>
      </c>
      <c r="M118" t="s">
        <v>32</v>
      </c>
      <c r="N118" t="s">
        <v>33</v>
      </c>
    </row>
    <row r="119" spans="1:14" x14ac:dyDescent="0.25">
      <c r="A119">
        <v>406</v>
      </c>
      <c r="B119">
        <v>172</v>
      </c>
      <c r="C119">
        <f>1/COUNTIF(B:B,pizza_sales[[#This Row],[order_id]])</f>
        <v>1</v>
      </c>
      <c r="D119" t="s">
        <v>31</v>
      </c>
      <c r="E119">
        <v>1</v>
      </c>
      <c r="F119" s="1">
        <v>42064</v>
      </c>
      <c r="G119" s="1" t="str">
        <f>TEXT(pizza_sales[[#This Row],[order_date]],"dddd")</f>
        <v>Sunday</v>
      </c>
      <c r="H119" s="2">
        <v>0.72875000000000001</v>
      </c>
      <c r="I119">
        <v>12</v>
      </c>
      <c r="J119">
        <v>12</v>
      </c>
      <c r="K119" t="s">
        <v>60</v>
      </c>
      <c r="L119" t="s">
        <v>13</v>
      </c>
      <c r="M119" t="s">
        <v>32</v>
      </c>
      <c r="N119" t="s">
        <v>33</v>
      </c>
    </row>
    <row r="120" spans="1:14" x14ac:dyDescent="0.25">
      <c r="A120">
        <v>412</v>
      </c>
      <c r="B120">
        <v>174</v>
      </c>
      <c r="C120">
        <f>1/COUNTIF(B:B,pizza_sales[[#This Row],[order_id]])</f>
        <v>1</v>
      </c>
      <c r="D120" t="s">
        <v>28</v>
      </c>
      <c r="E120">
        <v>1</v>
      </c>
      <c r="F120" s="1">
        <v>42064</v>
      </c>
      <c r="G120" s="1" t="str">
        <f>TEXT(pizza_sales[[#This Row],[order_date]],"dddd")</f>
        <v>Sunday</v>
      </c>
      <c r="H120" s="2">
        <v>0.7345949074074074</v>
      </c>
      <c r="I120">
        <v>12</v>
      </c>
      <c r="J120">
        <v>12</v>
      </c>
      <c r="K120" t="s">
        <v>60</v>
      </c>
      <c r="L120" t="s">
        <v>13</v>
      </c>
      <c r="M120" t="s">
        <v>29</v>
      </c>
      <c r="N120" t="s">
        <v>30</v>
      </c>
    </row>
    <row r="121" spans="1:14" x14ac:dyDescent="0.25">
      <c r="A121">
        <v>419</v>
      </c>
      <c r="B121">
        <v>177</v>
      </c>
      <c r="C121">
        <f>1/COUNTIF(B:B,pizza_sales[[#This Row],[order_id]])</f>
        <v>1</v>
      </c>
      <c r="D121" t="s">
        <v>31</v>
      </c>
      <c r="E121">
        <v>1</v>
      </c>
      <c r="F121" s="1">
        <v>42064</v>
      </c>
      <c r="G121" s="1" t="str">
        <f>TEXT(pizza_sales[[#This Row],[order_date]],"dddd")</f>
        <v>Sunday</v>
      </c>
      <c r="H121" s="2">
        <v>0.74624999999999997</v>
      </c>
      <c r="I121">
        <v>12</v>
      </c>
      <c r="J121">
        <v>12</v>
      </c>
      <c r="K121" t="s">
        <v>60</v>
      </c>
      <c r="L121" t="s">
        <v>13</v>
      </c>
      <c r="M121" t="s">
        <v>32</v>
      </c>
      <c r="N121" t="s">
        <v>33</v>
      </c>
    </row>
    <row r="122" spans="1:14" x14ac:dyDescent="0.25">
      <c r="A122">
        <v>422</v>
      </c>
      <c r="B122">
        <v>179</v>
      </c>
      <c r="C122">
        <f>1/COUNTIF(B:B,pizza_sales[[#This Row],[order_id]])</f>
        <v>0.5</v>
      </c>
      <c r="D122" t="s">
        <v>47</v>
      </c>
      <c r="E122">
        <v>1</v>
      </c>
      <c r="F122" s="1">
        <v>42064</v>
      </c>
      <c r="G122" s="1" t="str">
        <f>TEXT(pizza_sales[[#This Row],[order_date]],"dddd")</f>
        <v>Sunday</v>
      </c>
      <c r="H122" s="2">
        <v>0.76405092592592594</v>
      </c>
      <c r="I122">
        <v>16.5</v>
      </c>
      <c r="J122">
        <v>16.5</v>
      </c>
      <c r="K122" t="s">
        <v>58</v>
      </c>
      <c r="L122" t="s">
        <v>13</v>
      </c>
      <c r="M122" t="s">
        <v>14</v>
      </c>
      <c r="N122" t="s">
        <v>15</v>
      </c>
    </row>
    <row r="123" spans="1:14" x14ac:dyDescent="0.25">
      <c r="A123">
        <v>423</v>
      </c>
      <c r="B123">
        <v>179</v>
      </c>
      <c r="C123">
        <f>1/COUNTIF(B:B,pizza_sales[[#This Row],[order_id]])</f>
        <v>0.5</v>
      </c>
      <c r="D123" t="s">
        <v>43</v>
      </c>
      <c r="E123">
        <v>1</v>
      </c>
      <c r="F123" s="1">
        <v>42064</v>
      </c>
      <c r="G123" s="1" t="str">
        <f>TEXT(pizza_sales[[#This Row],[order_date]],"dddd")</f>
        <v>Sunday</v>
      </c>
      <c r="H123" s="2">
        <v>0.76405092592592594</v>
      </c>
      <c r="I123">
        <v>16.25</v>
      </c>
      <c r="J123">
        <v>16.25</v>
      </c>
      <c r="K123" t="s">
        <v>59</v>
      </c>
      <c r="L123" t="s">
        <v>35</v>
      </c>
      <c r="M123" t="s">
        <v>40</v>
      </c>
      <c r="N123" t="s">
        <v>41</v>
      </c>
    </row>
    <row r="124" spans="1:14" x14ac:dyDescent="0.25">
      <c r="A124">
        <v>427</v>
      </c>
      <c r="B124">
        <v>181</v>
      </c>
      <c r="C124">
        <f>1/COUNTIF(B:B,pizza_sales[[#This Row],[order_id]])</f>
        <v>1</v>
      </c>
      <c r="D124" t="s">
        <v>24</v>
      </c>
      <c r="E124">
        <v>1</v>
      </c>
      <c r="F124" s="1">
        <v>42064</v>
      </c>
      <c r="G124" s="1" t="str">
        <f>TEXT(pizza_sales[[#This Row],[order_date]],"dddd")</f>
        <v>Sunday</v>
      </c>
      <c r="H124" s="2">
        <v>0.78439814814814812</v>
      </c>
      <c r="I124">
        <v>20.25</v>
      </c>
      <c r="J124">
        <v>20.25</v>
      </c>
      <c r="K124" t="s">
        <v>58</v>
      </c>
      <c r="L124" t="s">
        <v>17</v>
      </c>
      <c r="M124" t="s">
        <v>18</v>
      </c>
      <c r="N124" t="s">
        <v>19</v>
      </c>
    </row>
    <row r="125" spans="1:14" x14ac:dyDescent="0.25">
      <c r="A125">
        <v>428</v>
      </c>
      <c r="B125">
        <v>182</v>
      </c>
      <c r="C125">
        <f>1/COUNTIF(B:B,pizza_sales[[#This Row],[order_id]])</f>
        <v>1</v>
      </c>
      <c r="D125" t="s">
        <v>51</v>
      </c>
      <c r="E125">
        <v>1</v>
      </c>
      <c r="F125" s="1">
        <v>42064</v>
      </c>
      <c r="G125" s="1" t="str">
        <f>TEXT(pizza_sales[[#This Row],[order_date]],"dddd")</f>
        <v>Sunday</v>
      </c>
      <c r="H125" s="2">
        <v>0.78483796296296293</v>
      </c>
      <c r="I125">
        <v>23.65</v>
      </c>
      <c r="J125">
        <v>23.65</v>
      </c>
      <c r="K125" t="s">
        <v>60</v>
      </c>
      <c r="L125" t="s">
        <v>35</v>
      </c>
      <c r="M125" t="s">
        <v>52</v>
      </c>
      <c r="N125" t="s">
        <v>53</v>
      </c>
    </row>
    <row r="126" spans="1:14" x14ac:dyDescent="0.25">
      <c r="A126">
        <v>430</v>
      </c>
      <c r="B126">
        <v>183</v>
      </c>
      <c r="C126">
        <f>1/COUNTIF(B:B,pizza_sales[[#This Row],[order_id]])</f>
        <v>1</v>
      </c>
      <c r="D126" t="s">
        <v>50</v>
      </c>
      <c r="E126">
        <v>1</v>
      </c>
      <c r="F126" s="1">
        <v>42064</v>
      </c>
      <c r="G126" s="1" t="str">
        <f>TEXT(pizza_sales[[#This Row],[order_date]],"dddd")</f>
        <v>Sunday</v>
      </c>
      <c r="H126" s="2">
        <v>0.78813657407407411</v>
      </c>
      <c r="I126">
        <v>16</v>
      </c>
      <c r="J126">
        <v>16</v>
      </c>
      <c r="K126" t="s">
        <v>59</v>
      </c>
      <c r="L126" t="s">
        <v>13</v>
      </c>
      <c r="M126" t="s">
        <v>32</v>
      </c>
      <c r="N126" t="s">
        <v>33</v>
      </c>
    </row>
    <row r="127" spans="1:14" x14ac:dyDescent="0.25">
      <c r="A127">
        <v>433</v>
      </c>
      <c r="B127">
        <v>184</v>
      </c>
      <c r="C127">
        <f>1/COUNTIF(B:B,pizza_sales[[#This Row],[order_id]])</f>
        <v>1</v>
      </c>
      <c r="D127" t="s">
        <v>47</v>
      </c>
      <c r="E127">
        <v>1</v>
      </c>
      <c r="F127" s="1">
        <v>42064</v>
      </c>
      <c r="G127" s="1" t="str">
        <f>TEXT(pizza_sales[[#This Row],[order_date]],"dddd")</f>
        <v>Sunday</v>
      </c>
      <c r="H127" s="2">
        <v>0.7910300925925926</v>
      </c>
      <c r="I127">
        <v>16.5</v>
      </c>
      <c r="J127">
        <v>16.5</v>
      </c>
      <c r="K127" t="s">
        <v>58</v>
      </c>
      <c r="L127" t="s">
        <v>13</v>
      </c>
      <c r="M127" t="s">
        <v>14</v>
      </c>
      <c r="N127" t="s">
        <v>15</v>
      </c>
    </row>
    <row r="128" spans="1:14" x14ac:dyDescent="0.25">
      <c r="A128">
        <v>434</v>
      </c>
      <c r="B128">
        <v>185</v>
      </c>
      <c r="C128">
        <f>1/COUNTIF(B:B,pizza_sales[[#This Row],[order_id]])</f>
        <v>1</v>
      </c>
      <c r="D128" t="s">
        <v>43</v>
      </c>
      <c r="E128">
        <v>1</v>
      </c>
      <c r="F128" s="1">
        <v>42064</v>
      </c>
      <c r="G128" s="1" t="str">
        <f>TEXT(pizza_sales[[#This Row],[order_date]],"dddd")</f>
        <v>Sunday</v>
      </c>
      <c r="H128" s="2">
        <v>0.79760416666666667</v>
      </c>
      <c r="I128">
        <v>16.25</v>
      </c>
      <c r="J128">
        <v>16.25</v>
      </c>
      <c r="K128" t="s">
        <v>59</v>
      </c>
      <c r="L128" t="s">
        <v>35</v>
      </c>
      <c r="M128" t="s">
        <v>40</v>
      </c>
      <c r="N128" t="s">
        <v>41</v>
      </c>
    </row>
    <row r="129" spans="1:14" x14ac:dyDescent="0.25">
      <c r="A129">
        <v>436</v>
      </c>
      <c r="B129">
        <v>186</v>
      </c>
      <c r="C129">
        <f>1/COUNTIF(B:B,pizza_sales[[#This Row],[order_id]])</f>
        <v>1</v>
      </c>
      <c r="D129" t="s">
        <v>24</v>
      </c>
      <c r="E129">
        <v>1</v>
      </c>
      <c r="F129" s="1">
        <v>42064</v>
      </c>
      <c r="G129" s="1" t="str">
        <f>TEXT(pizza_sales[[#This Row],[order_date]],"dddd")</f>
        <v>Sunday</v>
      </c>
      <c r="H129" s="2">
        <v>0.81666666666666665</v>
      </c>
      <c r="I129">
        <v>20.25</v>
      </c>
      <c r="J129">
        <v>20.25</v>
      </c>
      <c r="K129" t="s">
        <v>58</v>
      </c>
      <c r="L129" t="s">
        <v>17</v>
      </c>
      <c r="M129" t="s">
        <v>18</v>
      </c>
      <c r="N129" t="s">
        <v>19</v>
      </c>
    </row>
    <row r="130" spans="1:14" x14ac:dyDescent="0.25">
      <c r="A130">
        <v>443</v>
      </c>
      <c r="B130">
        <v>188</v>
      </c>
      <c r="C130">
        <f>1/COUNTIF(B:B,pizza_sales[[#This Row],[order_id]])</f>
        <v>1</v>
      </c>
      <c r="D130" t="s">
        <v>44</v>
      </c>
      <c r="E130">
        <v>1</v>
      </c>
      <c r="F130" s="1">
        <v>42064</v>
      </c>
      <c r="G130" s="1" t="str">
        <f>TEXT(pizza_sales[[#This Row],[order_date]],"dddd")</f>
        <v>Sunday</v>
      </c>
      <c r="H130" s="2">
        <v>0.83934027777777775</v>
      </c>
      <c r="I130">
        <v>9.75</v>
      </c>
      <c r="J130">
        <v>9.75</v>
      </c>
      <c r="K130" t="s">
        <v>60</v>
      </c>
      <c r="L130" t="s">
        <v>13</v>
      </c>
      <c r="M130" t="s">
        <v>26</v>
      </c>
      <c r="N130" t="s">
        <v>27</v>
      </c>
    </row>
    <row r="131" spans="1:14" x14ac:dyDescent="0.25">
      <c r="A131">
        <v>445</v>
      </c>
      <c r="B131">
        <v>189</v>
      </c>
      <c r="C131">
        <f>1/COUNTIF(B:B,pizza_sales[[#This Row],[order_id]])</f>
        <v>1</v>
      </c>
      <c r="D131" t="s">
        <v>28</v>
      </c>
      <c r="E131">
        <v>2</v>
      </c>
      <c r="F131" s="1">
        <v>42064</v>
      </c>
      <c r="G131" s="1" t="str">
        <f>TEXT(pizza_sales[[#This Row],[order_date]],"dddd")</f>
        <v>Sunday</v>
      </c>
      <c r="H131" s="2">
        <v>0.84182870370370366</v>
      </c>
      <c r="I131">
        <v>12</v>
      </c>
      <c r="J131">
        <v>24</v>
      </c>
      <c r="K131" t="s">
        <v>60</v>
      </c>
      <c r="L131" t="s">
        <v>13</v>
      </c>
      <c r="M131" t="s">
        <v>29</v>
      </c>
      <c r="N131" t="s">
        <v>30</v>
      </c>
    </row>
    <row r="132" spans="1:14" x14ac:dyDescent="0.25">
      <c r="A132">
        <v>453</v>
      </c>
      <c r="B132">
        <v>192</v>
      </c>
      <c r="C132">
        <f>1/COUNTIF(B:B,pizza_sales[[#This Row],[order_id]])</f>
        <v>1</v>
      </c>
      <c r="D132" t="s">
        <v>48</v>
      </c>
      <c r="E132">
        <v>1</v>
      </c>
      <c r="F132" s="1">
        <v>42064</v>
      </c>
      <c r="G132" s="1" t="str">
        <f>TEXT(pizza_sales[[#This Row],[order_date]],"dddd")</f>
        <v>Sunday</v>
      </c>
      <c r="H132" s="2">
        <v>0.85425925925925927</v>
      </c>
      <c r="I132">
        <v>12.25</v>
      </c>
      <c r="J132">
        <v>12.25</v>
      </c>
      <c r="K132" t="s">
        <v>60</v>
      </c>
      <c r="L132" t="s">
        <v>35</v>
      </c>
      <c r="M132" t="s">
        <v>40</v>
      </c>
      <c r="N132" t="s">
        <v>41</v>
      </c>
    </row>
    <row r="133" spans="1:14" x14ac:dyDescent="0.25">
      <c r="A133">
        <v>455</v>
      </c>
      <c r="B133">
        <v>193</v>
      </c>
      <c r="C133">
        <f>1/COUNTIF(B:B,pizza_sales[[#This Row],[order_id]])</f>
        <v>1</v>
      </c>
      <c r="D133" t="s">
        <v>28</v>
      </c>
      <c r="E133">
        <v>1</v>
      </c>
      <c r="F133" s="1">
        <v>42064</v>
      </c>
      <c r="G133" s="1" t="str">
        <f>TEXT(pizza_sales[[#This Row],[order_date]],"dddd")</f>
        <v>Sunday</v>
      </c>
      <c r="H133" s="2">
        <v>0.87207175925925928</v>
      </c>
      <c r="I133">
        <v>12</v>
      </c>
      <c r="J133">
        <v>12</v>
      </c>
      <c r="K133" t="s">
        <v>60</v>
      </c>
      <c r="L133" t="s">
        <v>13</v>
      </c>
      <c r="M133" t="s">
        <v>29</v>
      </c>
      <c r="N133" t="s">
        <v>30</v>
      </c>
    </row>
    <row r="134" spans="1:14" x14ac:dyDescent="0.25">
      <c r="A134">
        <v>460</v>
      </c>
      <c r="B134">
        <v>196</v>
      </c>
      <c r="C134">
        <f>1/COUNTIF(B:B,pizza_sales[[#This Row],[order_id]])</f>
        <v>1</v>
      </c>
      <c r="D134" t="s">
        <v>48</v>
      </c>
      <c r="E134">
        <v>1</v>
      </c>
      <c r="F134" s="1">
        <v>42064</v>
      </c>
      <c r="G134" s="1" t="str">
        <f>TEXT(pizza_sales[[#This Row],[order_date]],"dddd")</f>
        <v>Sunday</v>
      </c>
      <c r="H134" s="2">
        <v>0.90293981481481478</v>
      </c>
      <c r="I134">
        <v>12.25</v>
      </c>
      <c r="J134">
        <v>12.25</v>
      </c>
      <c r="K134" t="s">
        <v>60</v>
      </c>
      <c r="L134" t="s">
        <v>35</v>
      </c>
      <c r="M134" t="s">
        <v>40</v>
      </c>
      <c r="N134" t="s">
        <v>41</v>
      </c>
    </row>
    <row r="135" spans="1:14" x14ac:dyDescent="0.25">
      <c r="A135">
        <v>467</v>
      </c>
      <c r="B135">
        <v>198</v>
      </c>
      <c r="C135">
        <f>1/COUNTIF(B:B,pizza_sales[[#This Row],[order_id]])</f>
        <v>1</v>
      </c>
      <c r="D135" t="s">
        <v>28</v>
      </c>
      <c r="E135">
        <v>1</v>
      </c>
      <c r="F135" s="1">
        <v>42064</v>
      </c>
      <c r="G135" s="1" t="str">
        <f>TEXT(pizza_sales[[#This Row],[order_date]],"dddd")</f>
        <v>Sunday</v>
      </c>
      <c r="H135" s="2">
        <v>0.91368055555555561</v>
      </c>
      <c r="I135">
        <v>12</v>
      </c>
      <c r="J135">
        <v>12</v>
      </c>
      <c r="K135" t="s">
        <v>60</v>
      </c>
      <c r="L135" t="s">
        <v>13</v>
      </c>
      <c r="M135" t="s">
        <v>29</v>
      </c>
      <c r="N135" t="s">
        <v>30</v>
      </c>
    </row>
    <row r="136" spans="1:14" x14ac:dyDescent="0.25">
      <c r="A136">
        <v>470</v>
      </c>
      <c r="B136">
        <v>200</v>
      </c>
      <c r="C136">
        <f>1/COUNTIF(B:B,pizza_sales[[#This Row],[order_id]])</f>
        <v>1</v>
      </c>
      <c r="D136" t="s">
        <v>46</v>
      </c>
      <c r="E136">
        <v>1</v>
      </c>
      <c r="F136" s="1">
        <v>42064</v>
      </c>
      <c r="G136" s="1" t="str">
        <f>TEXT(pizza_sales[[#This Row],[order_date]],"dddd")</f>
        <v>Sunday</v>
      </c>
      <c r="H136" s="2">
        <v>0.93339120370370365</v>
      </c>
      <c r="I136">
        <v>25.5</v>
      </c>
      <c r="J136">
        <v>25.5</v>
      </c>
      <c r="K136" t="s">
        <v>61</v>
      </c>
      <c r="L136" t="s">
        <v>13</v>
      </c>
      <c r="M136" t="s">
        <v>21</v>
      </c>
      <c r="N136" t="s">
        <v>22</v>
      </c>
    </row>
    <row r="137" spans="1:14" x14ac:dyDescent="0.25">
      <c r="A137">
        <v>471</v>
      </c>
      <c r="B137">
        <v>201</v>
      </c>
      <c r="C137">
        <f>1/COUNTIF(B:B,pizza_sales[[#This Row],[order_id]])</f>
        <v>0.5</v>
      </c>
      <c r="D137" t="s">
        <v>34</v>
      </c>
      <c r="E137">
        <v>1</v>
      </c>
      <c r="F137" s="1">
        <v>42064</v>
      </c>
      <c r="G137" s="1" t="str">
        <f>TEXT(pizza_sales[[#This Row],[order_date]],"dddd")</f>
        <v>Sunday</v>
      </c>
      <c r="H137" s="2">
        <v>0.93748842592592596</v>
      </c>
      <c r="I137">
        <v>16.25</v>
      </c>
      <c r="J137">
        <v>16.25</v>
      </c>
      <c r="K137" t="s">
        <v>59</v>
      </c>
      <c r="L137" t="s">
        <v>35</v>
      </c>
      <c r="M137" t="s">
        <v>36</v>
      </c>
      <c r="N137" t="s">
        <v>37</v>
      </c>
    </row>
    <row r="138" spans="1:14" x14ac:dyDescent="0.25">
      <c r="A138">
        <v>474</v>
      </c>
      <c r="B138">
        <v>201</v>
      </c>
      <c r="C138">
        <f>1/COUNTIF(B:B,pizza_sales[[#This Row],[order_id]])</f>
        <v>0.5</v>
      </c>
      <c r="D138" t="s">
        <v>46</v>
      </c>
      <c r="E138">
        <v>1</v>
      </c>
      <c r="F138" s="1">
        <v>42064</v>
      </c>
      <c r="G138" s="1" t="str">
        <f>TEXT(pizza_sales[[#This Row],[order_date]],"dddd")</f>
        <v>Sunday</v>
      </c>
      <c r="H138" s="2">
        <v>0.93748842592592596</v>
      </c>
      <c r="I138">
        <v>25.5</v>
      </c>
      <c r="J138">
        <v>25.5</v>
      </c>
      <c r="K138" t="s">
        <v>61</v>
      </c>
      <c r="L138" t="s">
        <v>13</v>
      </c>
      <c r="M138" t="s">
        <v>21</v>
      </c>
      <c r="N138" t="s">
        <v>22</v>
      </c>
    </row>
    <row r="139" spans="1:14" x14ac:dyDescent="0.25">
      <c r="A139">
        <v>479</v>
      </c>
      <c r="B139">
        <v>203</v>
      </c>
      <c r="C139">
        <f>1/COUNTIF(B:B,pizza_sales[[#This Row],[order_id]])</f>
        <v>1</v>
      </c>
      <c r="D139" t="s">
        <v>20</v>
      </c>
      <c r="E139">
        <v>1</v>
      </c>
      <c r="F139" s="1">
        <v>42095</v>
      </c>
      <c r="G139" s="1" t="str">
        <f>TEXT(pizza_sales[[#This Row],[order_date]],"dddd")</f>
        <v>Wednesday</v>
      </c>
      <c r="H139" s="2">
        <v>0.47972222222222222</v>
      </c>
      <c r="I139">
        <v>12</v>
      </c>
      <c r="J139">
        <v>12</v>
      </c>
      <c r="K139" t="s">
        <v>60</v>
      </c>
      <c r="L139" t="s">
        <v>13</v>
      </c>
      <c r="M139" t="s">
        <v>21</v>
      </c>
      <c r="N139" t="s">
        <v>22</v>
      </c>
    </row>
    <row r="140" spans="1:14" x14ac:dyDescent="0.25">
      <c r="A140">
        <v>484</v>
      </c>
      <c r="B140">
        <v>206</v>
      </c>
      <c r="C140">
        <f>1/COUNTIF(B:B,pizza_sales[[#This Row],[order_id]])</f>
        <v>0.5</v>
      </c>
      <c r="D140" t="s">
        <v>50</v>
      </c>
      <c r="E140">
        <v>1</v>
      </c>
      <c r="F140" s="1">
        <v>42095</v>
      </c>
      <c r="G140" s="1" t="str">
        <f>TEXT(pizza_sales[[#This Row],[order_date]],"dddd")</f>
        <v>Wednesday</v>
      </c>
      <c r="H140" s="2">
        <v>0.48969907407407409</v>
      </c>
      <c r="I140">
        <v>16</v>
      </c>
      <c r="J140">
        <v>16</v>
      </c>
      <c r="K140" t="s">
        <v>59</v>
      </c>
      <c r="L140" t="s">
        <v>13</v>
      </c>
      <c r="M140" t="s">
        <v>32</v>
      </c>
      <c r="N140" t="s">
        <v>33</v>
      </c>
    </row>
    <row r="141" spans="1:14" x14ac:dyDescent="0.25">
      <c r="A141">
        <v>485</v>
      </c>
      <c r="B141">
        <v>206</v>
      </c>
      <c r="C141">
        <f>1/COUNTIF(B:B,pizza_sales[[#This Row],[order_id]])</f>
        <v>0.5</v>
      </c>
      <c r="D141" t="s">
        <v>44</v>
      </c>
      <c r="E141">
        <v>1</v>
      </c>
      <c r="F141" s="1">
        <v>42095</v>
      </c>
      <c r="G141" s="1" t="str">
        <f>TEXT(pizza_sales[[#This Row],[order_date]],"dddd")</f>
        <v>Wednesday</v>
      </c>
      <c r="H141" s="2">
        <v>0.48969907407407409</v>
      </c>
      <c r="I141">
        <v>9.75</v>
      </c>
      <c r="J141">
        <v>9.75</v>
      </c>
      <c r="K141" t="s">
        <v>60</v>
      </c>
      <c r="L141" t="s">
        <v>13</v>
      </c>
      <c r="M141" t="s">
        <v>26</v>
      </c>
      <c r="N141" t="s">
        <v>27</v>
      </c>
    </row>
    <row r="142" spans="1:14" x14ac:dyDescent="0.25">
      <c r="A142">
        <v>491</v>
      </c>
      <c r="B142">
        <v>208</v>
      </c>
      <c r="C142">
        <f>1/COUNTIF(B:B,pizza_sales[[#This Row],[order_id]])</f>
        <v>0.5</v>
      </c>
      <c r="D142" t="s">
        <v>42</v>
      </c>
      <c r="E142">
        <v>1</v>
      </c>
      <c r="F142" s="1">
        <v>42095</v>
      </c>
      <c r="G142" s="1" t="str">
        <f>TEXT(pizza_sales[[#This Row],[order_date]],"dddd")</f>
        <v>Wednesday</v>
      </c>
      <c r="H142" s="2">
        <v>0.50839120370370372</v>
      </c>
      <c r="I142">
        <v>12.5</v>
      </c>
      <c r="J142">
        <v>12.5</v>
      </c>
      <c r="K142" t="s">
        <v>59</v>
      </c>
      <c r="L142" t="s">
        <v>13</v>
      </c>
      <c r="M142" t="s">
        <v>26</v>
      </c>
      <c r="N142" t="s">
        <v>27</v>
      </c>
    </row>
    <row r="143" spans="1:14" x14ac:dyDescent="0.25">
      <c r="A143">
        <v>492</v>
      </c>
      <c r="B143">
        <v>208</v>
      </c>
      <c r="C143">
        <f>1/COUNTIF(B:B,pizza_sales[[#This Row],[order_id]])</f>
        <v>0.5</v>
      </c>
      <c r="D143" t="s">
        <v>49</v>
      </c>
      <c r="E143">
        <v>1</v>
      </c>
      <c r="F143" s="1">
        <v>42095</v>
      </c>
      <c r="G143" s="1" t="str">
        <f>TEXT(pizza_sales[[#This Row],[order_date]],"dddd")</f>
        <v>Wednesday</v>
      </c>
      <c r="H143" s="2">
        <v>0.50839120370370372</v>
      </c>
      <c r="I143">
        <v>16</v>
      </c>
      <c r="J143">
        <v>16</v>
      </c>
      <c r="K143" t="s">
        <v>59</v>
      </c>
      <c r="L143" t="s">
        <v>13</v>
      </c>
      <c r="M143" t="s">
        <v>21</v>
      </c>
      <c r="N143" t="s">
        <v>22</v>
      </c>
    </row>
    <row r="144" spans="1:14" x14ac:dyDescent="0.25">
      <c r="A144">
        <v>495</v>
      </c>
      <c r="B144">
        <v>211</v>
      </c>
      <c r="C144">
        <f>1/COUNTIF(B:B,pizza_sales[[#This Row],[order_id]])</f>
        <v>1</v>
      </c>
      <c r="D144" t="s">
        <v>44</v>
      </c>
      <c r="E144">
        <v>1</v>
      </c>
      <c r="F144" s="1">
        <v>42095</v>
      </c>
      <c r="G144" s="1" t="str">
        <f>TEXT(pizza_sales[[#This Row],[order_date]],"dddd")</f>
        <v>Wednesday</v>
      </c>
      <c r="H144" s="2">
        <v>0.53773148148148153</v>
      </c>
      <c r="I144">
        <v>9.75</v>
      </c>
      <c r="J144">
        <v>9.75</v>
      </c>
      <c r="K144" t="s">
        <v>60</v>
      </c>
      <c r="L144" t="s">
        <v>13</v>
      </c>
      <c r="M144" t="s">
        <v>26</v>
      </c>
      <c r="N144" t="s">
        <v>27</v>
      </c>
    </row>
    <row r="145" spans="1:14" x14ac:dyDescent="0.25">
      <c r="A145">
        <v>500</v>
      </c>
      <c r="B145">
        <v>214</v>
      </c>
      <c r="C145">
        <f>1/COUNTIF(B:B,pizza_sales[[#This Row],[order_id]])</f>
        <v>1</v>
      </c>
      <c r="D145" t="s">
        <v>23</v>
      </c>
      <c r="E145">
        <v>1</v>
      </c>
      <c r="F145" s="1">
        <v>42095</v>
      </c>
      <c r="G145" s="1" t="str">
        <f>TEXT(pizza_sales[[#This Row],[order_date]],"dddd")</f>
        <v>Wednesday</v>
      </c>
      <c r="H145" s="2">
        <v>0.56893518518518515</v>
      </c>
      <c r="I145">
        <v>12</v>
      </c>
      <c r="J145">
        <v>12</v>
      </c>
      <c r="K145" t="s">
        <v>60</v>
      </c>
      <c r="L145" t="s">
        <v>17</v>
      </c>
      <c r="M145" t="s">
        <v>18</v>
      </c>
      <c r="N145" t="s">
        <v>19</v>
      </c>
    </row>
    <row r="146" spans="1:14" x14ac:dyDescent="0.25">
      <c r="A146">
        <v>505</v>
      </c>
      <c r="B146">
        <v>216</v>
      </c>
      <c r="C146">
        <f>1/COUNTIF(B:B,pizza_sales[[#This Row],[order_id]])</f>
        <v>1</v>
      </c>
      <c r="D146" t="s">
        <v>47</v>
      </c>
      <c r="E146">
        <v>1</v>
      </c>
      <c r="F146" s="1">
        <v>42095</v>
      </c>
      <c r="G146" s="1" t="str">
        <f>TEXT(pizza_sales[[#This Row],[order_date]],"dddd")</f>
        <v>Wednesday</v>
      </c>
      <c r="H146" s="2">
        <v>0.60550925925925925</v>
      </c>
      <c r="I146">
        <v>16.5</v>
      </c>
      <c r="J146">
        <v>16.5</v>
      </c>
      <c r="K146" t="s">
        <v>58</v>
      </c>
      <c r="L146" t="s">
        <v>13</v>
      </c>
      <c r="M146" t="s">
        <v>14</v>
      </c>
      <c r="N146" t="s">
        <v>15</v>
      </c>
    </row>
    <row r="147" spans="1:14" x14ac:dyDescent="0.25">
      <c r="A147">
        <v>513</v>
      </c>
      <c r="B147">
        <v>220</v>
      </c>
      <c r="C147">
        <f>1/COUNTIF(B:B,pizza_sales[[#This Row],[order_id]])</f>
        <v>0.5</v>
      </c>
      <c r="D147" t="s">
        <v>45</v>
      </c>
      <c r="E147">
        <v>1</v>
      </c>
      <c r="F147" s="1">
        <v>42095</v>
      </c>
      <c r="G147" s="1" t="str">
        <f>TEXT(pizza_sales[[#This Row],[order_date]],"dddd")</f>
        <v>Wednesday</v>
      </c>
      <c r="H147" s="2">
        <v>0.6472106481481481</v>
      </c>
      <c r="I147">
        <v>10.5</v>
      </c>
      <c r="J147">
        <v>10.5</v>
      </c>
      <c r="K147" t="s">
        <v>60</v>
      </c>
      <c r="L147" t="s">
        <v>13</v>
      </c>
      <c r="M147" t="s">
        <v>14</v>
      </c>
      <c r="N147" t="s">
        <v>15</v>
      </c>
    </row>
    <row r="148" spans="1:14" x14ac:dyDescent="0.25">
      <c r="A148">
        <v>515</v>
      </c>
      <c r="B148">
        <v>220</v>
      </c>
      <c r="C148">
        <f>1/COUNTIF(B:B,pizza_sales[[#This Row],[order_id]])</f>
        <v>0.5</v>
      </c>
      <c r="D148" t="s">
        <v>38</v>
      </c>
      <c r="E148">
        <v>1</v>
      </c>
      <c r="F148" s="1">
        <v>42095</v>
      </c>
      <c r="G148" s="1" t="str">
        <f>TEXT(pizza_sales[[#This Row],[order_date]],"dddd")</f>
        <v>Wednesday</v>
      </c>
      <c r="H148" s="2">
        <v>0.6472106481481481</v>
      </c>
      <c r="I148">
        <v>20.5</v>
      </c>
      <c r="J148">
        <v>20.5</v>
      </c>
      <c r="K148" t="s">
        <v>58</v>
      </c>
      <c r="L148" t="s">
        <v>13</v>
      </c>
      <c r="M148" t="s">
        <v>32</v>
      </c>
      <c r="N148" t="s">
        <v>33</v>
      </c>
    </row>
    <row r="149" spans="1:14" x14ac:dyDescent="0.25">
      <c r="A149">
        <v>519</v>
      </c>
      <c r="B149">
        <v>221</v>
      </c>
      <c r="C149">
        <f>1/COUNTIF(B:B,pizza_sales[[#This Row],[order_id]])</f>
        <v>1</v>
      </c>
      <c r="D149" t="s">
        <v>20</v>
      </c>
      <c r="E149">
        <v>1</v>
      </c>
      <c r="F149" s="1">
        <v>42095</v>
      </c>
      <c r="G149" s="1" t="str">
        <f>TEXT(pizza_sales[[#This Row],[order_date]],"dddd")</f>
        <v>Wednesday</v>
      </c>
      <c r="H149" s="2">
        <v>0.64812499999999995</v>
      </c>
      <c r="I149">
        <v>12</v>
      </c>
      <c r="J149">
        <v>12</v>
      </c>
      <c r="K149" t="s">
        <v>60</v>
      </c>
      <c r="L149" t="s">
        <v>13</v>
      </c>
      <c r="M149" t="s">
        <v>21</v>
      </c>
      <c r="N149" t="s">
        <v>22</v>
      </c>
    </row>
    <row r="150" spans="1:14" x14ac:dyDescent="0.25">
      <c r="A150">
        <v>521</v>
      </c>
      <c r="B150">
        <v>222</v>
      </c>
      <c r="C150">
        <f>1/COUNTIF(B:B,pizza_sales[[#This Row],[order_id]])</f>
        <v>1</v>
      </c>
      <c r="D150" t="s">
        <v>48</v>
      </c>
      <c r="E150">
        <v>1</v>
      </c>
      <c r="F150" s="1">
        <v>42095</v>
      </c>
      <c r="G150" s="1" t="str">
        <f>TEXT(pizza_sales[[#This Row],[order_date]],"dddd")</f>
        <v>Wednesday</v>
      </c>
      <c r="H150" s="2">
        <v>0.65738425925925925</v>
      </c>
      <c r="I150">
        <v>12.25</v>
      </c>
      <c r="J150">
        <v>12.25</v>
      </c>
      <c r="K150" t="s">
        <v>60</v>
      </c>
      <c r="L150" t="s">
        <v>35</v>
      </c>
      <c r="M150" t="s">
        <v>40</v>
      </c>
      <c r="N150" t="s">
        <v>41</v>
      </c>
    </row>
    <row r="151" spans="1:14" x14ac:dyDescent="0.25">
      <c r="A151">
        <v>525</v>
      </c>
      <c r="B151">
        <v>224</v>
      </c>
      <c r="C151">
        <f>1/COUNTIF(B:B,pizza_sales[[#This Row],[order_id]])</f>
        <v>1</v>
      </c>
      <c r="D151" t="s">
        <v>50</v>
      </c>
      <c r="E151">
        <v>1</v>
      </c>
      <c r="F151" s="1">
        <v>42095</v>
      </c>
      <c r="G151" s="1" t="str">
        <f>TEXT(pizza_sales[[#This Row],[order_date]],"dddd")</f>
        <v>Wednesday</v>
      </c>
      <c r="H151" s="2">
        <v>0.69442129629629634</v>
      </c>
      <c r="I151">
        <v>16</v>
      </c>
      <c r="J151">
        <v>16</v>
      </c>
      <c r="K151" t="s">
        <v>59</v>
      </c>
      <c r="L151" t="s">
        <v>13</v>
      </c>
      <c r="M151" t="s">
        <v>32</v>
      </c>
      <c r="N151" t="s">
        <v>33</v>
      </c>
    </row>
    <row r="152" spans="1:14" x14ac:dyDescent="0.25">
      <c r="A152">
        <v>532</v>
      </c>
      <c r="B152">
        <v>227</v>
      </c>
      <c r="C152">
        <f>1/COUNTIF(B:B,pizza_sales[[#This Row],[order_id]])</f>
        <v>1</v>
      </c>
      <c r="D152" t="s">
        <v>49</v>
      </c>
      <c r="E152">
        <v>1</v>
      </c>
      <c r="F152" s="1">
        <v>42095</v>
      </c>
      <c r="G152" s="1" t="str">
        <f>TEXT(pizza_sales[[#This Row],[order_date]],"dddd")</f>
        <v>Wednesday</v>
      </c>
      <c r="H152" s="2">
        <v>0.72545138888888894</v>
      </c>
      <c r="I152">
        <v>16</v>
      </c>
      <c r="J152">
        <v>16</v>
      </c>
      <c r="K152" t="s">
        <v>59</v>
      </c>
      <c r="L152" t="s">
        <v>13</v>
      </c>
      <c r="M152" t="s">
        <v>21</v>
      </c>
      <c r="N152" t="s">
        <v>22</v>
      </c>
    </row>
    <row r="153" spans="1:14" x14ac:dyDescent="0.25">
      <c r="A153">
        <v>539</v>
      </c>
      <c r="B153">
        <v>231</v>
      </c>
      <c r="C153">
        <f>1/COUNTIF(B:B,pizza_sales[[#This Row],[order_id]])</f>
        <v>1</v>
      </c>
      <c r="D153" t="s">
        <v>31</v>
      </c>
      <c r="E153">
        <v>1</v>
      </c>
      <c r="F153" s="1">
        <v>42095</v>
      </c>
      <c r="G153" s="1" t="str">
        <f>TEXT(pizza_sales[[#This Row],[order_date]],"dddd")</f>
        <v>Wednesday</v>
      </c>
      <c r="H153" s="2">
        <v>0.75298611111111113</v>
      </c>
      <c r="I153">
        <v>12</v>
      </c>
      <c r="J153">
        <v>12</v>
      </c>
      <c r="K153" t="s">
        <v>60</v>
      </c>
      <c r="L153" t="s">
        <v>13</v>
      </c>
      <c r="M153" t="s">
        <v>32</v>
      </c>
      <c r="N153" t="s">
        <v>33</v>
      </c>
    </row>
    <row r="154" spans="1:14" x14ac:dyDescent="0.25">
      <c r="A154">
        <v>546</v>
      </c>
      <c r="B154">
        <v>234</v>
      </c>
      <c r="C154">
        <f>1/COUNTIF(B:B,pizza_sales[[#This Row],[order_id]])</f>
        <v>1</v>
      </c>
      <c r="D154" t="s">
        <v>50</v>
      </c>
      <c r="E154">
        <v>1</v>
      </c>
      <c r="F154" s="1">
        <v>42095</v>
      </c>
      <c r="G154" s="1" t="str">
        <f>TEXT(pizza_sales[[#This Row],[order_date]],"dddd")</f>
        <v>Wednesday</v>
      </c>
      <c r="H154" s="2">
        <v>0.77510416666666671</v>
      </c>
      <c r="I154">
        <v>16</v>
      </c>
      <c r="J154">
        <v>16</v>
      </c>
      <c r="K154" t="s">
        <v>59</v>
      </c>
      <c r="L154" t="s">
        <v>13</v>
      </c>
      <c r="M154" t="s">
        <v>32</v>
      </c>
      <c r="N154" t="s">
        <v>33</v>
      </c>
    </row>
    <row r="155" spans="1:14" x14ac:dyDescent="0.25">
      <c r="A155">
        <v>555</v>
      </c>
      <c r="B155">
        <v>241</v>
      </c>
      <c r="C155">
        <f>1/COUNTIF(B:B,pizza_sales[[#This Row],[order_id]])</f>
        <v>1</v>
      </c>
      <c r="D155" t="s">
        <v>43</v>
      </c>
      <c r="E155">
        <v>1</v>
      </c>
      <c r="F155" s="1">
        <v>42095</v>
      </c>
      <c r="G155" s="1" t="str">
        <f>TEXT(pizza_sales[[#This Row],[order_date]],"dddd")</f>
        <v>Wednesday</v>
      </c>
      <c r="H155" s="2">
        <v>0.84126157407407409</v>
      </c>
      <c r="I155">
        <v>16.25</v>
      </c>
      <c r="J155">
        <v>16.25</v>
      </c>
      <c r="K155" t="s">
        <v>59</v>
      </c>
      <c r="L155" t="s">
        <v>35</v>
      </c>
      <c r="M155" t="s">
        <v>40</v>
      </c>
      <c r="N155" t="s">
        <v>41</v>
      </c>
    </row>
    <row r="156" spans="1:14" x14ac:dyDescent="0.25">
      <c r="A156">
        <v>557</v>
      </c>
      <c r="B156">
        <v>242</v>
      </c>
      <c r="C156">
        <f>1/COUNTIF(B:B,pizza_sales[[#This Row],[order_id]])</f>
        <v>1</v>
      </c>
      <c r="D156" t="s">
        <v>34</v>
      </c>
      <c r="E156">
        <v>1</v>
      </c>
      <c r="F156" s="1">
        <v>42095</v>
      </c>
      <c r="G156" s="1" t="str">
        <f>TEXT(pizza_sales[[#This Row],[order_date]],"dddd")</f>
        <v>Wednesday</v>
      </c>
      <c r="H156" s="2">
        <v>0.84408564814814813</v>
      </c>
      <c r="I156">
        <v>16.25</v>
      </c>
      <c r="J156">
        <v>16.25</v>
      </c>
      <c r="K156" t="s">
        <v>59</v>
      </c>
      <c r="L156" t="s">
        <v>35</v>
      </c>
      <c r="M156" t="s">
        <v>36</v>
      </c>
      <c r="N156" t="s">
        <v>37</v>
      </c>
    </row>
    <row r="157" spans="1:14" x14ac:dyDescent="0.25">
      <c r="A157">
        <v>567</v>
      </c>
      <c r="B157">
        <v>246</v>
      </c>
      <c r="C157">
        <f>1/COUNTIF(B:B,pizza_sales[[#This Row],[order_id]])</f>
        <v>1</v>
      </c>
      <c r="D157" t="s">
        <v>25</v>
      </c>
      <c r="E157">
        <v>1</v>
      </c>
      <c r="F157" s="1">
        <v>42095</v>
      </c>
      <c r="G157" s="1" t="str">
        <f>TEXT(pizza_sales[[#This Row],[order_date]],"dddd")</f>
        <v>Wednesday</v>
      </c>
      <c r="H157" s="2">
        <v>0.85472222222222227</v>
      </c>
      <c r="I157">
        <v>15.25</v>
      </c>
      <c r="J157">
        <v>15.25</v>
      </c>
      <c r="K157" t="s">
        <v>58</v>
      </c>
      <c r="L157" t="s">
        <v>13</v>
      </c>
      <c r="M157" t="s">
        <v>26</v>
      </c>
      <c r="N157" t="s">
        <v>27</v>
      </c>
    </row>
    <row r="158" spans="1:14" x14ac:dyDescent="0.25">
      <c r="A158">
        <v>568</v>
      </c>
      <c r="B158">
        <v>247</v>
      </c>
      <c r="C158">
        <f>1/COUNTIF(B:B,pizza_sales[[#This Row],[order_id]])</f>
        <v>0.5</v>
      </c>
      <c r="D158" t="s">
        <v>12</v>
      </c>
      <c r="E158">
        <v>1</v>
      </c>
      <c r="F158" s="1">
        <v>42095</v>
      </c>
      <c r="G158" s="1" t="str">
        <f>TEXT(pizza_sales[[#This Row],[order_date]],"dddd")</f>
        <v>Wednesday</v>
      </c>
      <c r="H158" s="2">
        <v>0.87186342592592592</v>
      </c>
      <c r="I158">
        <v>13.25</v>
      </c>
      <c r="J158">
        <v>13.25</v>
      </c>
      <c r="K158" t="s">
        <v>59</v>
      </c>
      <c r="L158" t="s">
        <v>13</v>
      </c>
      <c r="M158" t="s">
        <v>14</v>
      </c>
      <c r="N158" t="s">
        <v>15</v>
      </c>
    </row>
    <row r="159" spans="1:14" x14ac:dyDescent="0.25">
      <c r="A159">
        <v>569</v>
      </c>
      <c r="B159">
        <v>247</v>
      </c>
      <c r="C159">
        <f>1/COUNTIF(B:B,pizza_sales[[#This Row],[order_id]])</f>
        <v>0.5</v>
      </c>
      <c r="D159" t="s">
        <v>43</v>
      </c>
      <c r="E159">
        <v>1</v>
      </c>
      <c r="F159" s="1">
        <v>42095</v>
      </c>
      <c r="G159" s="1" t="str">
        <f>TEXT(pizza_sales[[#This Row],[order_date]],"dddd")</f>
        <v>Wednesday</v>
      </c>
      <c r="H159" s="2">
        <v>0.87186342592592592</v>
      </c>
      <c r="I159">
        <v>16.25</v>
      </c>
      <c r="J159">
        <v>16.25</v>
      </c>
      <c r="K159" t="s">
        <v>59</v>
      </c>
      <c r="L159" t="s">
        <v>35</v>
      </c>
      <c r="M159" t="s">
        <v>40</v>
      </c>
      <c r="N159" t="s">
        <v>41</v>
      </c>
    </row>
    <row r="160" spans="1:14" x14ac:dyDescent="0.25">
      <c r="A160">
        <v>571</v>
      </c>
      <c r="B160">
        <v>248</v>
      </c>
      <c r="C160">
        <f>1/COUNTIF(B:B,pizza_sales[[#This Row],[order_id]])</f>
        <v>1</v>
      </c>
      <c r="D160" t="s">
        <v>45</v>
      </c>
      <c r="E160">
        <v>1</v>
      </c>
      <c r="F160" s="1">
        <v>42095</v>
      </c>
      <c r="G160" s="1" t="str">
        <f>TEXT(pizza_sales[[#This Row],[order_date]],"dddd")</f>
        <v>Wednesday</v>
      </c>
      <c r="H160" s="2">
        <v>0.87383101851851852</v>
      </c>
      <c r="I160">
        <v>10.5</v>
      </c>
      <c r="J160">
        <v>10.5</v>
      </c>
      <c r="K160" t="s">
        <v>60</v>
      </c>
      <c r="L160" t="s">
        <v>13</v>
      </c>
      <c r="M160" t="s">
        <v>14</v>
      </c>
      <c r="N160" t="s">
        <v>15</v>
      </c>
    </row>
    <row r="161" spans="1:14" x14ac:dyDescent="0.25">
      <c r="A161">
        <v>574</v>
      </c>
      <c r="B161">
        <v>249</v>
      </c>
      <c r="C161">
        <f>1/COUNTIF(B:B,pizza_sales[[#This Row],[order_id]])</f>
        <v>1</v>
      </c>
      <c r="D161" t="s">
        <v>54</v>
      </c>
      <c r="E161">
        <v>1</v>
      </c>
      <c r="F161" s="1">
        <v>42095</v>
      </c>
      <c r="G161" s="1" t="str">
        <f>TEXT(pizza_sales[[#This Row],[order_date]],"dddd")</f>
        <v>Wednesday</v>
      </c>
      <c r="H161" s="2">
        <v>0.87935185185185183</v>
      </c>
      <c r="I161">
        <v>12.25</v>
      </c>
      <c r="J161">
        <v>12.25</v>
      </c>
      <c r="K161" t="s">
        <v>60</v>
      </c>
      <c r="L161" t="s">
        <v>35</v>
      </c>
      <c r="M161" t="s">
        <v>36</v>
      </c>
      <c r="N161" t="s">
        <v>37</v>
      </c>
    </row>
    <row r="162" spans="1:14" x14ac:dyDescent="0.25">
      <c r="A162">
        <v>576</v>
      </c>
      <c r="B162">
        <v>251</v>
      </c>
      <c r="C162">
        <f>1/COUNTIF(B:B,pizza_sales[[#This Row],[order_id]])</f>
        <v>1</v>
      </c>
      <c r="D162" t="s">
        <v>16</v>
      </c>
      <c r="E162">
        <v>1</v>
      </c>
      <c r="F162" s="1">
        <v>42095</v>
      </c>
      <c r="G162" s="1" t="str">
        <f>TEXT(pizza_sales[[#This Row],[order_date]],"dddd")</f>
        <v>Wednesday</v>
      </c>
      <c r="H162" s="2">
        <v>0.88200231481481484</v>
      </c>
      <c r="I162">
        <v>16</v>
      </c>
      <c r="J162">
        <v>16</v>
      </c>
      <c r="K162" t="s">
        <v>59</v>
      </c>
      <c r="L162" t="s">
        <v>17</v>
      </c>
      <c r="M162" t="s">
        <v>18</v>
      </c>
      <c r="N162" t="s">
        <v>19</v>
      </c>
    </row>
    <row r="163" spans="1:14" x14ac:dyDescent="0.25">
      <c r="A163">
        <v>578</v>
      </c>
      <c r="B163">
        <v>253</v>
      </c>
      <c r="C163">
        <f>1/COUNTIF(B:B,pizza_sales[[#This Row],[order_id]])</f>
        <v>1</v>
      </c>
      <c r="D163" t="s">
        <v>51</v>
      </c>
      <c r="E163">
        <v>1</v>
      </c>
      <c r="F163" s="1">
        <v>42095</v>
      </c>
      <c r="G163" s="1" t="str">
        <f>TEXT(pizza_sales[[#This Row],[order_date]],"dddd")</f>
        <v>Wednesday</v>
      </c>
      <c r="H163" s="2">
        <v>0.92798611111111107</v>
      </c>
      <c r="I163">
        <v>23.65</v>
      </c>
      <c r="J163">
        <v>23.65</v>
      </c>
      <c r="K163" t="s">
        <v>60</v>
      </c>
      <c r="L163" t="s">
        <v>35</v>
      </c>
      <c r="M163" t="s">
        <v>52</v>
      </c>
      <c r="N163" t="s">
        <v>53</v>
      </c>
    </row>
    <row r="164" spans="1:14" x14ac:dyDescent="0.25">
      <c r="A164">
        <v>580</v>
      </c>
      <c r="B164">
        <v>254</v>
      </c>
      <c r="C164">
        <f>1/COUNTIF(B:B,pizza_sales[[#This Row],[order_id]])</f>
        <v>1</v>
      </c>
      <c r="D164" t="s">
        <v>51</v>
      </c>
      <c r="E164">
        <v>1</v>
      </c>
      <c r="F164" s="1">
        <v>42095</v>
      </c>
      <c r="G164" s="1" t="str">
        <f>TEXT(pizza_sales[[#This Row],[order_date]],"dddd")</f>
        <v>Wednesday</v>
      </c>
      <c r="H164" s="2">
        <v>0.93209490740740741</v>
      </c>
      <c r="I164">
        <v>23.65</v>
      </c>
      <c r="J164">
        <v>23.65</v>
      </c>
      <c r="K164" t="s">
        <v>60</v>
      </c>
      <c r="L164" t="s">
        <v>35</v>
      </c>
      <c r="M164" t="s">
        <v>52</v>
      </c>
      <c r="N164" t="s">
        <v>53</v>
      </c>
    </row>
    <row r="165" spans="1:14" x14ac:dyDescent="0.25">
      <c r="A165">
        <v>584</v>
      </c>
      <c r="B165">
        <v>255</v>
      </c>
      <c r="C165">
        <f>1/COUNTIF(B:B,pizza_sales[[#This Row],[order_id]])</f>
        <v>1</v>
      </c>
      <c r="D165" t="s">
        <v>47</v>
      </c>
      <c r="E165">
        <v>1</v>
      </c>
      <c r="F165" s="1">
        <v>42125</v>
      </c>
      <c r="G165" s="1" t="str">
        <f>TEXT(pizza_sales[[#This Row],[order_date]],"dddd")</f>
        <v>Friday</v>
      </c>
      <c r="H165" s="2">
        <v>0.47471064814814817</v>
      </c>
      <c r="I165">
        <v>16.5</v>
      </c>
      <c r="J165">
        <v>16.5</v>
      </c>
      <c r="K165" t="s">
        <v>58</v>
      </c>
      <c r="L165" t="s">
        <v>13</v>
      </c>
      <c r="M165" t="s">
        <v>14</v>
      </c>
      <c r="N165" t="s">
        <v>15</v>
      </c>
    </row>
    <row r="166" spans="1:14" x14ac:dyDescent="0.25">
      <c r="A166">
        <v>590</v>
      </c>
      <c r="B166">
        <v>259</v>
      </c>
      <c r="C166">
        <f>1/COUNTIF(B:B,pizza_sales[[#This Row],[order_id]])</f>
        <v>1</v>
      </c>
      <c r="D166" t="s">
        <v>25</v>
      </c>
      <c r="E166">
        <v>1</v>
      </c>
      <c r="F166" s="1">
        <v>42125</v>
      </c>
      <c r="G166" s="1" t="str">
        <f>TEXT(pizza_sales[[#This Row],[order_date]],"dddd")</f>
        <v>Friday</v>
      </c>
      <c r="H166" s="2">
        <v>0.50306712962962963</v>
      </c>
      <c r="I166">
        <v>15.25</v>
      </c>
      <c r="J166">
        <v>15.25</v>
      </c>
      <c r="K166" t="s">
        <v>58</v>
      </c>
      <c r="L166" t="s">
        <v>13</v>
      </c>
      <c r="M166" t="s">
        <v>26</v>
      </c>
      <c r="N166" t="s">
        <v>27</v>
      </c>
    </row>
    <row r="167" spans="1:14" x14ac:dyDescent="0.25">
      <c r="A167">
        <v>592</v>
      </c>
      <c r="B167">
        <v>260</v>
      </c>
      <c r="C167">
        <f>1/COUNTIF(B:B,pizza_sales[[#This Row],[order_id]])</f>
        <v>1</v>
      </c>
      <c r="D167" t="s">
        <v>55</v>
      </c>
      <c r="E167">
        <v>1</v>
      </c>
      <c r="F167" s="1">
        <v>42125</v>
      </c>
      <c r="G167" s="1" t="str">
        <f>TEXT(pizza_sales[[#This Row],[order_date]],"dddd")</f>
        <v>Friday</v>
      </c>
      <c r="H167" s="2">
        <v>0.5044791666666667</v>
      </c>
      <c r="I167">
        <v>20.5</v>
      </c>
      <c r="J167">
        <v>20.5</v>
      </c>
      <c r="K167" t="s">
        <v>58</v>
      </c>
      <c r="L167" t="s">
        <v>13</v>
      </c>
      <c r="M167" t="s">
        <v>21</v>
      </c>
      <c r="N167" t="s">
        <v>22</v>
      </c>
    </row>
    <row r="168" spans="1:14" x14ac:dyDescent="0.25">
      <c r="A168">
        <v>593</v>
      </c>
      <c r="B168">
        <v>261</v>
      </c>
      <c r="C168">
        <f>1/COUNTIF(B:B,pizza_sales[[#This Row],[order_id]])</f>
        <v>1</v>
      </c>
      <c r="D168" t="s">
        <v>51</v>
      </c>
      <c r="E168">
        <v>1</v>
      </c>
      <c r="F168" s="1">
        <v>42125</v>
      </c>
      <c r="G168" s="1" t="str">
        <f>TEXT(pizza_sales[[#This Row],[order_date]],"dddd")</f>
        <v>Friday</v>
      </c>
      <c r="H168" s="2">
        <v>0.52672453703703703</v>
      </c>
      <c r="I168">
        <v>23.65</v>
      </c>
      <c r="J168">
        <v>23.65</v>
      </c>
      <c r="K168" t="s">
        <v>60</v>
      </c>
      <c r="L168" t="s">
        <v>35</v>
      </c>
      <c r="M168" t="s">
        <v>52</v>
      </c>
      <c r="N168" t="s">
        <v>53</v>
      </c>
    </row>
    <row r="169" spans="1:14" x14ac:dyDescent="0.25">
      <c r="A169">
        <v>596</v>
      </c>
      <c r="B169">
        <v>264</v>
      </c>
      <c r="C169">
        <f>1/COUNTIF(B:B,pizza_sales[[#This Row],[order_id]])</f>
        <v>1</v>
      </c>
      <c r="D169" t="s">
        <v>16</v>
      </c>
      <c r="E169">
        <v>1</v>
      </c>
      <c r="F169" s="1">
        <v>42125</v>
      </c>
      <c r="G169" s="1" t="str">
        <f>TEXT(pizza_sales[[#This Row],[order_date]],"dddd")</f>
        <v>Friday</v>
      </c>
      <c r="H169" s="2">
        <v>0.54443287037037036</v>
      </c>
      <c r="I169">
        <v>16</v>
      </c>
      <c r="J169">
        <v>16</v>
      </c>
      <c r="K169" t="s">
        <v>59</v>
      </c>
      <c r="L169" t="s">
        <v>17</v>
      </c>
      <c r="M169" t="s">
        <v>18</v>
      </c>
      <c r="N169" t="s">
        <v>19</v>
      </c>
    </row>
    <row r="170" spans="1:14" x14ac:dyDescent="0.25">
      <c r="A170">
        <v>598</v>
      </c>
      <c r="B170">
        <v>265</v>
      </c>
      <c r="C170">
        <f>1/COUNTIF(B:B,pizza_sales[[#This Row],[order_id]])</f>
        <v>0.5</v>
      </c>
      <c r="D170" t="s">
        <v>24</v>
      </c>
      <c r="E170">
        <v>1</v>
      </c>
      <c r="F170" s="1">
        <v>42125</v>
      </c>
      <c r="G170" s="1" t="str">
        <f>TEXT(pizza_sales[[#This Row],[order_date]],"dddd")</f>
        <v>Friday</v>
      </c>
      <c r="H170" s="2">
        <v>0.54493055555555558</v>
      </c>
      <c r="I170">
        <v>20.25</v>
      </c>
      <c r="J170">
        <v>20.25</v>
      </c>
      <c r="K170" t="s">
        <v>58</v>
      </c>
      <c r="L170" t="s">
        <v>17</v>
      </c>
      <c r="M170" t="s">
        <v>18</v>
      </c>
      <c r="N170" t="s">
        <v>19</v>
      </c>
    </row>
    <row r="171" spans="1:14" x14ac:dyDescent="0.25">
      <c r="A171">
        <v>599</v>
      </c>
      <c r="B171">
        <v>265</v>
      </c>
      <c r="C171">
        <f>1/COUNTIF(B:B,pizza_sales[[#This Row],[order_id]])</f>
        <v>0.5</v>
      </c>
      <c r="D171" t="s">
        <v>43</v>
      </c>
      <c r="E171">
        <v>1</v>
      </c>
      <c r="F171" s="1">
        <v>42125</v>
      </c>
      <c r="G171" s="1" t="str">
        <f>TEXT(pizza_sales[[#This Row],[order_date]],"dddd")</f>
        <v>Friday</v>
      </c>
      <c r="H171" s="2">
        <v>0.54493055555555558</v>
      </c>
      <c r="I171">
        <v>16.25</v>
      </c>
      <c r="J171">
        <v>16.25</v>
      </c>
      <c r="K171" t="s">
        <v>59</v>
      </c>
      <c r="L171" t="s">
        <v>35</v>
      </c>
      <c r="M171" t="s">
        <v>40</v>
      </c>
      <c r="N171" t="s">
        <v>41</v>
      </c>
    </row>
    <row r="172" spans="1:14" x14ac:dyDescent="0.25">
      <c r="A172">
        <v>604</v>
      </c>
      <c r="B172">
        <v>267</v>
      </c>
      <c r="C172">
        <f>1/COUNTIF(B:B,pizza_sales[[#This Row],[order_id]])</f>
        <v>1</v>
      </c>
      <c r="D172" t="s">
        <v>31</v>
      </c>
      <c r="E172">
        <v>1</v>
      </c>
      <c r="F172" s="1">
        <v>42125</v>
      </c>
      <c r="G172" s="1" t="str">
        <f>TEXT(pizza_sales[[#This Row],[order_date]],"dddd")</f>
        <v>Friday</v>
      </c>
      <c r="H172" s="2">
        <v>0.56793981481481481</v>
      </c>
      <c r="I172">
        <v>12</v>
      </c>
      <c r="J172">
        <v>12</v>
      </c>
      <c r="K172" t="s">
        <v>60</v>
      </c>
      <c r="L172" t="s">
        <v>13</v>
      </c>
      <c r="M172" t="s">
        <v>32</v>
      </c>
      <c r="N172" t="s">
        <v>33</v>
      </c>
    </row>
    <row r="173" spans="1:14" x14ac:dyDescent="0.25">
      <c r="A173">
        <v>606</v>
      </c>
      <c r="B173">
        <v>268</v>
      </c>
      <c r="C173">
        <f>1/COUNTIF(B:B,pizza_sales[[#This Row],[order_id]])</f>
        <v>1</v>
      </c>
      <c r="D173" t="s">
        <v>44</v>
      </c>
      <c r="E173">
        <v>1</v>
      </c>
      <c r="F173" s="1">
        <v>42125</v>
      </c>
      <c r="G173" s="1" t="str">
        <f>TEXT(pizza_sales[[#This Row],[order_date]],"dddd")</f>
        <v>Friday</v>
      </c>
      <c r="H173" s="2">
        <v>0.56997685185185187</v>
      </c>
      <c r="I173">
        <v>9.75</v>
      </c>
      <c r="J173">
        <v>9.75</v>
      </c>
      <c r="K173" t="s">
        <v>60</v>
      </c>
      <c r="L173" t="s">
        <v>13</v>
      </c>
      <c r="M173" t="s">
        <v>26</v>
      </c>
      <c r="N173" t="s">
        <v>27</v>
      </c>
    </row>
    <row r="174" spans="1:14" x14ac:dyDescent="0.25">
      <c r="A174">
        <v>611</v>
      </c>
      <c r="B174">
        <v>271</v>
      </c>
      <c r="C174">
        <f>1/COUNTIF(B:B,pizza_sales[[#This Row],[order_id]])</f>
        <v>0.33333333333333331</v>
      </c>
      <c r="D174" t="s">
        <v>28</v>
      </c>
      <c r="E174">
        <v>1</v>
      </c>
      <c r="F174" s="1">
        <v>42125</v>
      </c>
      <c r="G174" s="1" t="str">
        <f>TEXT(pizza_sales[[#This Row],[order_date]],"dddd")</f>
        <v>Friday</v>
      </c>
      <c r="H174" s="2">
        <v>0.5988310185185185</v>
      </c>
      <c r="I174">
        <v>12</v>
      </c>
      <c r="J174">
        <v>12</v>
      </c>
      <c r="K174" t="s">
        <v>60</v>
      </c>
      <c r="L174" t="s">
        <v>13</v>
      </c>
      <c r="M174" t="s">
        <v>29</v>
      </c>
      <c r="N174" t="s">
        <v>30</v>
      </c>
    </row>
    <row r="175" spans="1:14" x14ac:dyDescent="0.25">
      <c r="A175">
        <v>617</v>
      </c>
      <c r="B175">
        <v>271</v>
      </c>
      <c r="C175">
        <f>1/COUNTIF(B:B,pizza_sales[[#This Row],[order_id]])</f>
        <v>0.33333333333333331</v>
      </c>
      <c r="D175" t="s">
        <v>48</v>
      </c>
      <c r="E175">
        <v>1</v>
      </c>
      <c r="F175" s="1">
        <v>42125</v>
      </c>
      <c r="G175" s="1" t="str">
        <f>TEXT(pizza_sales[[#This Row],[order_date]],"dddd")</f>
        <v>Friday</v>
      </c>
      <c r="H175" s="2">
        <v>0.5988310185185185</v>
      </c>
      <c r="I175">
        <v>12.25</v>
      </c>
      <c r="J175">
        <v>12.25</v>
      </c>
      <c r="K175" t="s">
        <v>60</v>
      </c>
      <c r="L175" t="s">
        <v>35</v>
      </c>
      <c r="M175" t="s">
        <v>40</v>
      </c>
      <c r="N175" t="s">
        <v>41</v>
      </c>
    </row>
    <row r="176" spans="1:14" x14ac:dyDescent="0.25">
      <c r="A176">
        <v>620</v>
      </c>
      <c r="B176">
        <v>271</v>
      </c>
      <c r="C176">
        <f>1/COUNTIF(B:B,pizza_sales[[#This Row],[order_id]])</f>
        <v>0.33333333333333331</v>
      </c>
      <c r="D176" t="s">
        <v>20</v>
      </c>
      <c r="E176">
        <v>1</v>
      </c>
      <c r="F176" s="1">
        <v>42125</v>
      </c>
      <c r="G176" s="1" t="str">
        <f>TEXT(pizza_sales[[#This Row],[order_date]],"dddd")</f>
        <v>Friday</v>
      </c>
      <c r="H176" s="2">
        <v>0.5988310185185185</v>
      </c>
      <c r="I176">
        <v>12</v>
      </c>
      <c r="J176">
        <v>12</v>
      </c>
      <c r="K176" t="s">
        <v>60</v>
      </c>
      <c r="L176" t="s">
        <v>13</v>
      </c>
      <c r="M176" t="s">
        <v>21</v>
      </c>
      <c r="N176" t="s">
        <v>22</v>
      </c>
    </row>
    <row r="177" spans="1:14" x14ac:dyDescent="0.25">
      <c r="A177">
        <v>627</v>
      </c>
      <c r="B177">
        <v>275</v>
      </c>
      <c r="C177">
        <f>1/COUNTIF(B:B,pizza_sales[[#This Row],[order_id]])</f>
        <v>0.5</v>
      </c>
      <c r="D177" t="s">
        <v>44</v>
      </c>
      <c r="E177">
        <v>1</v>
      </c>
      <c r="F177" s="1">
        <v>42125</v>
      </c>
      <c r="G177" s="1" t="str">
        <f>TEXT(pizza_sales[[#This Row],[order_date]],"dddd")</f>
        <v>Friday</v>
      </c>
      <c r="H177" s="2">
        <v>0.60988425925925926</v>
      </c>
      <c r="I177">
        <v>9.75</v>
      </c>
      <c r="J177">
        <v>9.75</v>
      </c>
      <c r="K177" t="s">
        <v>60</v>
      </c>
      <c r="L177" t="s">
        <v>13</v>
      </c>
      <c r="M177" t="s">
        <v>26</v>
      </c>
      <c r="N177" t="s">
        <v>27</v>
      </c>
    </row>
    <row r="178" spans="1:14" x14ac:dyDescent="0.25">
      <c r="A178">
        <v>628</v>
      </c>
      <c r="B178">
        <v>275</v>
      </c>
      <c r="C178">
        <f>1/COUNTIF(B:B,pizza_sales[[#This Row],[order_id]])</f>
        <v>0.5</v>
      </c>
      <c r="D178" t="s">
        <v>43</v>
      </c>
      <c r="E178">
        <v>1</v>
      </c>
      <c r="F178" s="1">
        <v>42125</v>
      </c>
      <c r="G178" s="1" t="str">
        <f>TEXT(pizza_sales[[#This Row],[order_date]],"dddd")</f>
        <v>Friday</v>
      </c>
      <c r="H178" s="2">
        <v>0.60988425925925926</v>
      </c>
      <c r="I178">
        <v>16.25</v>
      </c>
      <c r="J178">
        <v>16.25</v>
      </c>
      <c r="K178" t="s">
        <v>59</v>
      </c>
      <c r="L178" t="s">
        <v>35</v>
      </c>
      <c r="M178" t="s">
        <v>40</v>
      </c>
      <c r="N178" t="s">
        <v>41</v>
      </c>
    </row>
    <row r="179" spans="1:14" x14ac:dyDescent="0.25">
      <c r="A179">
        <v>638</v>
      </c>
      <c r="B179">
        <v>281</v>
      </c>
      <c r="C179">
        <f>1/COUNTIF(B:B,pizza_sales[[#This Row],[order_id]])</f>
        <v>1</v>
      </c>
      <c r="D179" t="s">
        <v>48</v>
      </c>
      <c r="E179">
        <v>1</v>
      </c>
      <c r="F179" s="1">
        <v>42125</v>
      </c>
      <c r="G179" s="1" t="str">
        <f>TEXT(pizza_sales[[#This Row],[order_date]],"dddd")</f>
        <v>Friday</v>
      </c>
      <c r="H179" s="2">
        <v>0.69013888888888886</v>
      </c>
      <c r="I179">
        <v>12.25</v>
      </c>
      <c r="J179">
        <v>12.25</v>
      </c>
      <c r="K179" t="s">
        <v>60</v>
      </c>
      <c r="L179" t="s">
        <v>35</v>
      </c>
      <c r="M179" t="s">
        <v>40</v>
      </c>
      <c r="N179" t="s">
        <v>41</v>
      </c>
    </row>
    <row r="180" spans="1:14" x14ac:dyDescent="0.25">
      <c r="A180">
        <v>643</v>
      </c>
      <c r="B180">
        <v>283</v>
      </c>
      <c r="C180">
        <f>1/COUNTIF(B:B,pizza_sales[[#This Row],[order_id]])</f>
        <v>1</v>
      </c>
      <c r="D180" t="s">
        <v>50</v>
      </c>
      <c r="E180">
        <v>1</v>
      </c>
      <c r="F180" s="1">
        <v>42125</v>
      </c>
      <c r="G180" s="1" t="str">
        <f>TEXT(pizza_sales[[#This Row],[order_date]],"dddd")</f>
        <v>Friday</v>
      </c>
      <c r="H180" s="2">
        <v>0.70258101851851851</v>
      </c>
      <c r="I180">
        <v>16</v>
      </c>
      <c r="J180">
        <v>16</v>
      </c>
      <c r="K180" t="s">
        <v>59</v>
      </c>
      <c r="L180" t="s">
        <v>13</v>
      </c>
      <c r="M180" t="s">
        <v>32</v>
      </c>
      <c r="N180" t="s">
        <v>33</v>
      </c>
    </row>
    <row r="181" spans="1:14" x14ac:dyDescent="0.25">
      <c r="A181">
        <v>645</v>
      </c>
      <c r="B181">
        <v>284</v>
      </c>
      <c r="C181">
        <f>1/COUNTIF(B:B,pizza_sales[[#This Row],[order_id]])</f>
        <v>0.5</v>
      </c>
      <c r="D181" t="s">
        <v>45</v>
      </c>
      <c r="E181">
        <v>1</v>
      </c>
      <c r="F181" s="1">
        <v>42125</v>
      </c>
      <c r="G181" s="1" t="str">
        <f>TEXT(pizza_sales[[#This Row],[order_date]],"dddd")</f>
        <v>Friday</v>
      </c>
      <c r="H181" s="2">
        <v>0.70712962962962966</v>
      </c>
      <c r="I181">
        <v>10.5</v>
      </c>
      <c r="J181">
        <v>10.5</v>
      </c>
      <c r="K181" t="s">
        <v>60</v>
      </c>
      <c r="L181" t="s">
        <v>13</v>
      </c>
      <c r="M181" t="s">
        <v>14</v>
      </c>
      <c r="N181" t="s">
        <v>15</v>
      </c>
    </row>
    <row r="182" spans="1:14" x14ac:dyDescent="0.25">
      <c r="A182">
        <v>646</v>
      </c>
      <c r="B182">
        <v>284</v>
      </c>
      <c r="C182">
        <f>1/COUNTIF(B:B,pizza_sales[[#This Row],[order_id]])</f>
        <v>0.5</v>
      </c>
      <c r="D182" t="s">
        <v>50</v>
      </c>
      <c r="E182">
        <v>1</v>
      </c>
      <c r="F182" s="1">
        <v>42125</v>
      </c>
      <c r="G182" s="1" t="str">
        <f>TEXT(pizza_sales[[#This Row],[order_date]],"dddd")</f>
        <v>Friday</v>
      </c>
      <c r="H182" s="2">
        <v>0.70712962962962966</v>
      </c>
      <c r="I182">
        <v>16</v>
      </c>
      <c r="J182">
        <v>16</v>
      </c>
      <c r="K182" t="s">
        <v>59</v>
      </c>
      <c r="L182" t="s">
        <v>13</v>
      </c>
      <c r="M182" t="s">
        <v>32</v>
      </c>
      <c r="N182" t="s">
        <v>33</v>
      </c>
    </row>
    <row r="183" spans="1:14" x14ac:dyDescent="0.25">
      <c r="A183">
        <v>652</v>
      </c>
      <c r="B183">
        <v>287</v>
      </c>
      <c r="C183">
        <f>1/COUNTIF(B:B,pizza_sales[[#This Row],[order_id]])</f>
        <v>0.5</v>
      </c>
      <c r="D183" t="s">
        <v>42</v>
      </c>
      <c r="E183">
        <v>1</v>
      </c>
      <c r="F183" s="1">
        <v>42125</v>
      </c>
      <c r="G183" s="1" t="str">
        <f>TEXT(pizza_sales[[#This Row],[order_date]],"dddd")</f>
        <v>Friday</v>
      </c>
      <c r="H183" s="2">
        <v>0.72927083333333331</v>
      </c>
      <c r="I183">
        <v>12.5</v>
      </c>
      <c r="J183">
        <v>12.5</v>
      </c>
      <c r="K183" t="s">
        <v>59</v>
      </c>
      <c r="L183" t="s">
        <v>13</v>
      </c>
      <c r="M183" t="s">
        <v>26</v>
      </c>
      <c r="N183" t="s">
        <v>27</v>
      </c>
    </row>
    <row r="184" spans="1:14" x14ac:dyDescent="0.25">
      <c r="A184">
        <v>653</v>
      </c>
      <c r="B184">
        <v>287</v>
      </c>
      <c r="C184">
        <f>1/COUNTIF(B:B,pizza_sales[[#This Row],[order_id]])</f>
        <v>0.5</v>
      </c>
      <c r="D184" t="s">
        <v>48</v>
      </c>
      <c r="E184">
        <v>1</v>
      </c>
      <c r="F184" s="1">
        <v>42125</v>
      </c>
      <c r="G184" s="1" t="str">
        <f>TEXT(pizza_sales[[#This Row],[order_date]],"dddd")</f>
        <v>Friday</v>
      </c>
      <c r="H184" s="2">
        <v>0.72927083333333331</v>
      </c>
      <c r="I184">
        <v>12.25</v>
      </c>
      <c r="J184">
        <v>12.25</v>
      </c>
      <c r="K184" t="s">
        <v>60</v>
      </c>
      <c r="L184" t="s">
        <v>35</v>
      </c>
      <c r="M184" t="s">
        <v>40</v>
      </c>
      <c r="N184" t="s">
        <v>41</v>
      </c>
    </row>
    <row r="185" spans="1:14" x14ac:dyDescent="0.25">
      <c r="A185">
        <v>654</v>
      </c>
      <c r="B185">
        <v>288</v>
      </c>
      <c r="C185">
        <f>1/COUNTIF(B:B,pizza_sales[[#This Row],[order_id]])</f>
        <v>1</v>
      </c>
      <c r="D185" t="s">
        <v>51</v>
      </c>
      <c r="E185">
        <v>1</v>
      </c>
      <c r="F185" s="1">
        <v>42125</v>
      </c>
      <c r="G185" s="1" t="str">
        <f>TEXT(pizza_sales[[#This Row],[order_date]],"dddd")</f>
        <v>Friday</v>
      </c>
      <c r="H185" s="2">
        <v>0.73106481481481478</v>
      </c>
      <c r="I185">
        <v>23.65</v>
      </c>
      <c r="J185">
        <v>23.65</v>
      </c>
      <c r="K185" t="s">
        <v>60</v>
      </c>
      <c r="L185" t="s">
        <v>35</v>
      </c>
      <c r="M185" t="s">
        <v>52</v>
      </c>
      <c r="N185" t="s">
        <v>53</v>
      </c>
    </row>
    <row r="186" spans="1:14" x14ac:dyDescent="0.25">
      <c r="A186">
        <v>681</v>
      </c>
      <c r="B186">
        <v>300</v>
      </c>
      <c r="C186">
        <f>1/COUNTIF(B:B,pizza_sales[[#This Row],[order_id]])</f>
        <v>1</v>
      </c>
      <c r="D186" t="s">
        <v>28</v>
      </c>
      <c r="E186">
        <v>1</v>
      </c>
      <c r="F186" s="1">
        <v>42125</v>
      </c>
      <c r="G186" s="1" t="str">
        <f>TEXT(pizza_sales[[#This Row],[order_date]],"dddd")</f>
        <v>Friday</v>
      </c>
      <c r="H186" s="2">
        <v>0.82145833333333329</v>
      </c>
      <c r="I186">
        <v>12</v>
      </c>
      <c r="J186">
        <v>12</v>
      </c>
      <c r="K186" t="s">
        <v>60</v>
      </c>
      <c r="L186" t="s">
        <v>13</v>
      </c>
      <c r="M186" t="s">
        <v>29</v>
      </c>
      <c r="N186" t="s">
        <v>30</v>
      </c>
    </row>
    <row r="187" spans="1:14" x14ac:dyDescent="0.25">
      <c r="A187">
        <v>685</v>
      </c>
      <c r="B187">
        <v>301</v>
      </c>
      <c r="C187">
        <f>1/COUNTIF(B:B,pizza_sales[[#This Row],[order_id]])</f>
        <v>1</v>
      </c>
      <c r="D187" t="s">
        <v>38</v>
      </c>
      <c r="E187">
        <v>1</v>
      </c>
      <c r="F187" s="1">
        <v>42125</v>
      </c>
      <c r="G187" s="1" t="str">
        <f>TEXT(pizza_sales[[#This Row],[order_date]],"dddd")</f>
        <v>Friday</v>
      </c>
      <c r="H187" s="2">
        <v>0.82358796296296299</v>
      </c>
      <c r="I187">
        <v>20.5</v>
      </c>
      <c r="J187">
        <v>20.5</v>
      </c>
      <c r="K187" t="s">
        <v>58</v>
      </c>
      <c r="L187" t="s">
        <v>13</v>
      </c>
      <c r="M187" t="s">
        <v>32</v>
      </c>
      <c r="N187" t="s">
        <v>33</v>
      </c>
    </row>
    <row r="188" spans="1:14" x14ac:dyDescent="0.25">
      <c r="A188">
        <v>687</v>
      </c>
      <c r="B188">
        <v>303</v>
      </c>
      <c r="C188">
        <f>1/COUNTIF(B:B,pizza_sales[[#This Row],[order_id]])</f>
        <v>0.5</v>
      </c>
      <c r="D188" t="s">
        <v>28</v>
      </c>
      <c r="E188">
        <v>1</v>
      </c>
      <c r="F188" s="1">
        <v>42125</v>
      </c>
      <c r="G188" s="1" t="str">
        <f>TEXT(pizza_sales[[#This Row],[order_date]],"dddd")</f>
        <v>Friday</v>
      </c>
      <c r="H188" s="2">
        <v>0.83531250000000001</v>
      </c>
      <c r="I188">
        <v>12</v>
      </c>
      <c r="J188">
        <v>12</v>
      </c>
      <c r="K188" t="s">
        <v>60</v>
      </c>
      <c r="L188" t="s">
        <v>13</v>
      </c>
      <c r="M188" t="s">
        <v>29</v>
      </c>
      <c r="N188" t="s">
        <v>30</v>
      </c>
    </row>
    <row r="189" spans="1:14" x14ac:dyDescent="0.25">
      <c r="A189">
        <v>689</v>
      </c>
      <c r="B189">
        <v>303</v>
      </c>
      <c r="C189">
        <f>1/COUNTIF(B:B,pizza_sales[[#This Row],[order_id]])</f>
        <v>0.5</v>
      </c>
      <c r="D189" t="s">
        <v>44</v>
      </c>
      <c r="E189">
        <v>1</v>
      </c>
      <c r="F189" s="1">
        <v>42125</v>
      </c>
      <c r="G189" s="1" t="str">
        <f>TEXT(pizza_sales[[#This Row],[order_date]],"dddd")</f>
        <v>Friday</v>
      </c>
      <c r="H189" s="2">
        <v>0.83531250000000001</v>
      </c>
      <c r="I189">
        <v>9.75</v>
      </c>
      <c r="J189">
        <v>9.75</v>
      </c>
      <c r="K189" t="s">
        <v>60</v>
      </c>
      <c r="L189" t="s">
        <v>13</v>
      </c>
      <c r="M189" t="s">
        <v>26</v>
      </c>
      <c r="N189" t="s">
        <v>27</v>
      </c>
    </row>
    <row r="190" spans="1:14" x14ac:dyDescent="0.25">
      <c r="A190">
        <v>690</v>
      </c>
      <c r="B190">
        <v>304</v>
      </c>
      <c r="C190">
        <f>1/COUNTIF(B:B,pizza_sales[[#This Row],[order_id]])</f>
        <v>0.5</v>
      </c>
      <c r="D190" t="s">
        <v>45</v>
      </c>
      <c r="E190">
        <v>1</v>
      </c>
      <c r="F190" s="1">
        <v>42125</v>
      </c>
      <c r="G190" s="1" t="str">
        <f>TEXT(pizza_sales[[#This Row],[order_date]],"dddd")</f>
        <v>Friday</v>
      </c>
      <c r="H190" s="2">
        <v>0.83886574074074072</v>
      </c>
      <c r="I190">
        <v>10.5</v>
      </c>
      <c r="J190">
        <v>10.5</v>
      </c>
      <c r="K190" t="s">
        <v>60</v>
      </c>
      <c r="L190" t="s">
        <v>13</v>
      </c>
      <c r="M190" t="s">
        <v>14</v>
      </c>
      <c r="N190" t="s">
        <v>15</v>
      </c>
    </row>
    <row r="191" spans="1:14" x14ac:dyDescent="0.25">
      <c r="A191">
        <v>691</v>
      </c>
      <c r="B191">
        <v>304</v>
      </c>
      <c r="C191">
        <f>1/COUNTIF(B:B,pizza_sales[[#This Row],[order_id]])</f>
        <v>0.5</v>
      </c>
      <c r="D191" t="s">
        <v>24</v>
      </c>
      <c r="E191">
        <v>1</v>
      </c>
      <c r="F191" s="1">
        <v>42125</v>
      </c>
      <c r="G191" s="1" t="str">
        <f>TEXT(pizza_sales[[#This Row],[order_date]],"dddd")</f>
        <v>Friday</v>
      </c>
      <c r="H191" s="2">
        <v>0.83886574074074072</v>
      </c>
      <c r="I191">
        <v>20.25</v>
      </c>
      <c r="J191">
        <v>20.25</v>
      </c>
      <c r="K191" t="s">
        <v>58</v>
      </c>
      <c r="L191" t="s">
        <v>17</v>
      </c>
      <c r="M191" t="s">
        <v>18</v>
      </c>
      <c r="N191" t="s">
        <v>19</v>
      </c>
    </row>
    <row r="192" spans="1:14" x14ac:dyDescent="0.25">
      <c r="A192">
        <v>692</v>
      </c>
      <c r="B192">
        <v>305</v>
      </c>
      <c r="C192">
        <f>1/COUNTIF(B:B,pizza_sales[[#This Row],[order_id]])</f>
        <v>0.5</v>
      </c>
      <c r="D192" t="s">
        <v>25</v>
      </c>
      <c r="E192">
        <v>1</v>
      </c>
      <c r="F192" s="1">
        <v>42125</v>
      </c>
      <c r="G192" s="1" t="str">
        <f>TEXT(pizza_sales[[#This Row],[order_date]],"dddd")</f>
        <v>Friday</v>
      </c>
      <c r="H192" s="2">
        <v>0.85810185185185184</v>
      </c>
      <c r="I192">
        <v>15.25</v>
      </c>
      <c r="J192">
        <v>15.25</v>
      </c>
      <c r="K192" t="s">
        <v>58</v>
      </c>
      <c r="L192" t="s">
        <v>13</v>
      </c>
      <c r="M192" t="s">
        <v>26</v>
      </c>
      <c r="N192" t="s">
        <v>27</v>
      </c>
    </row>
    <row r="193" spans="1:14" x14ac:dyDescent="0.25">
      <c r="A193">
        <v>693</v>
      </c>
      <c r="B193">
        <v>305</v>
      </c>
      <c r="C193">
        <f>1/COUNTIF(B:B,pizza_sales[[#This Row],[order_id]])</f>
        <v>0.5</v>
      </c>
      <c r="D193" t="s">
        <v>48</v>
      </c>
      <c r="E193">
        <v>1</v>
      </c>
      <c r="F193" s="1">
        <v>42125</v>
      </c>
      <c r="G193" s="1" t="str">
        <f>TEXT(pizza_sales[[#This Row],[order_date]],"dddd")</f>
        <v>Friday</v>
      </c>
      <c r="H193" s="2">
        <v>0.85810185185185184</v>
      </c>
      <c r="I193">
        <v>12.25</v>
      </c>
      <c r="J193">
        <v>12.25</v>
      </c>
      <c r="K193" t="s">
        <v>60</v>
      </c>
      <c r="L193" t="s">
        <v>35</v>
      </c>
      <c r="M193" t="s">
        <v>40</v>
      </c>
      <c r="N193" t="s">
        <v>41</v>
      </c>
    </row>
    <row r="194" spans="1:14" x14ac:dyDescent="0.25">
      <c r="A194">
        <v>695</v>
      </c>
      <c r="B194">
        <v>306</v>
      </c>
      <c r="C194">
        <f>1/COUNTIF(B:B,pizza_sales[[#This Row],[order_id]])</f>
        <v>0.33333333333333331</v>
      </c>
      <c r="D194" t="s">
        <v>28</v>
      </c>
      <c r="E194">
        <v>1</v>
      </c>
      <c r="F194" s="1">
        <v>42125</v>
      </c>
      <c r="G194" s="1" t="str">
        <f>TEXT(pizza_sales[[#This Row],[order_date]],"dddd")</f>
        <v>Friday</v>
      </c>
      <c r="H194" s="2">
        <v>0.85949074074074072</v>
      </c>
      <c r="I194">
        <v>12</v>
      </c>
      <c r="J194">
        <v>12</v>
      </c>
      <c r="K194" t="s">
        <v>60</v>
      </c>
      <c r="L194" t="s">
        <v>13</v>
      </c>
      <c r="M194" t="s">
        <v>29</v>
      </c>
      <c r="N194" t="s">
        <v>30</v>
      </c>
    </row>
    <row r="195" spans="1:14" x14ac:dyDescent="0.25">
      <c r="A195">
        <v>696</v>
      </c>
      <c r="B195">
        <v>306</v>
      </c>
      <c r="C195">
        <f>1/COUNTIF(B:B,pizza_sales[[#This Row],[order_id]])</f>
        <v>0.33333333333333331</v>
      </c>
      <c r="D195" t="s">
        <v>45</v>
      </c>
      <c r="E195">
        <v>1</v>
      </c>
      <c r="F195" s="1">
        <v>42125</v>
      </c>
      <c r="G195" s="1" t="str">
        <f>TEXT(pizza_sales[[#This Row],[order_date]],"dddd")</f>
        <v>Friday</v>
      </c>
      <c r="H195" s="2">
        <v>0.85949074074074072</v>
      </c>
      <c r="I195">
        <v>10.5</v>
      </c>
      <c r="J195">
        <v>10.5</v>
      </c>
      <c r="K195" t="s">
        <v>60</v>
      </c>
      <c r="L195" t="s">
        <v>13</v>
      </c>
      <c r="M195" t="s">
        <v>14</v>
      </c>
      <c r="N195" t="s">
        <v>15</v>
      </c>
    </row>
    <row r="196" spans="1:14" x14ac:dyDescent="0.25">
      <c r="A196">
        <v>697</v>
      </c>
      <c r="B196">
        <v>306</v>
      </c>
      <c r="C196">
        <f>1/COUNTIF(B:B,pizza_sales[[#This Row],[order_id]])</f>
        <v>0.33333333333333331</v>
      </c>
      <c r="D196" t="s">
        <v>50</v>
      </c>
      <c r="E196">
        <v>1</v>
      </c>
      <c r="F196" s="1">
        <v>42125</v>
      </c>
      <c r="G196" s="1" t="str">
        <f>TEXT(pizza_sales[[#This Row],[order_date]],"dddd")</f>
        <v>Friday</v>
      </c>
      <c r="H196" s="2">
        <v>0.85949074074074072</v>
      </c>
      <c r="I196">
        <v>16</v>
      </c>
      <c r="J196">
        <v>16</v>
      </c>
      <c r="K196" t="s">
        <v>59</v>
      </c>
      <c r="L196" t="s">
        <v>13</v>
      </c>
      <c r="M196" t="s">
        <v>32</v>
      </c>
      <c r="N196" t="s">
        <v>33</v>
      </c>
    </row>
    <row r="197" spans="1:14" x14ac:dyDescent="0.25">
      <c r="A197">
        <v>700</v>
      </c>
      <c r="B197">
        <v>308</v>
      </c>
      <c r="C197">
        <f>1/COUNTIF(B:B,pizza_sales[[#This Row],[order_id]])</f>
        <v>1</v>
      </c>
      <c r="D197" t="s">
        <v>47</v>
      </c>
      <c r="E197">
        <v>1</v>
      </c>
      <c r="F197" s="1">
        <v>42125</v>
      </c>
      <c r="G197" s="1" t="str">
        <f>TEXT(pizza_sales[[#This Row],[order_date]],"dddd")</f>
        <v>Friday</v>
      </c>
      <c r="H197" s="2">
        <v>0.91650462962962964</v>
      </c>
      <c r="I197">
        <v>16.5</v>
      </c>
      <c r="J197">
        <v>16.5</v>
      </c>
      <c r="K197" t="s">
        <v>58</v>
      </c>
      <c r="L197" t="s">
        <v>13</v>
      </c>
      <c r="M197" t="s">
        <v>14</v>
      </c>
      <c r="N197" t="s">
        <v>15</v>
      </c>
    </row>
    <row r="198" spans="1:14" x14ac:dyDescent="0.25">
      <c r="A198">
        <v>705</v>
      </c>
      <c r="B198">
        <v>310</v>
      </c>
      <c r="C198">
        <f>1/COUNTIF(B:B,pizza_sales[[#This Row],[order_id]])</f>
        <v>1</v>
      </c>
      <c r="D198" t="s">
        <v>45</v>
      </c>
      <c r="E198">
        <v>1</v>
      </c>
      <c r="F198" s="1">
        <v>42156</v>
      </c>
      <c r="G198" s="1" t="str">
        <f>TEXT(pizza_sales[[#This Row],[order_date]],"dddd")</f>
        <v>Monday</v>
      </c>
      <c r="H198" s="2">
        <v>0.48666666666666669</v>
      </c>
      <c r="I198">
        <v>10.5</v>
      </c>
      <c r="J198">
        <v>10.5</v>
      </c>
      <c r="K198" t="s">
        <v>60</v>
      </c>
      <c r="L198" t="s">
        <v>13</v>
      </c>
      <c r="M198" t="s">
        <v>14</v>
      </c>
      <c r="N198" t="s">
        <v>15</v>
      </c>
    </row>
    <row r="199" spans="1:14" x14ac:dyDescent="0.25">
      <c r="A199">
        <v>707</v>
      </c>
      <c r="B199">
        <v>311</v>
      </c>
      <c r="C199">
        <f>1/COUNTIF(B:B,pizza_sales[[#This Row],[order_id]])</f>
        <v>1</v>
      </c>
      <c r="D199" t="s">
        <v>39</v>
      </c>
      <c r="E199">
        <v>1</v>
      </c>
      <c r="F199" s="1">
        <v>42156</v>
      </c>
      <c r="G199" s="1" t="str">
        <f>TEXT(pizza_sales[[#This Row],[order_date]],"dddd")</f>
        <v>Monday</v>
      </c>
      <c r="H199" s="2">
        <v>0.49822916666666667</v>
      </c>
      <c r="I199">
        <v>20.25</v>
      </c>
      <c r="J199">
        <v>20.25</v>
      </c>
      <c r="K199" t="s">
        <v>58</v>
      </c>
      <c r="L199" t="s">
        <v>35</v>
      </c>
      <c r="M199" t="s">
        <v>40</v>
      </c>
      <c r="N199" t="s">
        <v>41</v>
      </c>
    </row>
    <row r="200" spans="1:14" x14ac:dyDescent="0.25">
      <c r="A200">
        <v>708</v>
      </c>
      <c r="B200">
        <v>312</v>
      </c>
      <c r="C200">
        <f>1/COUNTIF(B:B,pizza_sales[[#This Row],[order_id]])</f>
        <v>0.33333333333333331</v>
      </c>
      <c r="D200" t="s">
        <v>28</v>
      </c>
      <c r="E200">
        <v>1</v>
      </c>
      <c r="F200" s="1">
        <v>42156</v>
      </c>
      <c r="G200" s="1" t="str">
        <f>TEXT(pizza_sales[[#This Row],[order_date]],"dddd")</f>
        <v>Monday</v>
      </c>
      <c r="H200" s="2">
        <v>0.5037152777777778</v>
      </c>
      <c r="I200">
        <v>12</v>
      </c>
      <c r="J200">
        <v>12</v>
      </c>
      <c r="K200" t="s">
        <v>60</v>
      </c>
      <c r="L200" t="s">
        <v>13</v>
      </c>
      <c r="M200" t="s">
        <v>29</v>
      </c>
      <c r="N200" t="s">
        <v>30</v>
      </c>
    </row>
    <row r="201" spans="1:14" x14ac:dyDescent="0.25">
      <c r="A201">
        <v>709</v>
      </c>
      <c r="B201">
        <v>312</v>
      </c>
      <c r="C201">
        <f>1/COUNTIF(B:B,pizza_sales[[#This Row],[order_id]])</f>
        <v>0.33333333333333331</v>
      </c>
      <c r="D201" t="s">
        <v>51</v>
      </c>
      <c r="E201">
        <v>1</v>
      </c>
      <c r="F201" s="1">
        <v>42156</v>
      </c>
      <c r="G201" s="1" t="str">
        <f>TEXT(pizza_sales[[#This Row],[order_date]],"dddd")</f>
        <v>Monday</v>
      </c>
      <c r="H201" s="2">
        <v>0.5037152777777778</v>
      </c>
      <c r="I201">
        <v>23.65</v>
      </c>
      <c r="J201">
        <v>23.65</v>
      </c>
      <c r="K201" t="s">
        <v>60</v>
      </c>
      <c r="L201" t="s">
        <v>35</v>
      </c>
      <c r="M201" t="s">
        <v>52</v>
      </c>
      <c r="N201" t="s">
        <v>53</v>
      </c>
    </row>
    <row r="202" spans="1:14" x14ac:dyDescent="0.25">
      <c r="A202">
        <v>711</v>
      </c>
      <c r="B202">
        <v>312</v>
      </c>
      <c r="C202">
        <f>1/COUNTIF(B:B,pizza_sales[[#This Row],[order_id]])</f>
        <v>0.33333333333333331</v>
      </c>
      <c r="D202" t="s">
        <v>43</v>
      </c>
      <c r="E202">
        <v>1</v>
      </c>
      <c r="F202" s="1">
        <v>42156</v>
      </c>
      <c r="G202" s="1" t="str">
        <f>TEXT(pizza_sales[[#This Row],[order_date]],"dddd")</f>
        <v>Monday</v>
      </c>
      <c r="H202" s="2">
        <v>0.5037152777777778</v>
      </c>
      <c r="I202">
        <v>16.25</v>
      </c>
      <c r="J202">
        <v>16.25</v>
      </c>
      <c r="K202" t="s">
        <v>59</v>
      </c>
      <c r="L202" t="s">
        <v>35</v>
      </c>
      <c r="M202" t="s">
        <v>40</v>
      </c>
      <c r="N202" t="s">
        <v>41</v>
      </c>
    </row>
    <row r="203" spans="1:14" x14ac:dyDescent="0.25">
      <c r="A203">
        <v>713</v>
      </c>
      <c r="B203">
        <v>314</v>
      </c>
      <c r="C203">
        <f>1/COUNTIF(B:B,pizza_sales[[#This Row],[order_id]])</f>
        <v>0.5</v>
      </c>
      <c r="D203" t="s">
        <v>34</v>
      </c>
      <c r="E203">
        <v>1</v>
      </c>
      <c r="F203" s="1">
        <v>42156</v>
      </c>
      <c r="G203" s="1" t="str">
        <f>TEXT(pizza_sales[[#This Row],[order_date]],"dddd")</f>
        <v>Monday</v>
      </c>
      <c r="H203" s="2">
        <v>0.50831018518518523</v>
      </c>
      <c r="I203">
        <v>16.25</v>
      </c>
      <c r="J203">
        <v>16.25</v>
      </c>
      <c r="K203" t="s">
        <v>59</v>
      </c>
      <c r="L203" t="s">
        <v>35</v>
      </c>
      <c r="M203" t="s">
        <v>36</v>
      </c>
      <c r="N203" t="s">
        <v>37</v>
      </c>
    </row>
    <row r="204" spans="1:14" x14ac:dyDescent="0.25">
      <c r="A204">
        <v>716</v>
      </c>
      <c r="B204">
        <v>314</v>
      </c>
      <c r="C204">
        <f>1/COUNTIF(B:B,pizza_sales[[#This Row],[order_id]])</f>
        <v>0.5</v>
      </c>
      <c r="D204" t="s">
        <v>12</v>
      </c>
      <c r="E204">
        <v>1</v>
      </c>
      <c r="F204" s="1">
        <v>42156</v>
      </c>
      <c r="G204" s="1" t="str">
        <f>TEXT(pizza_sales[[#This Row],[order_date]],"dddd")</f>
        <v>Monday</v>
      </c>
      <c r="H204" s="2">
        <v>0.50831018518518523</v>
      </c>
      <c r="I204">
        <v>13.25</v>
      </c>
      <c r="J204">
        <v>13.25</v>
      </c>
      <c r="K204" t="s">
        <v>59</v>
      </c>
      <c r="L204" t="s">
        <v>13</v>
      </c>
      <c r="M204" t="s">
        <v>14</v>
      </c>
      <c r="N204" t="s">
        <v>15</v>
      </c>
    </row>
    <row r="205" spans="1:14" x14ac:dyDescent="0.25">
      <c r="A205">
        <v>719</v>
      </c>
      <c r="B205">
        <v>316</v>
      </c>
      <c r="C205">
        <f>1/COUNTIF(B:B,pizza_sales[[#This Row],[order_id]])</f>
        <v>1</v>
      </c>
      <c r="D205" t="s">
        <v>45</v>
      </c>
      <c r="E205">
        <v>1</v>
      </c>
      <c r="F205" s="1">
        <v>42156</v>
      </c>
      <c r="G205" s="1" t="str">
        <f>TEXT(pizza_sales[[#This Row],[order_date]],"dddd")</f>
        <v>Monday</v>
      </c>
      <c r="H205" s="2">
        <v>0.52053240740740736</v>
      </c>
      <c r="I205">
        <v>10.5</v>
      </c>
      <c r="J205">
        <v>10.5</v>
      </c>
      <c r="K205" t="s">
        <v>60</v>
      </c>
      <c r="L205" t="s">
        <v>13</v>
      </c>
      <c r="M205" t="s">
        <v>14</v>
      </c>
      <c r="N205" t="s">
        <v>15</v>
      </c>
    </row>
    <row r="206" spans="1:14" x14ac:dyDescent="0.25">
      <c r="A206">
        <v>724</v>
      </c>
      <c r="B206">
        <v>317</v>
      </c>
      <c r="C206">
        <f>1/COUNTIF(B:B,pizza_sales[[#This Row],[order_id]])</f>
        <v>1</v>
      </c>
      <c r="D206" t="s">
        <v>45</v>
      </c>
      <c r="E206">
        <v>1</v>
      </c>
      <c r="F206" s="1">
        <v>42156</v>
      </c>
      <c r="G206" s="1" t="str">
        <f>TEXT(pizza_sales[[#This Row],[order_date]],"dddd")</f>
        <v>Monday</v>
      </c>
      <c r="H206" s="2">
        <v>0.52152777777777781</v>
      </c>
      <c r="I206">
        <v>10.5</v>
      </c>
      <c r="J206">
        <v>10.5</v>
      </c>
      <c r="K206" t="s">
        <v>60</v>
      </c>
      <c r="L206" t="s">
        <v>13</v>
      </c>
      <c r="M206" t="s">
        <v>14</v>
      </c>
      <c r="N206" t="s">
        <v>15</v>
      </c>
    </row>
    <row r="207" spans="1:14" x14ac:dyDescent="0.25">
      <c r="A207">
        <v>729</v>
      </c>
      <c r="B207">
        <v>318</v>
      </c>
      <c r="C207">
        <f>1/COUNTIF(B:B,pizza_sales[[#This Row],[order_id]])</f>
        <v>1</v>
      </c>
      <c r="D207" t="s">
        <v>24</v>
      </c>
      <c r="E207">
        <v>1</v>
      </c>
      <c r="F207" s="1">
        <v>42156</v>
      </c>
      <c r="G207" s="1" t="str">
        <f>TEXT(pizza_sales[[#This Row],[order_date]],"dddd")</f>
        <v>Monday</v>
      </c>
      <c r="H207" s="2">
        <v>0.53141203703703699</v>
      </c>
      <c r="I207">
        <v>20.25</v>
      </c>
      <c r="J207">
        <v>20.25</v>
      </c>
      <c r="K207" t="s">
        <v>58</v>
      </c>
      <c r="L207" t="s">
        <v>17</v>
      </c>
      <c r="M207" t="s">
        <v>18</v>
      </c>
      <c r="N207" t="s">
        <v>19</v>
      </c>
    </row>
    <row r="208" spans="1:14" x14ac:dyDescent="0.25">
      <c r="A208">
        <v>750</v>
      </c>
      <c r="B208">
        <v>330</v>
      </c>
      <c r="C208">
        <f>1/COUNTIF(B:B,pizza_sales[[#This Row],[order_id]])</f>
        <v>0.25</v>
      </c>
      <c r="D208" t="s">
        <v>28</v>
      </c>
      <c r="E208">
        <v>1</v>
      </c>
      <c r="F208" s="1">
        <v>42156</v>
      </c>
      <c r="G208" s="1" t="str">
        <f>TEXT(pizza_sales[[#This Row],[order_date]],"dddd")</f>
        <v>Monday</v>
      </c>
      <c r="H208" s="2">
        <v>0.56054398148148143</v>
      </c>
      <c r="I208">
        <v>12</v>
      </c>
      <c r="J208">
        <v>12</v>
      </c>
      <c r="K208" t="s">
        <v>60</v>
      </c>
      <c r="L208" t="s">
        <v>13</v>
      </c>
      <c r="M208" t="s">
        <v>29</v>
      </c>
      <c r="N208" t="s">
        <v>30</v>
      </c>
    </row>
    <row r="209" spans="1:14" x14ac:dyDescent="0.25">
      <c r="A209">
        <v>756</v>
      </c>
      <c r="B209">
        <v>330</v>
      </c>
      <c r="C209">
        <f>1/COUNTIF(B:B,pizza_sales[[#This Row],[order_id]])</f>
        <v>0.25</v>
      </c>
      <c r="D209" t="s">
        <v>47</v>
      </c>
      <c r="E209">
        <v>1</v>
      </c>
      <c r="F209" s="1">
        <v>42156</v>
      </c>
      <c r="G209" s="1" t="str">
        <f>TEXT(pizza_sales[[#This Row],[order_date]],"dddd")</f>
        <v>Monday</v>
      </c>
      <c r="H209" s="2">
        <v>0.56054398148148143</v>
      </c>
      <c r="I209">
        <v>16.5</v>
      </c>
      <c r="J209">
        <v>16.5</v>
      </c>
      <c r="K209" t="s">
        <v>58</v>
      </c>
      <c r="L209" t="s">
        <v>13</v>
      </c>
      <c r="M209" t="s">
        <v>14</v>
      </c>
      <c r="N209" t="s">
        <v>15</v>
      </c>
    </row>
    <row r="210" spans="1:14" x14ac:dyDescent="0.25">
      <c r="A210">
        <v>759</v>
      </c>
      <c r="B210">
        <v>330</v>
      </c>
      <c r="C210">
        <f>1/COUNTIF(B:B,pizza_sales[[#This Row],[order_id]])</f>
        <v>0.25</v>
      </c>
      <c r="D210" t="s">
        <v>39</v>
      </c>
      <c r="E210">
        <v>1</v>
      </c>
      <c r="F210" s="1">
        <v>42156</v>
      </c>
      <c r="G210" s="1" t="str">
        <f>TEXT(pizza_sales[[#This Row],[order_date]],"dddd")</f>
        <v>Monday</v>
      </c>
      <c r="H210" s="2">
        <v>0.56054398148148143</v>
      </c>
      <c r="I210">
        <v>20.25</v>
      </c>
      <c r="J210">
        <v>20.25</v>
      </c>
      <c r="K210" t="s">
        <v>58</v>
      </c>
      <c r="L210" t="s">
        <v>35</v>
      </c>
      <c r="M210" t="s">
        <v>40</v>
      </c>
      <c r="N210" t="s">
        <v>41</v>
      </c>
    </row>
    <row r="211" spans="1:14" x14ac:dyDescent="0.25">
      <c r="A211">
        <v>763</v>
      </c>
      <c r="B211">
        <v>330</v>
      </c>
      <c r="C211">
        <f>1/COUNTIF(B:B,pizza_sales[[#This Row],[order_id]])</f>
        <v>0.25</v>
      </c>
      <c r="D211" t="s">
        <v>49</v>
      </c>
      <c r="E211">
        <v>1</v>
      </c>
      <c r="F211" s="1">
        <v>42156</v>
      </c>
      <c r="G211" s="1" t="str">
        <f>TEXT(pizza_sales[[#This Row],[order_date]],"dddd")</f>
        <v>Monday</v>
      </c>
      <c r="H211" s="2">
        <v>0.56054398148148143</v>
      </c>
      <c r="I211">
        <v>16</v>
      </c>
      <c r="J211">
        <v>16</v>
      </c>
      <c r="K211" t="s">
        <v>59</v>
      </c>
      <c r="L211" t="s">
        <v>13</v>
      </c>
      <c r="M211" t="s">
        <v>21</v>
      </c>
      <c r="N211" t="s">
        <v>22</v>
      </c>
    </row>
    <row r="212" spans="1:14" x14ac:dyDescent="0.25">
      <c r="A212">
        <v>765</v>
      </c>
      <c r="B212">
        <v>332</v>
      </c>
      <c r="C212">
        <f>1/COUNTIF(B:B,pizza_sales[[#This Row],[order_id]])</f>
        <v>1</v>
      </c>
      <c r="D212" t="s">
        <v>43</v>
      </c>
      <c r="E212">
        <v>1</v>
      </c>
      <c r="F212" s="1">
        <v>42156</v>
      </c>
      <c r="G212" s="1" t="str">
        <f>TEXT(pizza_sales[[#This Row],[order_date]],"dddd")</f>
        <v>Monday</v>
      </c>
      <c r="H212" s="2">
        <v>0.59167824074074071</v>
      </c>
      <c r="I212">
        <v>16.25</v>
      </c>
      <c r="J212">
        <v>16.25</v>
      </c>
      <c r="K212" t="s">
        <v>59</v>
      </c>
      <c r="L212" t="s">
        <v>35</v>
      </c>
      <c r="M212" t="s">
        <v>40</v>
      </c>
      <c r="N212" t="s">
        <v>41</v>
      </c>
    </row>
    <row r="213" spans="1:14" x14ac:dyDescent="0.25">
      <c r="A213">
        <v>769</v>
      </c>
      <c r="B213">
        <v>334</v>
      </c>
      <c r="C213">
        <f>1/COUNTIF(B:B,pizza_sales[[#This Row],[order_id]])</f>
        <v>0.5</v>
      </c>
      <c r="D213" t="s">
        <v>56</v>
      </c>
      <c r="E213">
        <v>1</v>
      </c>
      <c r="F213" s="1">
        <v>42156</v>
      </c>
      <c r="G213" s="1" t="str">
        <f>TEXT(pizza_sales[[#This Row],[order_date]],"dddd")</f>
        <v>Monday</v>
      </c>
      <c r="H213" s="2">
        <v>0.60020833333333334</v>
      </c>
      <c r="I213">
        <v>20.25</v>
      </c>
      <c r="J213">
        <v>20.25</v>
      </c>
      <c r="K213" t="s">
        <v>58</v>
      </c>
      <c r="L213" t="s">
        <v>35</v>
      </c>
      <c r="M213" t="s">
        <v>36</v>
      </c>
      <c r="N213" t="s">
        <v>37</v>
      </c>
    </row>
    <row r="214" spans="1:14" x14ac:dyDescent="0.25">
      <c r="A214">
        <v>770</v>
      </c>
      <c r="B214">
        <v>334</v>
      </c>
      <c r="C214">
        <f>1/COUNTIF(B:B,pizza_sales[[#This Row],[order_id]])</f>
        <v>0.5</v>
      </c>
      <c r="D214" t="s">
        <v>42</v>
      </c>
      <c r="E214">
        <v>1</v>
      </c>
      <c r="F214" s="1">
        <v>42156</v>
      </c>
      <c r="G214" s="1" t="str">
        <f>TEXT(pizza_sales[[#This Row],[order_date]],"dddd")</f>
        <v>Monday</v>
      </c>
      <c r="H214" s="2">
        <v>0.60020833333333334</v>
      </c>
      <c r="I214">
        <v>12.5</v>
      </c>
      <c r="J214">
        <v>12.5</v>
      </c>
      <c r="K214" t="s">
        <v>59</v>
      </c>
      <c r="L214" t="s">
        <v>13</v>
      </c>
      <c r="M214" t="s">
        <v>26</v>
      </c>
      <c r="N214" t="s">
        <v>27</v>
      </c>
    </row>
    <row r="215" spans="1:14" x14ac:dyDescent="0.25">
      <c r="A215">
        <v>775</v>
      </c>
      <c r="B215">
        <v>337</v>
      </c>
      <c r="C215">
        <f>1/COUNTIF(B:B,pizza_sales[[#This Row],[order_id]])</f>
        <v>0.5</v>
      </c>
      <c r="D215" t="s">
        <v>47</v>
      </c>
      <c r="E215">
        <v>1</v>
      </c>
      <c r="F215" s="1">
        <v>42156</v>
      </c>
      <c r="G215" s="1" t="str">
        <f>TEXT(pizza_sales[[#This Row],[order_date]],"dddd")</f>
        <v>Monday</v>
      </c>
      <c r="H215" s="2">
        <v>0.62722222222222224</v>
      </c>
      <c r="I215">
        <v>16.5</v>
      </c>
      <c r="J215">
        <v>16.5</v>
      </c>
      <c r="K215" t="s">
        <v>58</v>
      </c>
      <c r="L215" t="s">
        <v>13</v>
      </c>
      <c r="M215" t="s">
        <v>14</v>
      </c>
      <c r="N215" t="s">
        <v>15</v>
      </c>
    </row>
    <row r="216" spans="1:14" x14ac:dyDescent="0.25">
      <c r="A216">
        <v>776</v>
      </c>
      <c r="B216">
        <v>337</v>
      </c>
      <c r="C216">
        <f>1/COUNTIF(B:B,pizza_sales[[#This Row],[order_id]])</f>
        <v>0.5</v>
      </c>
      <c r="D216" t="s">
        <v>25</v>
      </c>
      <c r="E216">
        <v>1</v>
      </c>
      <c r="F216" s="1">
        <v>42156</v>
      </c>
      <c r="G216" s="1" t="str">
        <f>TEXT(pizza_sales[[#This Row],[order_date]],"dddd")</f>
        <v>Monday</v>
      </c>
      <c r="H216" s="2">
        <v>0.62722222222222224</v>
      </c>
      <c r="I216">
        <v>15.25</v>
      </c>
      <c r="J216">
        <v>15.25</v>
      </c>
      <c r="K216" t="s">
        <v>58</v>
      </c>
      <c r="L216" t="s">
        <v>13</v>
      </c>
      <c r="M216" t="s">
        <v>26</v>
      </c>
      <c r="N216" t="s">
        <v>27</v>
      </c>
    </row>
    <row r="217" spans="1:14" x14ac:dyDescent="0.25">
      <c r="A217">
        <v>777</v>
      </c>
      <c r="B217">
        <v>338</v>
      </c>
      <c r="C217">
        <f>1/COUNTIF(B:B,pizza_sales[[#This Row],[order_id]])</f>
        <v>0.5</v>
      </c>
      <c r="D217" t="s">
        <v>24</v>
      </c>
      <c r="E217">
        <v>1</v>
      </c>
      <c r="F217" s="1">
        <v>42156</v>
      </c>
      <c r="G217" s="1" t="str">
        <f>TEXT(pizza_sales[[#This Row],[order_date]],"dddd")</f>
        <v>Monday</v>
      </c>
      <c r="H217" s="2">
        <v>0.63780092592592597</v>
      </c>
      <c r="I217">
        <v>20.25</v>
      </c>
      <c r="J217">
        <v>20.25</v>
      </c>
      <c r="K217" t="s">
        <v>58</v>
      </c>
      <c r="L217" t="s">
        <v>17</v>
      </c>
      <c r="M217" t="s">
        <v>18</v>
      </c>
      <c r="N217" t="s">
        <v>19</v>
      </c>
    </row>
    <row r="218" spans="1:14" x14ac:dyDescent="0.25">
      <c r="A218">
        <v>779</v>
      </c>
      <c r="B218">
        <v>338</v>
      </c>
      <c r="C218">
        <f>1/COUNTIF(B:B,pizza_sales[[#This Row],[order_id]])</f>
        <v>0.5</v>
      </c>
      <c r="D218" t="s">
        <v>46</v>
      </c>
      <c r="E218">
        <v>1</v>
      </c>
      <c r="F218" s="1">
        <v>42156</v>
      </c>
      <c r="G218" s="1" t="str">
        <f>TEXT(pizza_sales[[#This Row],[order_date]],"dddd")</f>
        <v>Monday</v>
      </c>
      <c r="H218" s="2">
        <v>0.63780092592592597</v>
      </c>
      <c r="I218">
        <v>25.5</v>
      </c>
      <c r="J218">
        <v>25.5</v>
      </c>
      <c r="K218" t="s">
        <v>61</v>
      </c>
      <c r="L218" t="s">
        <v>13</v>
      </c>
      <c r="M218" t="s">
        <v>21</v>
      </c>
      <c r="N218" t="s">
        <v>22</v>
      </c>
    </row>
    <row r="219" spans="1:14" x14ac:dyDescent="0.25">
      <c r="A219">
        <v>783</v>
      </c>
      <c r="B219">
        <v>341</v>
      </c>
      <c r="C219">
        <f>1/COUNTIF(B:B,pizza_sales[[#This Row],[order_id]])</f>
        <v>1</v>
      </c>
      <c r="D219" t="s">
        <v>44</v>
      </c>
      <c r="E219">
        <v>1</v>
      </c>
      <c r="F219" s="1">
        <v>42156</v>
      </c>
      <c r="G219" s="1" t="str">
        <f>TEXT(pizza_sales[[#This Row],[order_date]],"dddd")</f>
        <v>Monday</v>
      </c>
      <c r="H219" s="2">
        <v>0.64984953703703707</v>
      </c>
      <c r="I219">
        <v>9.75</v>
      </c>
      <c r="J219">
        <v>9.75</v>
      </c>
      <c r="K219" t="s">
        <v>60</v>
      </c>
      <c r="L219" t="s">
        <v>13</v>
      </c>
      <c r="M219" t="s">
        <v>26</v>
      </c>
      <c r="N219" t="s">
        <v>27</v>
      </c>
    </row>
    <row r="220" spans="1:14" x14ac:dyDescent="0.25">
      <c r="A220">
        <v>784</v>
      </c>
      <c r="B220">
        <v>342</v>
      </c>
      <c r="C220">
        <f>1/COUNTIF(B:B,pizza_sales[[#This Row],[order_id]])</f>
        <v>1</v>
      </c>
      <c r="D220" t="s">
        <v>39</v>
      </c>
      <c r="E220">
        <v>1</v>
      </c>
      <c r="F220" s="1">
        <v>42156</v>
      </c>
      <c r="G220" s="1" t="str">
        <f>TEXT(pizza_sales[[#This Row],[order_date]],"dddd")</f>
        <v>Monday</v>
      </c>
      <c r="H220" s="2">
        <v>0.65569444444444447</v>
      </c>
      <c r="I220">
        <v>20.25</v>
      </c>
      <c r="J220">
        <v>20.25</v>
      </c>
      <c r="K220" t="s">
        <v>58</v>
      </c>
      <c r="L220" t="s">
        <v>35</v>
      </c>
      <c r="M220" t="s">
        <v>40</v>
      </c>
      <c r="N220" t="s">
        <v>41</v>
      </c>
    </row>
    <row r="221" spans="1:14" x14ac:dyDescent="0.25">
      <c r="A221">
        <v>792</v>
      </c>
      <c r="B221">
        <v>346</v>
      </c>
      <c r="C221">
        <f>1/COUNTIF(B:B,pizza_sales[[#This Row],[order_id]])</f>
        <v>0.5</v>
      </c>
      <c r="D221" t="s">
        <v>45</v>
      </c>
      <c r="E221">
        <v>1</v>
      </c>
      <c r="F221" s="1">
        <v>42156</v>
      </c>
      <c r="G221" s="1" t="str">
        <f>TEXT(pizza_sales[[#This Row],[order_date]],"dddd")</f>
        <v>Monday</v>
      </c>
      <c r="H221" s="2">
        <v>0.6875</v>
      </c>
      <c r="I221">
        <v>10.5</v>
      </c>
      <c r="J221">
        <v>10.5</v>
      </c>
      <c r="K221" t="s">
        <v>60</v>
      </c>
      <c r="L221" t="s">
        <v>13</v>
      </c>
      <c r="M221" t="s">
        <v>14</v>
      </c>
      <c r="N221" t="s">
        <v>15</v>
      </c>
    </row>
    <row r="222" spans="1:14" x14ac:dyDescent="0.25">
      <c r="A222">
        <v>794</v>
      </c>
      <c r="B222">
        <v>346</v>
      </c>
      <c r="C222">
        <f>1/COUNTIF(B:B,pizza_sales[[#This Row],[order_id]])</f>
        <v>0.5</v>
      </c>
      <c r="D222" t="s">
        <v>31</v>
      </c>
      <c r="E222">
        <v>1</v>
      </c>
      <c r="F222" s="1">
        <v>42156</v>
      </c>
      <c r="G222" s="1" t="str">
        <f>TEXT(pizza_sales[[#This Row],[order_date]],"dddd")</f>
        <v>Monday</v>
      </c>
      <c r="H222" s="2">
        <v>0.6875</v>
      </c>
      <c r="I222">
        <v>12</v>
      </c>
      <c r="J222">
        <v>12</v>
      </c>
      <c r="K222" t="s">
        <v>60</v>
      </c>
      <c r="L222" t="s">
        <v>13</v>
      </c>
      <c r="M222" t="s">
        <v>32</v>
      </c>
      <c r="N222" t="s">
        <v>33</v>
      </c>
    </row>
    <row r="223" spans="1:14" x14ac:dyDescent="0.25">
      <c r="A223">
        <v>801</v>
      </c>
      <c r="B223">
        <v>349</v>
      </c>
      <c r="C223">
        <f>1/COUNTIF(B:B,pizza_sales[[#This Row],[order_id]])</f>
        <v>1</v>
      </c>
      <c r="D223" t="s">
        <v>25</v>
      </c>
      <c r="E223">
        <v>1</v>
      </c>
      <c r="F223" s="1">
        <v>42156</v>
      </c>
      <c r="G223" s="1" t="str">
        <f>TEXT(pizza_sales[[#This Row],[order_date]],"dddd")</f>
        <v>Monday</v>
      </c>
      <c r="H223" s="2">
        <v>0.72636574074074078</v>
      </c>
      <c r="I223">
        <v>15.25</v>
      </c>
      <c r="J223">
        <v>15.25</v>
      </c>
      <c r="K223" t="s">
        <v>58</v>
      </c>
      <c r="L223" t="s">
        <v>13</v>
      </c>
      <c r="M223" t="s">
        <v>26</v>
      </c>
      <c r="N223" t="s">
        <v>27</v>
      </c>
    </row>
    <row r="224" spans="1:14" x14ac:dyDescent="0.25">
      <c r="A224">
        <v>803</v>
      </c>
      <c r="B224">
        <v>350</v>
      </c>
      <c r="C224">
        <f>1/COUNTIF(B:B,pizza_sales[[#This Row],[order_id]])</f>
        <v>1</v>
      </c>
      <c r="D224" t="s">
        <v>42</v>
      </c>
      <c r="E224">
        <v>2</v>
      </c>
      <c r="F224" s="1">
        <v>42156</v>
      </c>
      <c r="G224" s="1" t="str">
        <f>TEXT(pizza_sales[[#This Row],[order_date]],"dddd")</f>
        <v>Monday</v>
      </c>
      <c r="H224" s="2">
        <v>0.73408564814814814</v>
      </c>
      <c r="I224">
        <v>12.5</v>
      </c>
      <c r="J224">
        <v>25</v>
      </c>
      <c r="K224" t="s">
        <v>59</v>
      </c>
      <c r="L224" t="s">
        <v>13</v>
      </c>
      <c r="M224" t="s">
        <v>26</v>
      </c>
      <c r="N224" t="s">
        <v>27</v>
      </c>
    </row>
    <row r="225" spans="1:14" x14ac:dyDescent="0.25">
      <c r="A225">
        <v>805</v>
      </c>
      <c r="B225">
        <v>351</v>
      </c>
      <c r="C225">
        <f>1/COUNTIF(B:B,pizza_sales[[#This Row],[order_id]])</f>
        <v>0.5</v>
      </c>
      <c r="D225" t="s">
        <v>28</v>
      </c>
      <c r="E225">
        <v>1</v>
      </c>
      <c r="F225" s="1">
        <v>42156</v>
      </c>
      <c r="G225" s="1" t="str">
        <f>TEXT(pizza_sales[[#This Row],[order_date]],"dddd")</f>
        <v>Monday</v>
      </c>
      <c r="H225" s="2">
        <v>0.73436342592592596</v>
      </c>
      <c r="I225">
        <v>12</v>
      </c>
      <c r="J225">
        <v>12</v>
      </c>
      <c r="K225" t="s">
        <v>60</v>
      </c>
      <c r="L225" t="s">
        <v>13</v>
      </c>
      <c r="M225" t="s">
        <v>29</v>
      </c>
      <c r="N225" t="s">
        <v>30</v>
      </c>
    </row>
    <row r="226" spans="1:14" x14ac:dyDescent="0.25">
      <c r="A226">
        <v>806</v>
      </c>
      <c r="B226">
        <v>351</v>
      </c>
      <c r="C226">
        <f>1/COUNTIF(B:B,pizza_sales[[#This Row],[order_id]])</f>
        <v>0.5</v>
      </c>
      <c r="D226" t="s">
        <v>12</v>
      </c>
      <c r="E226">
        <v>1</v>
      </c>
      <c r="F226" s="1">
        <v>42156</v>
      </c>
      <c r="G226" s="1" t="str">
        <f>TEXT(pizza_sales[[#This Row],[order_date]],"dddd")</f>
        <v>Monday</v>
      </c>
      <c r="H226" s="2">
        <v>0.73436342592592596</v>
      </c>
      <c r="I226">
        <v>13.25</v>
      </c>
      <c r="J226">
        <v>13.25</v>
      </c>
      <c r="K226" t="s">
        <v>59</v>
      </c>
      <c r="L226" t="s">
        <v>13</v>
      </c>
      <c r="M226" t="s">
        <v>14</v>
      </c>
      <c r="N226" t="s">
        <v>15</v>
      </c>
    </row>
    <row r="227" spans="1:14" x14ac:dyDescent="0.25">
      <c r="A227">
        <v>807</v>
      </c>
      <c r="B227">
        <v>352</v>
      </c>
      <c r="C227">
        <f>1/COUNTIF(B:B,pizza_sales[[#This Row],[order_id]])</f>
        <v>1</v>
      </c>
      <c r="D227" t="s">
        <v>28</v>
      </c>
      <c r="E227">
        <v>1</v>
      </c>
      <c r="F227" s="1">
        <v>42156</v>
      </c>
      <c r="G227" s="1" t="str">
        <f>TEXT(pizza_sales[[#This Row],[order_date]],"dddd")</f>
        <v>Monday</v>
      </c>
      <c r="H227" s="2">
        <v>0.7401388888888889</v>
      </c>
      <c r="I227">
        <v>12</v>
      </c>
      <c r="J227">
        <v>12</v>
      </c>
      <c r="K227" t="s">
        <v>60</v>
      </c>
      <c r="L227" t="s">
        <v>13</v>
      </c>
      <c r="M227" t="s">
        <v>29</v>
      </c>
      <c r="N227" t="s">
        <v>30</v>
      </c>
    </row>
    <row r="228" spans="1:14" x14ac:dyDescent="0.25">
      <c r="A228">
        <v>825</v>
      </c>
      <c r="B228">
        <v>360</v>
      </c>
      <c r="C228">
        <f>1/COUNTIF(B:B,pizza_sales[[#This Row],[order_id]])</f>
        <v>1</v>
      </c>
      <c r="D228" t="s">
        <v>45</v>
      </c>
      <c r="E228">
        <v>1</v>
      </c>
      <c r="F228" s="1">
        <v>42156</v>
      </c>
      <c r="G228" s="1" t="str">
        <f>TEXT(pizza_sales[[#This Row],[order_date]],"dddd")</f>
        <v>Monday</v>
      </c>
      <c r="H228" s="2">
        <v>0.78516203703703702</v>
      </c>
      <c r="I228">
        <v>10.5</v>
      </c>
      <c r="J228">
        <v>10.5</v>
      </c>
      <c r="K228" t="s">
        <v>60</v>
      </c>
      <c r="L228" t="s">
        <v>13</v>
      </c>
      <c r="M228" t="s">
        <v>14</v>
      </c>
      <c r="N228" t="s">
        <v>15</v>
      </c>
    </row>
    <row r="229" spans="1:14" x14ac:dyDescent="0.25">
      <c r="A229">
        <v>826</v>
      </c>
      <c r="B229">
        <v>361</v>
      </c>
      <c r="C229">
        <f>1/COUNTIF(B:B,pizza_sales[[#This Row],[order_id]])</f>
        <v>1</v>
      </c>
      <c r="D229" t="s">
        <v>28</v>
      </c>
      <c r="E229">
        <v>2</v>
      </c>
      <c r="F229" s="1">
        <v>42156</v>
      </c>
      <c r="G229" s="1" t="str">
        <f>TEXT(pizza_sales[[#This Row],[order_date]],"dddd")</f>
        <v>Monday</v>
      </c>
      <c r="H229" s="2">
        <v>0.80043981481481485</v>
      </c>
      <c r="I229">
        <v>12</v>
      </c>
      <c r="J229">
        <v>24</v>
      </c>
      <c r="K229" t="s">
        <v>60</v>
      </c>
      <c r="L229" t="s">
        <v>13</v>
      </c>
      <c r="M229" t="s">
        <v>29</v>
      </c>
      <c r="N229" t="s">
        <v>30</v>
      </c>
    </row>
    <row r="230" spans="1:14" x14ac:dyDescent="0.25">
      <c r="A230">
        <v>829</v>
      </c>
      <c r="B230">
        <v>362</v>
      </c>
      <c r="C230">
        <f>1/COUNTIF(B:B,pizza_sales[[#This Row],[order_id]])</f>
        <v>1</v>
      </c>
      <c r="D230" t="s">
        <v>24</v>
      </c>
      <c r="E230">
        <v>1</v>
      </c>
      <c r="F230" s="1">
        <v>42156</v>
      </c>
      <c r="G230" s="1" t="str">
        <f>TEXT(pizza_sales[[#This Row],[order_date]],"dddd")</f>
        <v>Monday</v>
      </c>
      <c r="H230" s="2">
        <v>0.80111111111111111</v>
      </c>
      <c r="I230">
        <v>20.25</v>
      </c>
      <c r="J230">
        <v>20.25</v>
      </c>
      <c r="K230" t="s">
        <v>58</v>
      </c>
      <c r="L230" t="s">
        <v>17</v>
      </c>
      <c r="M230" t="s">
        <v>18</v>
      </c>
      <c r="N230" t="s">
        <v>19</v>
      </c>
    </row>
    <row r="231" spans="1:14" x14ac:dyDescent="0.25">
      <c r="A231">
        <v>831</v>
      </c>
      <c r="B231">
        <v>363</v>
      </c>
      <c r="C231">
        <f>1/COUNTIF(B:B,pizza_sales[[#This Row],[order_id]])</f>
        <v>1</v>
      </c>
      <c r="D231" t="s">
        <v>24</v>
      </c>
      <c r="E231">
        <v>1</v>
      </c>
      <c r="F231" s="1">
        <v>42156</v>
      </c>
      <c r="G231" s="1" t="str">
        <f>TEXT(pizza_sales[[#This Row],[order_date]],"dddd")</f>
        <v>Monday</v>
      </c>
      <c r="H231" s="2">
        <v>0.8059143518518519</v>
      </c>
      <c r="I231">
        <v>20.25</v>
      </c>
      <c r="J231">
        <v>20.25</v>
      </c>
      <c r="K231" t="s">
        <v>58</v>
      </c>
      <c r="L231" t="s">
        <v>17</v>
      </c>
      <c r="M231" t="s">
        <v>18</v>
      </c>
      <c r="N231" t="s">
        <v>19</v>
      </c>
    </row>
    <row r="232" spans="1:14" x14ac:dyDescent="0.25">
      <c r="A232">
        <v>833</v>
      </c>
      <c r="B232">
        <v>364</v>
      </c>
      <c r="C232">
        <f>1/COUNTIF(B:B,pizza_sales[[#This Row],[order_id]])</f>
        <v>1</v>
      </c>
      <c r="D232" t="s">
        <v>46</v>
      </c>
      <c r="E232">
        <v>1</v>
      </c>
      <c r="F232" s="1">
        <v>42156</v>
      </c>
      <c r="G232" s="1" t="str">
        <f>TEXT(pizza_sales[[#This Row],[order_date]],"dddd")</f>
        <v>Monday</v>
      </c>
      <c r="H232" s="2">
        <v>0.8106944444444445</v>
      </c>
      <c r="I232">
        <v>25.5</v>
      </c>
      <c r="J232">
        <v>25.5</v>
      </c>
      <c r="K232" t="s">
        <v>61</v>
      </c>
      <c r="L232" t="s">
        <v>13</v>
      </c>
      <c r="M232" t="s">
        <v>21</v>
      </c>
      <c r="N232" t="s">
        <v>22</v>
      </c>
    </row>
    <row r="233" spans="1:14" x14ac:dyDescent="0.25">
      <c r="A233">
        <v>836</v>
      </c>
      <c r="B233">
        <v>365</v>
      </c>
      <c r="C233">
        <f>1/COUNTIF(B:B,pizza_sales[[#This Row],[order_id]])</f>
        <v>1</v>
      </c>
      <c r="D233" t="s">
        <v>42</v>
      </c>
      <c r="E233">
        <v>1</v>
      </c>
      <c r="F233" s="1">
        <v>42156</v>
      </c>
      <c r="G233" s="1" t="str">
        <f>TEXT(pizza_sales[[#This Row],[order_date]],"dddd")</f>
        <v>Monday</v>
      </c>
      <c r="H233" s="2">
        <v>0.81766203703703699</v>
      </c>
      <c r="I233">
        <v>12.5</v>
      </c>
      <c r="J233">
        <v>12.5</v>
      </c>
      <c r="K233" t="s">
        <v>59</v>
      </c>
      <c r="L233" t="s">
        <v>13</v>
      </c>
      <c r="M233" t="s">
        <v>26</v>
      </c>
      <c r="N233" t="s">
        <v>27</v>
      </c>
    </row>
    <row r="234" spans="1:14" x14ac:dyDescent="0.25">
      <c r="A234">
        <v>838</v>
      </c>
      <c r="B234">
        <v>367</v>
      </c>
      <c r="C234">
        <f>1/COUNTIF(B:B,pizza_sales[[#This Row],[order_id]])</f>
        <v>1</v>
      </c>
      <c r="D234" t="s">
        <v>47</v>
      </c>
      <c r="E234">
        <v>1</v>
      </c>
      <c r="F234" s="1">
        <v>42156</v>
      </c>
      <c r="G234" s="1" t="str">
        <f>TEXT(pizza_sales[[#This Row],[order_date]],"dddd")</f>
        <v>Monday</v>
      </c>
      <c r="H234" s="2">
        <v>0.83694444444444449</v>
      </c>
      <c r="I234">
        <v>16.5</v>
      </c>
      <c r="J234">
        <v>16.5</v>
      </c>
      <c r="K234" t="s">
        <v>58</v>
      </c>
      <c r="L234" t="s">
        <v>13</v>
      </c>
      <c r="M234" t="s">
        <v>14</v>
      </c>
      <c r="N234" t="s">
        <v>15</v>
      </c>
    </row>
    <row r="235" spans="1:14" x14ac:dyDescent="0.25">
      <c r="A235">
        <v>844</v>
      </c>
      <c r="B235">
        <v>370</v>
      </c>
      <c r="C235">
        <f>1/COUNTIF(B:B,pizza_sales[[#This Row],[order_id]])</f>
        <v>1</v>
      </c>
      <c r="D235" t="s">
        <v>45</v>
      </c>
      <c r="E235">
        <v>1</v>
      </c>
      <c r="F235" s="1">
        <v>42156</v>
      </c>
      <c r="G235" s="1" t="str">
        <f>TEXT(pizza_sales[[#This Row],[order_date]],"dddd")</f>
        <v>Monday</v>
      </c>
      <c r="H235" s="2">
        <v>0.87673611111111116</v>
      </c>
      <c r="I235">
        <v>10.5</v>
      </c>
      <c r="J235">
        <v>10.5</v>
      </c>
      <c r="K235" t="s">
        <v>60</v>
      </c>
      <c r="L235" t="s">
        <v>13</v>
      </c>
      <c r="M235" t="s">
        <v>14</v>
      </c>
      <c r="N235" t="s">
        <v>15</v>
      </c>
    </row>
    <row r="236" spans="1:14" x14ac:dyDescent="0.25">
      <c r="A236">
        <v>845</v>
      </c>
      <c r="B236">
        <v>371</v>
      </c>
      <c r="C236">
        <f>1/COUNTIF(B:B,pizza_sales[[#This Row],[order_id]])</f>
        <v>1</v>
      </c>
      <c r="D236" t="s">
        <v>42</v>
      </c>
      <c r="E236">
        <v>1</v>
      </c>
      <c r="F236" s="1">
        <v>42156</v>
      </c>
      <c r="G236" s="1" t="str">
        <f>TEXT(pizza_sales[[#This Row],[order_date]],"dddd")</f>
        <v>Monday</v>
      </c>
      <c r="H236" s="2">
        <v>0.88564814814814818</v>
      </c>
      <c r="I236">
        <v>12.5</v>
      </c>
      <c r="J236">
        <v>12.5</v>
      </c>
      <c r="K236" t="s">
        <v>59</v>
      </c>
      <c r="L236" t="s">
        <v>13</v>
      </c>
      <c r="M236" t="s">
        <v>26</v>
      </c>
      <c r="N236" t="s">
        <v>27</v>
      </c>
    </row>
    <row r="237" spans="1:14" x14ac:dyDescent="0.25">
      <c r="A237">
        <v>849</v>
      </c>
      <c r="B237">
        <v>373</v>
      </c>
      <c r="C237">
        <f>1/COUNTIF(B:B,pizza_sales[[#This Row],[order_id]])</f>
        <v>1</v>
      </c>
      <c r="D237" t="s">
        <v>39</v>
      </c>
      <c r="E237">
        <v>1</v>
      </c>
      <c r="F237" s="1">
        <v>42186</v>
      </c>
      <c r="G237" s="1" t="str">
        <f>TEXT(pizza_sales[[#This Row],[order_date]],"dddd")</f>
        <v>Wednesday</v>
      </c>
      <c r="H237" s="2">
        <v>0.48979166666666668</v>
      </c>
      <c r="I237">
        <v>20.25</v>
      </c>
      <c r="J237">
        <v>20.25</v>
      </c>
      <c r="K237" t="s">
        <v>58</v>
      </c>
      <c r="L237" t="s">
        <v>35</v>
      </c>
      <c r="M237" t="s">
        <v>40</v>
      </c>
      <c r="N237" t="s">
        <v>41</v>
      </c>
    </row>
    <row r="238" spans="1:14" x14ac:dyDescent="0.25">
      <c r="A238">
        <v>850</v>
      </c>
      <c r="B238">
        <v>374</v>
      </c>
      <c r="C238">
        <f>1/COUNTIF(B:B,pizza_sales[[#This Row],[order_id]])</f>
        <v>1</v>
      </c>
      <c r="D238" t="s">
        <v>28</v>
      </c>
      <c r="E238">
        <v>1</v>
      </c>
      <c r="F238" s="1">
        <v>42186</v>
      </c>
      <c r="G238" s="1" t="str">
        <f>TEXT(pizza_sales[[#This Row],[order_date]],"dddd")</f>
        <v>Wednesday</v>
      </c>
      <c r="H238" s="2">
        <v>0.49721064814814814</v>
      </c>
      <c r="I238">
        <v>12</v>
      </c>
      <c r="J238">
        <v>12</v>
      </c>
      <c r="K238" t="s">
        <v>60</v>
      </c>
      <c r="L238" t="s">
        <v>13</v>
      </c>
      <c r="M238" t="s">
        <v>29</v>
      </c>
      <c r="N238" t="s">
        <v>30</v>
      </c>
    </row>
    <row r="239" spans="1:14" x14ac:dyDescent="0.25">
      <c r="A239">
        <v>853</v>
      </c>
      <c r="B239">
        <v>375</v>
      </c>
      <c r="C239">
        <f>1/COUNTIF(B:B,pizza_sales[[#This Row],[order_id]])</f>
        <v>1</v>
      </c>
      <c r="D239" t="s">
        <v>16</v>
      </c>
      <c r="E239">
        <v>1</v>
      </c>
      <c r="F239" s="1">
        <v>42186</v>
      </c>
      <c r="G239" s="1" t="str">
        <f>TEXT(pizza_sales[[#This Row],[order_date]],"dddd")</f>
        <v>Wednesday</v>
      </c>
      <c r="H239" s="2">
        <v>0.49902777777777779</v>
      </c>
      <c r="I239">
        <v>16</v>
      </c>
      <c r="J239">
        <v>16</v>
      </c>
      <c r="K239" t="s">
        <v>59</v>
      </c>
      <c r="L239" t="s">
        <v>17</v>
      </c>
      <c r="M239" t="s">
        <v>18</v>
      </c>
      <c r="N239" t="s">
        <v>19</v>
      </c>
    </row>
    <row r="240" spans="1:14" x14ac:dyDescent="0.25">
      <c r="A240">
        <v>854</v>
      </c>
      <c r="B240">
        <v>376</v>
      </c>
      <c r="C240">
        <f>1/COUNTIF(B:B,pizza_sales[[#This Row],[order_id]])</f>
        <v>1</v>
      </c>
      <c r="D240" t="s">
        <v>46</v>
      </c>
      <c r="E240">
        <v>1</v>
      </c>
      <c r="F240" s="1">
        <v>42186</v>
      </c>
      <c r="G240" s="1" t="str">
        <f>TEXT(pizza_sales[[#This Row],[order_date]],"dddd")</f>
        <v>Wednesday</v>
      </c>
      <c r="H240" s="2">
        <v>0.50089120370370366</v>
      </c>
      <c r="I240">
        <v>25.5</v>
      </c>
      <c r="J240">
        <v>25.5</v>
      </c>
      <c r="K240" t="s">
        <v>61</v>
      </c>
      <c r="L240" t="s">
        <v>13</v>
      </c>
      <c r="M240" t="s">
        <v>21</v>
      </c>
      <c r="N240" t="s">
        <v>22</v>
      </c>
    </row>
    <row r="241" spans="1:14" x14ac:dyDescent="0.25">
      <c r="A241">
        <v>856</v>
      </c>
      <c r="B241">
        <v>377</v>
      </c>
      <c r="C241">
        <f>1/COUNTIF(B:B,pizza_sales[[#This Row],[order_id]])</f>
        <v>1</v>
      </c>
      <c r="D241" t="s">
        <v>12</v>
      </c>
      <c r="E241">
        <v>1</v>
      </c>
      <c r="F241" s="1">
        <v>42186</v>
      </c>
      <c r="G241" s="1" t="str">
        <f>TEXT(pizza_sales[[#This Row],[order_date]],"dddd")</f>
        <v>Wednesday</v>
      </c>
      <c r="H241" s="2">
        <v>0.50229166666666669</v>
      </c>
      <c r="I241">
        <v>13.25</v>
      </c>
      <c r="J241">
        <v>13.25</v>
      </c>
      <c r="K241" t="s">
        <v>59</v>
      </c>
      <c r="L241" t="s">
        <v>13</v>
      </c>
      <c r="M241" t="s">
        <v>14</v>
      </c>
      <c r="N241" t="s">
        <v>15</v>
      </c>
    </row>
    <row r="242" spans="1:14" x14ac:dyDescent="0.25">
      <c r="A242">
        <v>860</v>
      </c>
      <c r="B242">
        <v>380</v>
      </c>
      <c r="C242">
        <f>1/COUNTIF(B:B,pizza_sales[[#This Row],[order_id]])</f>
        <v>1</v>
      </c>
      <c r="D242" t="s">
        <v>34</v>
      </c>
      <c r="E242">
        <v>1</v>
      </c>
      <c r="F242" s="1">
        <v>42186</v>
      </c>
      <c r="G242" s="1" t="str">
        <f>TEXT(pizza_sales[[#This Row],[order_date]],"dddd")</f>
        <v>Wednesday</v>
      </c>
      <c r="H242" s="2">
        <v>0.52233796296296298</v>
      </c>
      <c r="I242">
        <v>16.25</v>
      </c>
      <c r="J242">
        <v>16.25</v>
      </c>
      <c r="K242" t="s">
        <v>59</v>
      </c>
      <c r="L242" t="s">
        <v>35</v>
      </c>
      <c r="M242" t="s">
        <v>36</v>
      </c>
      <c r="N242" t="s">
        <v>37</v>
      </c>
    </row>
    <row r="243" spans="1:14" x14ac:dyDescent="0.25">
      <c r="A243">
        <v>866</v>
      </c>
      <c r="B243">
        <v>384</v>
      </c>
      <c r="C243">
        <f>1/COUNTIF(B:B,pizza_sales[[#This Row],[order_id]])</f>
        <v>0.5</v>
      </c>
      <c r="D243" t="s">
        <v>45</v>
      </c>
      <c r="E243">
        <v>1</v>
      </c>
      <c r="F243" s="1">
        <v>42186</v>
      </c>
      <c r="G243" s="1" t="str">
        <f>TEXT(pizza_sales[[#This Row],[order_date]],"dddd")</f>
        <v>Wednesday</v>
      </c>
      <c r="H243" s="2">
        <v>0.53594907407407411</v>
      </c>
      <c r="I243">
        <v>10.5</v>
      </c>
      <c r="J243">
        <v>10.5</v>
      </c>
      <c r="K243" t="s">
        <v>60</v>
      </c>
      <c r="L243" t="s">
        <v>13</v>
      </c>
      <c r="M243" t="s">
        <v>14</v>
      </c>
      <c r="N243" t="s">
        <v>15</v>
      </c>
    </row>
    <row r="244" spans="1:14" x14ac:dyDescent="0.25">
      <c r="A244">
        <v>869</v>
      </c>
      <c r="B244">
        <v>384</v>
      </c>
      <c r="C244">
        <f>1/COUNTIF(B:B,pizza_sales[[#This Row],[order_id]])</f>
        <v>0.5</v>
      </c>
      <c r="D244" t="s">
        <v>20</v>
      </c>
      <c r="E244">
        <v>1</v>
      </c>
      <c r="F244" s="1">
        <v>42186</v>
      </c>
      <c r="G244" s="1" t="str">
        <f>TEXT(pizza_sales[[#This Row],[order_date]],"dddd")</f>
        <v>Wednesday</v>
      </c>
      <c r="H244" s="2">
        <v>0.53594907407407411</v>
      </c>
      <c r="I244">
        <v>12</v>
      </c>
      <c r="J244">
        <v>12</v>
      </c>
      <c r="K244" t="s">
        <v>60</v>
      </c>
      <c r="L244" t="s">
        <v>13</v>
      </c>
      <c r="M244" t="s">
        <v>21</v>
      </c>
      <c r="N244" t="s">
        <v>22</v>
      </c>
    </row>
    <row r="245" spans="1:14" x14ac:dyDescent="0.25">
      <c r="A245">
        <v>875</v>
      </c>
      <c r="B245">
        <v>387</v>
      </c>
      <c r="C245">
        <f>1/COUNTIF(B:B,pizza_sales[[#This Row],[order_id]])</f>
        <v>0.5</v>
      </c>
      <c r="D245" t="s">
        <v>28</v>
      </c>
      <c r="E245">
        <v>1</v>
      </c>
      <c r="F245" s="1">
        <v>42186</v>
      </c>
      <c r="G245" s="1" t="str">
        <f>TEXT(pizza_sales[[#This Row],[order_date]],"dddd")</f>
        <v>Wednesday</v>
      </c>
      <c r="H245" s="2">
        <v>0.54391203703703705</v>
      </c>
      <c r="I245">
        <v>12</v>
      </c>
      <c r="J245">
        <v>12</v>
      </c>
      <c r="K245" t="s">
        <v>60</v>
      </c>
      <c r="L245" t="s">
        <v>13</v>
      </c>
      <c r="M245" t="s">
        <v>29</v>
      </c>
      <c r="N245" t="s">
        <v>30</v>
      </c>
    </row>
    <row r="246" spans="1:14" x14ac:dyDescent="0.25">
      <c r="A246">
        <v>878</v>
      </c>
      <c r="B246">
        <v>387</v>
      </c>
      <c r="C246">
        <f>1/COUNTIF(B:B,pizza_sales[[#This Row],[order_id]])</f>
        <v>0.5</v>
      </c>
      <c r="D246" t="s">
        <v>44</v>
      </c>
      <c r="E246">
        <v>1</v>
      </c>
      <c r="F246" s="1">
        <v>42186</v>
      </c>
      <c r="G246" s="1" t="str">
        <f>TEXT(pizza_sales[[#This Row],[order_date]],"dddd")</f>
        <v>Wednesday</v>
      </c>
      <c r="H246" s="2">
        <v>0.54391203703703705</v>
      </c>
      <c r="I246">
        <v>9.75</v>
      </c>
      <c r="J246">
        <v>9.75</v>
      </c>
      <c r="K246" t="s">
        <v>60</v>
      </c>
      <c r="L246" t="s">
        <v>13</v>
      </c>
      <c r="M246" t="s">
        <v>26</v>
      </c>
      <c r="N246" t="s">
        <v>27</v>
      </c>
    </row>
    <row r="247" spans="1:14" x14ac:dyDescent="0.25">
      <c r="A247">
        <v>887</v>
      </c>
      <c r="B247">
        <v>391</v>
      </c>
      <c r="C247">
        <f>1/COUNTIF(B:B,pizza_sales[[#This Row],[order_id]])</f>
        <v>1</v>
      </c>
      <c r="D247" t="s">
        <v>49</v>
      </c>
      <c r="E247">
        <v>1</v>
      </c>
      <c r="F247" s="1">
        <v>42186</v>
      </c>
      <c r="G247" s="1" t="str">
        <f>TEXT(pizza_sales[[#This Row],[order_date]],"dddd")</f>
        <v>Wednesday</v>
      </c>
      <c r="H247" s="2">
        <v>0.55938657407407411</v>
      </c>
      <c r="I247">
        <v>16</v>
      </c>
      <c r="J247">
        <v>16</v>
      </c>
      <c r="K247" t="s">
        <v>59</v>
      </c>
      <c r="L247" t="s">
        <v>13</v>
      </c>
      <c r="M247" t="s">
        <v>21</v>
      </c>
      <c r="N247" t="s">
        <v>22</v>
      </c>
    </row>
    <row r="248" spans="1:14" x14ac:dyDescent="0.25">
      <c r="A248">
        <v>888</v>
      </c>
      <c r="B248">
        <v>392</v>
      </c>
      <c r="C248">
        <f>1/COUNTIF(B:B,pizza_sales[[#This Row],[order_id]])</f>
        <v>0.25</v>
      </c>
      <c r="D248" t="s">
        <v>28</v>
      </c>
      <c r="E248">
        <v>1</v>
      </c>
      <c r="F248" s="1">
        <v>42186</v>
      </c>
      <c r="G248" s="1" t="str">
        <f>TEXT(pizza_sales[[#This Row],[order_date]],"dddd")</f>
        <v>Wednesday</v>
      </c>
      <c r="H248" s="2">
        <v>0.56721064814814814</v>
      </c>
      <c r="I248">
        <v>12</v>
      </c>
      <c r="J248">
        <v>12</v>
      </c>
      <c r="K248" t="s">
        <v>60</v>
      </c>
      <c r="L248" t="s">
        <v>13</v>
      </c>
      <c r="M248" t="s">
        <v>29</v>
      </c>
      <c r="N248" t="s">
        <v>30</v>
      </c>
    </row>
    <row r="249" spans="1:14" x14ac:dyDescent="0.25">
      <c r="A249">
        <v>889</v>
      </c>
      <c r="B249">
        <v>392</v>
      </c>
      <c r="C249">
        <f>1/COUNTIF(B:B,pizza_sales[[#This Row],[order_id]])</f>
        <v>0.25</v>
      </c>
      <c r="D249" t="s">
        <v>54</v>
      </c>
      <c r="E249">
        <v>1</v>
      </c>
      <c r="F249" s="1">
        <v>42186</v>
      </c>
      <c r="G249" s="1" t="str">
        <f>TEXT(pizza_sales[[#This Row],[order_date]],"dddd")</f>
        <v>Wednesday</v>
      </c>
      <c r="H249" s="2">
        <v>0.56721064814814814</v>
      </c>
      <c r="I249">
        <v>12.25</v>
      </c>
      <c r="J249">
        <v>12.25</v>
      </c>
      <c r="K249" t="s">
        <v>60</v>
      </c>
      <c r="L249" t="s">
        <v>35</v>
      </c>
      <c r="M249" t="s">
        <v>36</v>
      </c>
      <c r="N249" t="s">
        <v>37</v>
      </c>
    </row>
    <row r="250" spans="1:14" x14ac:dyDescent="0.25">
      <c r="A250">
        <v>891</v>
      </c>
      <c r="B250">
        <v>392</v>
      </c>
      <c r="C250">
        <f>1/COUNTIF(B:B,pizza_sales[[#This Row],[order_id]])</f>
        <v>0.25</v>
      </c>
      <c r="D250" t="s">
        <v>44</v>
      </c>
      <c r="E250">
        <v>2</v>
      </c>
      <c r="F250" s="1">
        <v>42186</v>
      </c>
      <c r="G250" s="1" t="str">
        <f>TEXT(pizza_sales[[#This Row],[order_date]],"dddd")</f>
        <v>Wednesday</v>
      </c>
      <c r="H250" s="2">
        <v>0.56721064814814814</v>
      </c>
      <c r="I250">
        <v>9.75</v>
      </c>
      <c r="J250">
        <v>19.5</v>
      </c>
      <c r="K250" t="s">
        <v>60</v>
      </c>
      <c r="L250" t="s">
        <v>13</v>
      </c>
      <c r="M250" t="s">
        <v>26</v>
      </c>
      <c r="N250" t="s">
        <v>27</v>
      </c>
    </row>
    <row r="251" spans="1:14" x14ac:dyDescent="0.25">
      <c r="A251">
        <v>893</v>
      </c>
      <c r="B251">
        <v>392</v>
      </c>
      <c r="C251">
        <f>1/COUNTIF(B:B,pizza_sales[[#This Row],[order_id]])</f>
        <v>0.25</v>
      </c>
      <c r="D251" t="s">
        <v>39</v>
      </c>
      <c r="E251">
        <v>1</v>
      </c>
      <c r="F251" s="1">
        <v>42186</v>
      </c>
      <c r="G251" s="1" t="str">
        <f>TEXT(pizza_sales[[#This Row],[order_date]],"dddd")</f>
        <v>Wednesday</v>
      </c>
      <c r="H251" s="2">
        <v>0.56721064814814814</v>
      </c>
      <c r="I251">
        <v>20.25</v>
      </c>
      <c r="J251">
        <v>20.25</v>
      </c>
      <c r="K251" t="s">
        <v>58</v>
      </c>
      <c r="L251" t="s">
        <v>35</v>
      </c>
      <c r="M251" t="s">
        <v>40</v>
      </c>
      <c r="N251" t="s">
        <v>41</v>
      </c>
    </row>
    <row r="252" spans="1:14" x14ac:dyDescent="0.25">
      <c r="A252">
        <v>897</v>
      </c>
      <c r="B252">
        <v>393</v>
      </c>
      <c r="C252">
        <f>1/COUNTIF(B:B,pizza_sales[[#This Row],[order_id]])</f>
        <v>1</v>
      </c>
      <c r="D252" t="s">
        <v>47</v>
      </c>
      <c r="E252">
        <v>1</v>
      </c>
      <c r="F252" s="1">
        <v>42186</v>
      </c>
      <c r="G252" s="1" t="str">
        <f>TEXT(pizza_sales[[#This Row],[order_date]],"dddd")</f>
        <v>Wednesday</v>
      </c>
      <c r="H252" s="2">
        <v>0.57535879629629627</v>
      </c>
      <c r="I252">
        <v>16.5</v>
      </c>
      <c r="J252">
        <v>16.5</v>
      </c>
      <c r="K252" t="s">
        <v>58</v>
      </c>
      <c r="L252" t="s">
        <v>13</v>
      </c>
      <c r="M252" t="s">
        <v>14</v>
      </c>
      <c r="N252" t="s">
        <v>15</v>
      </c>
    </row>
    <row r="253" spans="1:14" x14ac:dyDescent="0.25">
      <c r="A253">
        <v>898</v>
      </c>
      <c r="B253">
        <v>394</v>
      </c>
      <c r="C253">
        <f>1/COUNTIF(B:B,pizza_sales[[#This Row],[order_id]])</f>
        <v>0.16666666666666666</v>
      </c>
      <c r="D253" t="s">
        <v>28</v>
      </c>
      <c r="E253">
        <v>1</v>
      </c>
      <c r="F253" s="1">
        <v>42186</v>
      </c>
      <c r="G253" s="1" t="str">
        <f>TEXT(pizza_sales[[#This Row],[order_date]],"dddd")</f>
        <v>Wednesday</v>
      </c>
      <c r="H253" s="2">
        <v>0.58493055555555551</v>
      </c>
      <c r="I253">
        <v>12</v>
      </c>
      <c r="J253">
        <v>12</v>
      </c>
      <c r="K253" t="s">
        <v>60</v>
      </c>
      <c r="L253" t="s">
        <v>13</v>
      </c>
      <c r="M253" t="s">
        <v>29</v>
      </c>
      <c r="N253" t="s">
        <v>30</v>
      </c>
    </row>
    <row r="254" spans="1:14" x14ac:dyDescent="0.25">
      <c r="A254">
        <v>900</v>
      </c>
      <c r="B254">
        <v>394</v>
      </c>
      <c r="C254">
        <f>1/COUNTIF(B:B,pizza_sales[[#This Row],[order_id]])</f>
        <v>0.16666666666666666</v>
      </c>
      <c r="D254" t="s">
        <v>47</v>
      </c>
      <c r="E254">
        <v>1</v>
      </c>
      <c r="F254" s="1">
        <v>42186</v>
      </c>
      <c r="G254" s="1" t="str">
        <f>TEXT(pizza_sales[[#This Row],[order_date]],"dddd")</f>
        <v>Wednesday</v>
      </c>
      <c r="H254" s="2">
        <v>0.58493055555555551</v>
      </c>
      <c r="I254">
        <v>16.5</v>
      </c>
      <c r="J254">
        <v>16.5</v>
      </c>
      <c r="K254" t="s">
        <v>58</v>
      </c>
      <c r="L254" t="s">
        <v>13</v>
      </c>
      <c r="M254" t="s">
        <v>14</v>
      </c>
      <c r="N254" t="s">
        <v>15</v>
      </c>
    </row>
    <row r="255" spans="1:14" x14ac:dyDescent="0.25">
      <c r="A255">
        <v>901</v>
      </c>
      <c r="B255">
        <v>394</v>
      </c>
      <c r="C255">
        <f>1/COUNTIF(B:B,pizza_sales[[#This Row],[order_id]])</f>
        <v>0.16666666666666666</v>
      </c>
      <c r="D255" t="s">
        <v>45</v>
      </c>
      <c r="E255">
        <v>1</v>
      </c>
      <c r="F255" s="1">
        <v>42186</v>
      </c>
      <c r="G255" s="1" t="str">
        <f>TEXT(pizza_sales[[#This Row],[order_date]],"dddd")</f>
        <v>Wednesday</v>
      </c>
      <c r="H255" s="2">
        <v>0.58493055555555551</v>
      </c>
      <c r="I255">
        <v>10.5</v>
      </c>
      <c r="J255">
        <v>10.5</v>
      </c>
      <c r="K255" t="s">
        <v>60</v>
      </c>
      <c r="L255" t="s">
        <v>13</v>
      </c>
      <c r="M255" t="s">
        <v>14</v>
      </c>
      <c r="N255" t="s">
        <v>15</v>
      </c>
    </row>
    <row r="256" spans="1:14" x14ac:dyDescent="0.25">
      <c r="A256">
        <v>903</v>
      </c>
      <c r="B256">
        <v>394</v>
      </c>
      <c r="C256">
        <f>1/COUNTIF(B:B,pizza_sales[[#This Row],[order_id]])</f>
        <v>0.16666666666666666</v>
      </c>
      <c r="D256" t="s">
        <v>42</v>
      </c>
      <c r="E256">
        <v>3</v>
      </c>
      <c r="F256" s="1">
        <v>42186</v>
      </c>
      <c r="G256" s="1" t="str">
        <f>TEXT(pizza_sales[[#This Row],[order_date]],"dddd")</f>
        <v>Wednesday</v>
      </c>
      <c r="H256" s="2">
        <v>0.58493055555555551</v>
      </c>
      <c r="I256">
        <v>12.5</v>
      </c>
      <c r="J256">
        <v>37.5</v>
      </c>
      <c r="K256" t="s">
        <v>59</v>
      </c>
      <c r="L256" t="s">
        <v>13</v>
      </c>
      <c r="M256" t="s">
        <v>26</v>
      </c>
      <c r="N256" t="s">
        <v>27</v>
      </c>
    </row>
    <row r="257" spans="1:14" x14ac:dyDescent="0.25">
      <c r="A257">
        <v>904</v>
      </c>
      <c r="B257">
        <v>394</v>
      </c>
      <c r="C257">
        <f>1/COUNTIF(B:B,pizza_sales[[#This Row],[order_id]])</f>
        <v>0.16666666666666666</v>
      </c>
      <c r="D257" t="s">
        <v>44</v>
      </c>
      <c r="E257">
        <v>1</v>
      </c>
      <c r="F257" s="1">
        <v>42186</v>
      </c>
      <c r="G257" s="1" t="str">
        <f>TEXT(pizza_sales[[#This Row],[order_date]],"dddd")</f>
        <v>Wednesday</v>
      </c>
      <c r="H257" s="2">
        <v>0.58493055555555551</v>
      </c>
      <c r="I257">
        <v>9.75</v>
      </c>
      <c r="J257">
        <v>9.75</v>
      </c>
      <c r="K257" t="s">
        <v>60</v>
      </c>
      <c r="L257" t="s">
        <v>13</v>
      </c>
      <c r="M257" t="s">
        <v>26</v>
      </c>
      <c r="N257" t="s">
        <v>27</v>
      </c>
    </row>
    <row r="258" spans="1:14" x14ac:dyDescent="0.25">
      <c r="A258">
        <v>905</v>
      </c>
      <c r="B258">
        <v>394</v>
      </c>
      <c r="C258">
        <f>1/COUNTIF(B:B,pizza_sales[[#This Row],[order_id]])</f>
        <v>0.16666666666666666</v>
      </c>
      <c r="D258" t="s">
        <v>39</v>
      </c>
      <c r="E258">
        <v>1</v>
      </c>
      <c r="F258" s="1">
        <v>42186</v>
      </c>
      <c r="G258" s="1" t="str">
        <f>TEXT(pizza_sales[[#This Row],[order_date]],"dddd")</f>
        <v>Wednesday</v>
      </c>
      <c r="H258" s="2">
        <v>0.58493055555555551</v>
      </c>
      <c r="I258">
        <v>20.25</v>
      </c>
      <c r="J258">
        <v>20.25</v>
      </c>
      <c r="K258" t="s">
        <v>58</v>
      </c>
      <c r="L258" t="s">
        <v>35</v>
      </c>
      <c r="M258" t="s">
        <v>40</v>
      </c>
      <c r="N258" t="s">
        <v>41</v>
      </c>
    </row>
    <row r="259" spans="1:14" x14ac:dyDescent="0.25">
      <c r="A259">
        <v>910</v>
      </c>
      <c r="B259">
        <v>395</v>
      </c>
      <c r="C259">
        <f>1/COUNTIF(B:B,pizza_sales[[#This Row],[order_id]])</f>
        <v>1</v>
      </c>
      <c r="D259" t="s">
        <v>50</v>
      </c>
      <c r="E259">
        <v>1</v>
      </c>
      <c r="F259" s="1">
        <v>42186</v>
      </c>
      <c r="G259" s="1" t="str">
        <f>TEXT(pizza_sales[[#This Row],[order_date]],"dddd")</f>
        <v>Wednesday</v>
      </c>
      <c r="H259" s="2">
        <v>0.59106481481481477</v>
      </c>
      <c r="I259">
        <v>16</v>
      </c>
      <c r="J259">
        <v>16</v>
      </c>
      <c r="K259" t="s">
        <v>59</v>
      </c>
      <c r="L259" t="s">
        <v>13</v>
      </c>
      <c r="M259" t="s">
        <v>32</v>
      </c>
      <c r="N259" t="s">
        <v>33</v>
      </c>
    </row>
    <row r="260" spans="1:14" x14ac:dyDescent="0.25">
      <c r="A260">
        <v>913</v>
      </c>
      <c r="B260">
        <v>397</v>
      </c>
      <c r="C260">
        <f>1/COUNTIF(B:B,pizza_sales[[#This Row],[order_id]])</f>
        <v>0.5</v>
      </c>
      <c r="D260" t="s">
        <v>47</v>
      </c>
      <c r="E260">
        <v>1</v>
      </c>
      <c r="F260" s="1">
        <v>42186</v>
      </c>
      <c r="G260" s="1" t="str">
        <f>TEXT(pizza_sales[[#This Row],[order_date]],"dddd")</f>
        <v>Wednesday</v>
      </c>
      <c r="H260" s="2">
        <v>0.6049768518518519</v>
      </c>
      <c r="I260">
        <v>16.5</v>
      </c>
      <c r="J260">
        <v>16.5</v>
      </c>
      <c r="K260" t="s">
        <v>58</v>
      </c>
      <c r="L260" t="s">
        <v>13</v>
      </c>
      <c r="M260" t="s">
        <v>14</v>
      </c>
      <c r="N260" t="s">
        <v>15</v>
      </c>
    </row>
    <row r="261" spans="1:14" x14ac:dyDescent="0.25">
      <c r="A261">
        <v>914</v>
      </c>
      <c r="B261">
        <v>397</v>
      </c>
      <c r="C261">
        <f>1/COUNTIF(B:B,pizza_sales[[#This Row],[order_id]])</f>
        <v>0.5</v>
      </c>
      <c r="D261" t="s">
        <v>42</v>
      </c>
      <c r="E261">
        <v>1</v>
      </c>
      <c r="F261" s="1">
        <v>42186</v>
      </c>
      <c r="G261" s="1" t="str">
        <f>TEXT(pizza_sales[[#This Row],[order_date]],"dddd")</f>
        <v>Wednesday</v>
      </c>
      <c r="H261" s="2">
        <v>0.6049768518518519</v>
      </c>
      <c r="I261">
        <v>12.5</v>
      </c>
      <c r="J261">
        <v>12.5</v>
      </c>
      <c r="K261" t="s">
        <v>59</v>
      </c>
      <c r="L261" t="s">
        <v>13</v>
      </c>
      <c r="M261" t="s">
        <v>26</v>
      </c>
      <c r="N261" t="s">
        <v>27</v>
      </c>
    </row>
    <row r="262" spans="1:14" x14ac:dyDescent="0.25">
      <c r="A262">
        <v>915</v>
      </c>
      <c r="B262">
        <v>398</v>
      </c>
      <c r="C262">
        <f>1/COUNTIF(B:B,pizza_sales[[#This Row],[order_id]])</f>
        <v>1</v>
      </c>
      <c r="D262" t="s">
        <v>44</v>
      </c>
      <c r="E262">
        <v>1</v>
      </c>
      <c r="F262" s="1">
        <v>42186</v>
      </c>
      <c r="G262" s="1" t="str">
        <f>TEXT(pizza_sales[[#This Row],[order_date]],"dddd")</f>
        <v>Wednesday</v>
      </c>
      <c r="H262" s="2">
        <v>0.62252314814814813</v>
      </c>
      <c r="I262">
        <v>9.75</v>
      </c>
      <c r="J262">
        <v>9.75</v>
      </c>
      <c r="K262" t="s">
        <v>60</v>
      </c>
      <c r="L262" t="s">
        <v>13</v>
      </c>
      <c r="M262" t="s">
        <v>26</v>
      </c>
      <c r="N262" t="s">
        <v>27</v>
      </c>
    </row>
    <row r="263" spans="1:14" x14ac:dyDescent="0.25">
      <c r="A263">
        <v>919</v>
      </c>
      <c r="B263">
        <v>399</v>
      </c>
      <c r="C263">
        <f>1/COUNTIF(B:B,pizza_sales[[#This Row],[order_id]])</f>
        <v>1</v>
      </c>
      <c r="D263" t="s">
        <v>49</v>
      </c>
      <c r="E263">
        <v>1</v>
      </c>
      <c r="F263" s="1">
        <v>42186</v>
      </c>
      <c r="G263" s="1" t="str">
        <f>TEXT(pizza_sales[[#This Row],[order_date]],"dddd")</f>
        <v>Wednesday</v>
      </c>
      <c r="H263" s="2">
        <v>0.65820601851851857</v>
      </c>
      <c r="I263">
        <v>16</v>
      </c>
      <c r="J263">
        <v>16</v>
      </c>
      <c r="K263" t="s">
        <v>59</v>
      </c>
      <c r="L263" t="s">
        <v>13</v>
      </c>
      <c r="M263" t="s">
        <v>21</v>
      </c>
      <c r="N263" t="s">
        <v>22</v>
      </c>
    </row>
    <row r="264" spans="1:14" x14ac:dyDescent="0.25">
      <c r="A264">
        <v>920</v>
      </c>
      <c r="B264">
        <v>400</v>
      </c>
      <c r="C264">
        <f>1/COUNTIF(B:B,pizza_sales[[#This Row],[order_id]])</f>
        <v>1</v>
      </c>
      <c r="D264" t="s">
        <v>42</v>
      </c>
      <c r="E264">
        <v>1</v>
      </c>
      <c r="F264" s="1">
        <v>42186</v>
      </c>
      <c r="G264" s="1" t="str">
        <f>TEXT(pizza_sales[[#This Row],[order_date]],"dddd")</f>
        <v>Wednesday</v>
      </c>
      <c r="H264" s="2">
        <v>0.66883101851851856</v>
      </c>
      <c r="I264">
        <v>12.5</v>
      </c>
      <c r="J264">
        <v>12.5</v>
      </c>
      <c r="K264" t="s">
        <v>59</v>
      </c>
      <c r="L264" t="s">
        <v>13</v>
      </c>
      <c r="M264" t="s">
        <v>26</v>
      </c>
      <c r="N264" t="s">
        <v>27</v>
      </c>
    </row>
    <row r="265" spans="1:14" x14ac:dyDescent="0.25">
      <c r="A265">
        <v>929</v>
      </c>
      <c r="B265">
        <v>405</v>
      </c>
      <c r="C265">
        <f>1/COUNTIF(B:B,pizza_sales[[#This Row],[order_id]])</f>
        <v>1</v>
      </c>
      <c r="D265" t="s">
        <v>39</v>
      </c>
      <c r="E265">
        <v>1</v>
      </c>
      <c r="F265" s="1">
        <v>42186</v>
      </c>
      <c r="G265" s="1" t="str">
        <f>TEXT(pizza_sales[[#This Row],[order_date]],"dddd")</f>
        <v>Wednesday</v>
      </c>
      <c r="H265" s="2">
        <v>0.69740740740740736</v>
      </c>
      <c r="I265">
        <v>20.25</v>
      </c>
      <c r="J265">
        <v>20.25</v>
      </c>
      <c r="K265" t="s">
        <v>58</v>
      </c>
      <c r="L265" t="s">
        <v>35</v>
      </c>
      <c r="M265" t="s">
        <v>40</v>
      </c>
      <c r="N265" t="s">
        <v>41</v>
      </c>
    </row>
    <row r="266" spans="1:14" x14ac:dyDescent="0.25">
      <c r="A266">
        <v>935</v>
      </c>
      <c r="B266">
        <v>407</v>
      </c>
      <c r="C266">
        <f>1/COUNTIF(B:B,pizza_sales[[#This Row],[order_id]])</f>
        <v>1</v>
      </c>
      <c r="D266" t="s">
        <v>42</v>
      </c>
      <c r="E266">
        <v>1</v>
      </c>
      <c r="F266" s="1">
        <v>42186</v>
      </c>
      <c r="G266" s="1" t="str">
        <f>TEXT(pizza_sales[[#This Row],[order_date]],"dddd")</f>
        <v>Wednesday</v>
      </c>
      <c r="H266" s="2">
        <v>0.70604166666666668</v>
      </c>
      <c r="I266">
        <v>12.5</v>
      </c>
      <c r="J266">
        <v>12.5</v>
      </c>
      <c r="K266" t="s">
        <v>59</v>
      </c>
      <c r="L266" t="s">
        <v>13</v>
      </c>
      <c r="M266" t="s">
        <v>26</v>
      </c>
      <c r="N266" t="s">
        <v>27</v>
      </c>
    </row>
    <row r="267" spans="1:14" x14ac:dyDescent="0.25">
      <c r="A267">
        <v>936</v>
      </c>
      <c r="B267">
        <v>408</v>
      </c>
      <c r="C267">
        <f>1/COUNTIF(B:B,pizza_sales[[#This Row],[order_id]])</f>
        <v>1</v>
      </c>
      <c r="D267" t="s">
        <v>51</v>
      </c>
      <c r="E267">
        <v>1</v>
      </c>
      <c r="F267" s="1">
        <v>42186</v>
      </c>
      <c r="G267" s="1" t="str">
        <f>TEXT(pizza_sales[[#This Row],[order_date]],"dddd")</f>
        <v>Wednesday</v>
      </c>
      <c r="H267" s="2">
        <v>0.71468750000000003</v>
      </c>
      <c r="I267">
        <v>23.65</v>
      </c>
      <c r="J267">
        <v>23.65</v>
      </c>
      <c r="K267" t="s">
        <v>60</v>
      </c>
      <c r="L267" t="s">
        <v>35</v>
      </c>
      <c r="M267" t="s">
        <v>52</v>
      </c>
      <c r="N267" t="s">
        <v>53</v>
      </c>
    </row>
    <row r="268" spans="1:14" x14ac:dyDescent="0.25">
      <c r="A268">
        <v>938</v>
      </c>
      <c r="B268">
        <v>409</v>
      </c>
      <c r="C268">
        <f>1/COUNTIF(B:B,pizza_sales[[#This Row],[order_id]])</f>
        <v>1</v>
      </c>
      <c r="D268" t="s">
        <v>25</v>
      </c>
      <c r="E268">
        <v>1</v>
      </c>
      <c r="F268" s="1">
        <v>42186</v>
      </c>
      <c r="G268" s="1" t="str">
        <f>TEXT(pizza_sales[[#This Row],[order_date]],"dddd")</f>
        <v>Wednesday</v>
      </c>
      <c r="H268" s="2">
        <v>0.71879629629629627</v>
      </c>
      <c r="I268">
        <v>15.25</v>
      </c>
      <c r="J268">
        <v>15.25</v>
      </c>
      <c r="K268" t="s">
        <v>58</v>
      </c>
      <c r="L268" t="s">
        <v>13</v>
      </c>
      <c r="M268" t="s">
        <v>26</v>
      </c>
      <c r="N268" t="s">
        <v>27</v>
      </c>
    </row>
    <row r="269" spans="1:14" x14ac:dyDescent="0.25">
      <c r="A269">
        <v>939</v>
      </c>
      <c r="B269">
        <v>410</v>
      </c>
      <c r="C269">
        <f>1/COUNTIF(B:B,pizza_sales[[#This Row],[order_id]])</f>
        <v>0.5</v>
      </c>
      <c r="D269" t="s">
        <v>28</v>
      </c>
      <c r="E269">
        <v>2</v>
      </c>
      <c r="F269" s="1">
        <v>42186</v>
      </c>
      <c r="G269" s="1" t="str">
        <f>TEXT(pizza_sales[[#This Row],[order_date]],"dddd")</f>
        <v>Wednesday</v>
      </c>
      <c r="H269" s="2">
        <v>0.73181712962962964</v>
      </c>
      <c r="I269">
        <v>12</v>
      </c>
      <c r="J269">
        <v>24</v>
      </c>
      <c r="K269" t="s">
        <v>60</v>
      </c>
      <c r="L269" t="s">
        <v>13</v>
      </c>
      <c r="M269" t="s">
        <v>29</v>
      </c>
      <c r="N269" t="s">
        <v>30</v>
      </c>
    </row>
    <row r="270" spans="1:14" x14ac:dyDescent="0.25">
      <c r="A270">
        <v>941</v>
      </c>
      <c r="B270">
        <v>410</v>
      </c>
      <c r="C270">
        <f>1/COUNTIF(B:B,pizza_sales[[#This Row],[order_id]])</f>
        <v>0.5</v>
      </c>
      <c r="D270" t="s">
        <v>46</v>
      </c>
      <c r="E270">
        <v>1</v>
      </c>
      <c r="F270" s="1">
        <v>42186</v>
      </c>
      <c r="G270" s="1" t="str">
        <f>TEXT(pizza_sales[[#This Row],[order_date]],"dddd")</f>
        <v>Wednesday</v>
      </c>
      <c r="H270" s="2">
        <v>0.73181712962962964</v>
      </c>
      <c r="I270">
        <v>25.5</v>
      </c>
      <c r="J270">
        <v>25.5</v>
      </c>
      <c r="K270" t="s">
        <v>61</v>
      </c>
      <c r="L270" t="s">
        <v>13</v>
      </c>
      <c r="M270" t="s">
        <v>21</v>
      </c>
      <c r="N270" t="s">
        <v>22</v>
      </c>
    </row>
    <row r="271" spans="1:14" x14ac:dyDescent="0.25">
      <c r="A271">
        <v>944</v>
      </c>
      <c r="B271">
        <v>412</v>
      </c>
      <c r="C271">
        <f>1/COUNTIF(B:B,pizza_sales[[#This Row],[order_id]])</f>
        <v>1</v>
      </c>
      <c r="D271" t="s">
        <v>51</v>
      </c>
      <c r="E271">
        <v>1</v>
      </c>
      <c r="F271" s="1">
        <v>42186</v>
      </c>
      <c r="G271" s="1" t="str">
        <f>TEXT(pizza_sales[[#This Row],[order_date]],"dddd")</f>
        <v>Wednesday</v>
      </c>
      <c r="H271" s="2">
        <v>0.75539351851851855</v>
      </c>
      <c r="I271">
        <v>23.65</v>
      </c>
      <c r="J271">
        <v>23.65</v>
      </c>
      <c r="K271" t="s">
        <v>60</v>
      </c>
      <c r="L271" t="s">
        <v>35</v>
      </c>
      <c r="M271" t="s">
        <v>52</v>
      </c>
      <c r="N271" t="s">
        <v>53</v>
      </c>
    </row>
    <row r="272" spans="1:14" x14ac:dyDescent="0.25">
      <c r="A272">
        <v>946</v>
      </c>
      <c r="B272">
        <v>413</v>
      </c>
      <c r="C272">
        <f>1/COUNTIF(B:B,pizza_sales[[#This Row],[order_id]])</f>
        <v>1</v>
      </c>
      <c r="D272" t="s">
        <v>20</v>
      </c>
      <c r="E272">
        <v>1</v>
      </c>
      <c r="F272" s="1">
        <v>42186</v>
      </c>
      <c r="G272" s="1" t="str">
        <f>TEXT(pizza_sales[[#This Row],[order_date]],"dddd")</f>
        <v>Wednesday</v>
      </c>
      <c r="H272" s="2">
        <v>0.75800925925925922</v>
      </c>
      <c r="I272">
        <v>12</v>
      </c>
      <c r="J272">
        <v>12</v>
      </c>
      <c r="K272" t="s">
        <v>60</v>
      </c>
      <c r="L272" t="s">
        <v>13</v>
      </c>
      <c r="M272" t="s">
        <v>21</v>
      </c>
      <c r="N272" t="s">
        <v>22</v>
      </c>
    </row>
    <row r="273" spans="1:14" x14ac:dyDescent="0.25">
      <c r="A273">
        <v>952</v>
      </c>
      <c r="B273">
        <v>417</v>
      </c>
      <c r="C273">
        <f>1/COUNTIF(B:B,pizza_sales[[#This Row],[order_id]])</f>
        <v>1</v>
      </c>
      <c r="D273" t="s">
        <v>44</v>
      </c>
      <c r="E273">
        <v>1</v>
      </c>
      <c r="F273" s="1">
        <v>42186</v>
      </c>
      <c r="G273" s="1" t="str">
        <f>TEXT(pizza_sales[[#This Row],[order_date]],"dddd")</f>
        <v>Wednesday</v>
      </c>
      <c r="H273" s="2">
        <v>0.76712962962962961</v>
      </c>
      <c r="I273">
        <v>9.75</v>
      </c>
      <c r="J273">
        <v>9.75</v>
      </c>
      <c r="K273" t="s">
        <v>60</v>
      </c>
      <c r="L273" t="s">
        <v>13</v>
      </c>
      <c r="M273" t="s">
        <v>26</v>
      </c>
      <c r="N273" t="s">
        <v>27</v>
      </c>
    </row>
    <row r="274" spans="1:14" x14ac:dyDescent="0.25">
      <c r="A274">
        <v>954</v>
      </c>
      <c r="B274">
        <v>418</v>
      </c>
      <c r="C274">
        <f>1/COUNTIF(B:B,pizza_sales[[#This Row],[order_id]])</f>
        <v>1</v>
      </c>
      <c r="D274" t="s">
        <v>43</v>
      </c>
      <c r="E274">
        <v>1</v>
      </c>
      <c r="F274" s="1">
        <v>42186</v>
      </c>
      <c r="G274" s="1" t="str">
        <f>TEXT(pizza_sales[[#This Row],[order_date]],"dddd")</f>
        <v>Wednesday</v>
      </c>
      <c r="H274" s="2">
        <v>0.77790509259259255</v>
      </c>
      <c r="I274">
        <v>16.25</v>
      </c>
      <c r="J274">
        <v>16.25</v>
      </c>
      <c r="K274" t="s">
        <v>59</v>
      </c>
      <c r="L274" t="s">
        <v>35</v>
      </c>
      <c r="M274" t="s">
        <v>40</v>
      </c>
      <c r="N274" t="s">
        <v>41</v>
      </c>
    </row>
    <row r="275" spans="1:14" x14ac:dyDescent="0.25">
      <c r="A275">
        <v>956</v>
      </c>
      <c r="B275">
        <v>419</v>
      </c>
      <c r="C275">
        <f>1/COUNTIF(B:B,pizza_sales[[#This Row],[order_id]])</f>
        <v>1</v>
      </c>
      <c r="D275" t="s">
        <v>47</v>
      </c>
      <c r="E275">
        <v>1</v>
      </c>
      <c r="F275" s="1">
        <v>42186</v>
      </c>
      <c r="G275" s="1" t="str">
        <f>TEXT(pizza_sales[[#This Row],[order_date]],"dddd")</f>
        <v>Wednesday</v>
      </c>
      <c r="H275" s="2">
        <v>0.79341435185185183</v>
      </c>
      <c r="I275">
        <v>16.5</v>
      </c>
      <c r="J275">
        <v>16.5</v>
      </c>
      <c r="K275" t="s">
        <v>58</v>
      </c>
      <c r="L275" t="s">
        <v>13</v>
      </c>
      <c r="M275" t="s">
        <v>14</v>
      </c>
      <c r="N275" t="s">
        <v>15</v>
      </c>
    </row>
    <row r="276" spans="1:14" x14ac:dyDescent="0.25">
      <c r="A276">
        <v>962</v>
      </c>
      <c r="B276">
        <v>421</v>
      </c>
      <c r="C276">
        <f>1/COUNTIF(B:B,pizza_sales[[#This Row],[order_id]])</f>
        <v>1</v>
      </c>
      <c r="D276" t="s">
        <v>56</v>
      </c>
      <c r="E276">
        <v>1</v>
      </c>
      <c r="F276" s="1">
        <v>42186</v>
      </c>
      <c r="G276" s="1" t="str">
        <f>TEXT(pizza_sales[[#This Row],[order_date]],"dddd")</f>
        <v>Wednesday</v>
      </c>
      <c r="H276" s="2">
        <v>0.80692129629629628</v>
      </c>
      <c r="I276">
        <v>20.25</v>
      </c>
      <c r="J276">
        <v>20.25</v>
      </c>
      <c r="K276" t="s">
        <v>58</v>
      </c>
      <c r="L276" t="s">
        <v>35</v>
      </c>
      <c r="M276" t="s">
        <v>36</v>
      </c>
      <c r="N276" t="s">
        <v>37</v>
      </c>
    </row>
    <row r="277" spans="1:14" x14ac:dyDescent="0.25">
      <c r="A277">
        <v>968</v>
      </c>
      <c r="B277">
        <v>423</v>
      </c>
      <c r="C277">
        <f>1/COUNTIF(B:B,pizza_sales[[#This Row],[order_id]])</f>
        <v>1</v>
      </c>
      <c r="D277" t="s">
        <v>48</v>
      </c>
      <c r="E277">
        <v>1</v>
      </c>
      <c r="F277" s="1">
        <v>42186</v>
      </c>
      <c r="G277" s="1" t="str">
        <f>TEXT(pizza_sales[[#This Row],[order_date]],"dddd")</f>
        <v>Wednesday</v>
      </c>
      <c r="H277" s="2">
        <v>0.82299768518518523</v>
      </c>
      <c r="I277">
        <v>12.25</v>
      </c>
      <c r="J277">
        <v>12.25</v>
      </c>
      <c r="K277" t="s">
        <v>60</v>
      </c>
      <c r="L277" t="s">
        <v>35</v>
      </c>
      <c r="M277" t="s">
        <v>40</v>
      </c>
      <c r="N277" t="s">
        <v>41</v>
      </c>
    </row>
    <row r="278" spans="1:14" x14ac:dyDescent="0.25">
      <c r="A278">
        <v>969</v>
      </c>
      <c r="B278">
        <v>424</v>
      </c>
      <c r="C278">
        <f>1/COUNTIF(B:B,pizza_sales[[#This Row],[order_id]])</f>
        <v>1</v>
      </c>
      <c r="D278" t="s">
        <v>42</v>
      </c>
      <c r="E278">
        <v>1</v>
      </c>
      <c r="F278" s="1">
        <v>42186</v>
      </c>
      <c r="G278" s="1" t="str">
        <f>TEXT(pizza_sales[[#This Row],[order_date]],"dddd")</f>
        <v>Wednesday</v>
      </c>
      <c r="H278" s="2">
        <v>0.8343518518518519</v>
      </c>
      <c r="I278">
        <v>12.5</v>
      </c>
      <c r="J278">
        <v>12.5</v>
      </c>
      <c r="K278" t="s">
        <v>59</v>
      </c>
      <c r="L278" t="s">
        <v>13</v>
      </c>
      <c r="M278" t="s">
        <v>26</v>
      </c>
      <c r="N278" t="s">
        <v>27</v>
      </c>
    </row>
    <row r="279" spans="1:14" x14ac:dyDescent="0.25">
      <c r="A279">
        <v>972</v>
      </c>
      <c r="B279">
        <v>426</v>
      </c>
      <c r="C279">
        <f>1/COUNTIF(B:B,pizza_sales[[#This Row],[order_id]])</f>
        <v>1</v>
      </c>
      <c r="D279" t="s">
        <v>48</v>
      </c>
      <c r="E279">
        <v>1</v>
      </c>
      <c r="F279" s="1">
        <v>42186</v>
      </c>
      <c r="G279" s="1" t="str">
        <f>TEXT(pizza_sales[[#This Row],[order_date]],"dddd")</f>
        <v>Wednesday</v>
      </c>
      <c r="H279" s="2">
        <v>0.85121527777777772</v>
      </c>
      <c r="I279">
        <v>12.25</v>
      </c>
      <c r="J279">
        <v>12.25</v>
      </c>
      <c r="K279" t="s">
        <v>60</v>
      </c>
      <c r="L279" t="s">
        <v>35</v>
      </c>
      <c r="M279" t="s">
        <v>40</v>
      </c>
      <c r="N279" t="s">
        <v>41</v>
      </c>
    </row>
    <row r="280" spans="1:14" x14ac:dyDescent="0.25">
      <c r="A280">
        <v>975</v>
      </c>
      <c r="B280">
        <v>428</v>
      </c>
      <c r="C280">
        <f>1/COUNTIF(B:B,pizza_sales[[#This Row],[order_id]])</f>
        <v>1</v>
      </c>
      <c r="D280" t="s">
        <v>56</v>
      </c>
      <c r="E280">
        <v>1</v>
      </c>
      <c r="F280" s="1">
        <v>42186</v>
      </c>
      <c r="G280" s="1" t="str">
        <f>TEXT(pizza_sales[[#This Row],[order_date]],"dddd")</f>
        <v>Wednesday</v>
      </c>
      <c r="H280" s="2">
        <v>0.92013888888888884</v>
      </c>
      <c r="I280">
        <v>20.25</v>
      </c>
      <c r="J280">
        <v>20.25</v>
      </c>
      <c r="K280" t="s">
        <v>58</v>
      </c>
      <c r="L280" t="s">
        <v>35</v>
      </c>
      <c r="M280" t="s">
        <v>36</v>
      </c>
      <c r="N280" t="s">
        <v>37</v>
      </c>
    </row>
    <row r="281" spans="1:14" x14ac:dyDescent="0.25">
      <c r="A281">
        <v>979</v>
      </c>
      <c r="B281">
        <v>430</v>
      </c>
      <c r="C281">
        <f>1/COUNTIF(B:B,pizza_sales[[#This Row],[order_id]])</f>
        <v>1</v>
      </c>
      <c r="D281" t="s">
        <v>48</v>
      </c>
      <c r="E281">
        <v>1</v>
      </c>
      <c r="F281" s="1">
        <v>42186</v>
      </c>
      <c r="G281" s="1" t="str">
        <f>TEXT(pizza_sales[[#This Row],[order_date]],"dddd")</f>
        <v>Wednesday</v>
      </c>
      <c r="H281" s="2">
        <v>0.94876157407407402</v>
      </c>
      <c r="I281">
        <v>12.25</v>
      </c>
      <c r="J281">
        <v>12.25</v>
      </c>
      <c r="K281" t="s">
        <v>60</v>
      </c>
      <c r="L281" t="s">
        <v>35</v>
      </c>
      <c r="M281" t="s">
        <v>40</v>
      </c>
      <c r="N281" t="s">
        <v>41</v>
      </c>
    </row>
    <row r="282" spans="1:14" x14ac:dyDescent="0.25">
      <c r="A282">
        <v>980</v>
      </c>
      <c r="B282">
        <v>431</v>
      </c>
      <c r="C282">
        <f>1/COUNTIF(B:B,pizza_sales[[#This Row],[order_id]])</f>
        <v>0.5</v>
      </c>
      <c r="D282" t="s">
        <v>28</v>
      </c>
      <c r="E282">
        <v>1</v>
      </c>
      <c r="F282" s="1">
        <v>42217</v>
      </c>
      <c r="G282" s="1" t="str">
        <f>TEXT(pizza_sales[[#This Row],[order_date]],"dddd")</f>
        <v>Saturday</v>
      </c>
      <c r="H282" s="2">
        <v>0.47028935185185183</v>
      </c>
      <c r="I282">
        <v>12</v>
      </c>
      <c r="J282">
        <v>12</v>
      </c>
      <c r="K282" t="s">
        <v>60</v>
      </c>
      <c r="L282" t="s">
        <v>13</v>
      </c>
      <c r="M282" t="s">
        <v>29</v>
      </c>
      <c r="N282" t="s">
        <v>30</v>
      </c>
    </row>
    <row r="283" spans="1:14" x14ac:dyDescent="0.25">
      <c r="A283">
        <v>983</v>
      </c>
      <c r="B283">
        <v>431</v>
      </c>
      <c r="C283">
        <f>1/COUNTIF(B:B,pizza_sales[[#This Row],[order_id]])</f>
        <v>0.5</v>
      </c>
      <c r="D283" t="s">
        <v>47</v>
      </c>
      <c r="E283">
        <v>1</v>
      </c>
      <c r="F283" s="1">
        <v>42217</v>
      </c>
      <c r="G283" s="1" t="str">
        <f>TEXT(pizza_sales[[#This Row],[order_date]],"dddd")</f>
        <v>Saturday</v>
      </c>
      <c r="H283" s="2">
        <v>0.47028935185185183</v>
      </c>
      <c r="I283">
        <v>16.5</v>
      </c>
      <c r="J283">
        <v>16.5</v>
      </c>
      <c r="K283" t="s">
        <v>58</v>
      </c>
      <c r="L283" t="s">
        <v>13</v>
      </c>
      <c r="M283" t="s">
        <v>14</v>
      </c>
      <c r="N283" t="s">
        <v>15</v>
      </c>
    </row>
    <row r="284" spans="1:14" x14ac:dyDescent="0.25">
      <c r="A284">
        <v>988</v>
      </c>
      <c r="B284">
        <v>434</v>
      </c>
      <c r="C284">
        <f>1/COUNTIF(B:B,pizza_sales[[#This Row],[order_id]])</f>
        <v>1</v>
      </c>
      <c r="D284" t="s">
        <v>50</v>
      </c>
      <c r="E284">
        <v>1</v>
      </c>
      <c r="F284" s="1">
        <v>42217</v>
      </c>
      <c r="G284" s="1" t="str">
        <f>TEXT(pizza_sales[[#This Row],[order_date]],"dddd")</f>
        <v>Saturday</v>
      </c>
      <c r="H284" s="2">
        <v>0.49599537037037039</v>
      </c>
      <c r="I284">
        <v>16</v>
      </c>
      <c r="J284">
        <v>16</v>
      </c>
      <c r="K284" t="s">
        <v>59</v>
      </c>
      <c r="L284" t="s">
        <v>13</v>
      </c>
      <c r="M284" t="s">
        <v>32</v>
      </c>
      <c r="N284" t="s">
        <v>33</v>
      </c>
    </row>
    <row r="285" spans="1:14" x14ac:dyDescent="0.25">
      <c r="A285">
        <v>1001</v>
      </c>
      <c r="B285">
        <v>439</v>
      </c>
      <c r="C285">
        <f>1/COUNTIF(B:B,pizza_sales[[#This Row],[order_id]])</f>
        <v>0.5</v>
      </c>
      <c r="D285" t="s">
        <v>42</v>
      </c>
      <c r="E285">
        <v>1</v>
      </c>
      <c r="F285" s="1">
        <v>42217</v>
      </c>
      <c r="G285" s="1" t="str">
        <f>TEXT(pizza_sales[[#This Row],[order_date]],"dddd")</f>
        <v>Saturday</v>
      </c>
      <c r="H285" s="2">
        <v>0.50912037037037039</v>
      </c>
      <c r="I285">
        <v>12.5</v>
      </c>
      <c r="J285">
        <v>12.5</v>
      </c>
      <c r="K285" t="s">
        <v>59</v>
      </c>
      <c r="L285" t="s">
        <v>13</v>
      </c>
      <c r="M285" t="s">
        <v>26</v>
      </c>
      <c r="N285" t="s">
        <v>27</v>
      </c>
    </row>
    <row r="286" spans="1:14" x14ac:dyDescent="0.25">
      <c r="A286">
        <v>1002</v>
      </c>
      <c r="B286">
        <v>439</v>
      </c>
      <c r="C286">
        <f>1/COUNTIF(B:B,pizza_sales[[#This Row],[order_id]])</f>
        <v>0.5</v>
      </c>
      <c r="D286" t="s">
        <v>20</v>
      </c>
      <c r="E286">
        <v>1</v>
      </c>
      <c r="F286" s="1">
        <v>42217</v>
      </c>
      <c r="G286" s="1" t="str">
        <f>TEXT(pizza_sales[[#This Row],[order_date]],"dddd")</f>
        <v>Saturday</v>
      </c>
      <c r="H286" s="2">
        <v>0.50912037037037039</v>
      </c>
      <c r="I286">
        <v>12</v>
      </c>
      <c r="J286">
        <v>12</v>
      </c>
      <c r="K286" t="s">
        <v>60</v>
      </c>
      <c r="L286" t="s">
        <v>13</v>
      </c>
      <c r="M286" t="s">
        <v>21</v>
      </c>
      <c r="N286" t="s">
        <v>22</v>
      </c>
    </row>
    <row r="287" spans="1:14" x14ac:dyDescent="0.25">
      <c r="A287">
        <v>1003</v>
      </c>
      <c r="B287">
        <v>440</v>
      </c>
      <c r="C287">
        <f>1/COUNTIF(B:B,pizza_sales[[#This Row],[order_id]])</f>
        <v>0.33333333333333331</v>
      </c>
      <c r="D287" t="s">
        <v>34</v>
      </c>
      <c r="E287">
        <v>1</v>
      </c>
      <c r="F287" s="1">
        <v>42217</v>
      </c>
      <c r="G287" s="1" t="str">
        <f>TEXT(pizza_sales[[#This Row],[order_date]],"dddd")</f>
        <v>Saturday</v>
      </c>
      <c r="H287" s="2">
        <v>0.51150462962962961</v>
      </c>
      <c r="I287">
        <v>16.25</v>
      </c>
      <c r="J287">
        <v>16.25</v>
      </c>
      <c r="K287" t="s">
        <v>59</v>
      </c>
      <c r="L287" t="s">
        <v>35</v>
      </c>
      <c r="M287" t="s">
        <v>36</v>
      </c>
      <c r="N287" t="s">
        <v>37</v>
      </c>
    </row>
    <row r="288" spans="1:14" x14ac:dyDescent="0.25">
      <c r="A288">
        <v>1010</v>
      </c>
      <c r="B288">
        <v>440</v>
      </c>
      <c r="C288">
        <f>1/COUNTIF(B:B,pizza_sales[[#This Row],[order_id]])</f>
        <v>0.33333333333333331</v>
      </c>
      <c r="D288" t="s">
        <v>47</v>
      </c>
      <c r="E288">
        <v>1</v>
      </c>
      <c r="F288" s="1">
        <v>42217</v>
      </c>
      <c r="G288" s="1" t="str">
        <f>TEXT(pizza_sales[[#This Row],[order_date]],"dddd")</f>
        <v>Saturday</v>
      </c>
      <c r="H288" s="2">
        <v>0.51150462962962961</v>
      </c>
      <c r="I288">
        <v>16.5</v>
      </c>
      <c r="J288">
        <v>16.5</v>
      </c>
      <c r="K288" t="s">
        <v>58</v>
      </c>
      <c r="L288" t="s">
        <v>13</v>
      </c>
      <c r="M288" t="s">
        <v>14</v>
      </c>
      <c r="N288" t="s">
        <v>15</v>
      </c>
    </row>
    <row r="289" spans="1:14" x14ac:dyDescent="0.25">
      <c r="A289">
        <v>1012</v>
      </c>
      <c r="B289">
        <v>440</v>
      </c>
      <c r="C289">
        <f>1/COUNTIF(B:B,pizza_sales[[#This Row],[order_id]])</f>
        <v>0.33333333333333331</v>
      </c>
      <c r="D289" t="s">
        <v>25</v>
      </c>
      <c r="E289">
        <v>1</v>
      </c>
      <c r="F289" s="1">
        <v>42217</v>
      </c>
      <c r="G289" s="1" t="str">
        <f>TEXT(pizza_sales[[#This Row],[order_date]],"dddd")</f>
        <v>Saturday</v>
      </c>
      <c r="H289" s="2">
        <v>0.51150462962962961</v>
      </c>
      <c r="I289">
        <v>15.25</v>
      </c>
      <c r="J289">
        <v>15.25</v>
      </c>
      <c r="K289" t="s">
        <v>58</v>
      </c>
      <c r="L289" t="s">
        <v>13</v>
      </c>
      <c r="M289" t="s">
        <v>26</v>
      </c>
      <c r="N289" t="s">
        <v>27</v>
      </c>
    </row>
    <row r="290" spans="1:14" x14ac:dyDescent="0.25">
      <c r="A290">
        <v>1020</v>
      </c>
      <c r="B290">
        <v>443</v>
      </c>
      <c r="C290">
        <f>1/COUNTIF(B:B,pizza_sales[[#This Row],[order_id]])</f>
        <v>0.2</v>
      </c>
      <c r="D290" t="s">
        <v>28</v>
      </c>
      <c r="E290">
        <v>1</v>
      </c>
      <c r="F290" s="1">
        <v>42217</v>
      </c>
      <c r="G290" s="1" t="str">
        <f>TEXT(pizza_sales[[#This Row],[order_date]],"dddd")</f>
        <v>Saturday</v>
      </c>
      <c r="H290" s="2">
        <v>0.52384259259259258</v>
      </c>
      <c r="I290">
        <v>12</v>
      </c>
      <c r="J290">
        <v>12</v>
      </c>
      <c r="K290" t="s">
        <v>60</v>
      </c>
      <c r="L290" t="s">
        <v>13</v>
      </c>
      <c r="M290" t="s">
        <v>29</v>
      </c>
      <c r="N290" t="s">
        <v>30</v>
      </c>
    </row>
    <row r="291" spans="1:14" x14ac:dyDescent="0.25">
      <c r="A291">
        <v>1025</v>
      </c>
      <c r="B291">
        <v>443</v>
      </c>
      <c r="C291">
        <f>1/COUNTIF(B:B,pizza_sales[[#This Row],[order_id]])</f>
        <v>0.2</v>
      </c>
      <c r="D291" t="s">
        <v>24</v>
      </c>
      <c r="E291">
        <v>1</v>
      </c>
      <c r="F291" s="1">
        <v>42217</v>
      </c>
      <c r="G291" s="1" t="str">
        <f>TEXT(pizza_sales[[#This Row],[order_date]],"dddd")</f>
        <v>Saturday</v>
      </c>
      <c r="H291" s="2">
        <v>0.52384259259259258</v>
      </c>
      <c r="I291">
        <v>20.25</v>
      </c>
      <c r="J291">
        <v>20.25</v>
      </c>
      <c r="K291" t="s">
        <v>58</v>
      </c>
      <c r="L291" t="s">
        <v>17</v>
      </c>
      <c r="M291" t="s">
        <v>18</v>
      </c>
      <c r="N291" t="s">
        <v>19</v>
      </c>
    </row>
    <row r="292" spans="1:14" x14ac:dyDescent="0.25">
      <c r="A292">
        <v>1026</v>
      </c>
      <c r="B292">
        <v>443</v>
      </c>
      <c r="C292">
        <f>1/COUNTIF(B:B,pizza_sales[[#This Row],[order_id]])</f>
        <v>0.2</v>
      </c>
      <c r="D292" t="s">
        <v>25</v>
      </c>
      <c r="E292">
        <v>1</v>
      </c>
      <c r="F292" s="1">
        <v>42217</v>
      </c>
      <c r="G292" s="1" t="str">
        <f>TEXT(pizza_sales[[#This Row],[order_date]],"dddd")</f>
        <v>Saturday</v>
      </c>
      <c r="H292" s="2">
        <v>0.52384259259259258</v>
      </c>
      <c r="I292">
        <v>15.25</v>
      </c>
      <c r="J292">
        <v>15.25</v>
      </c>
      <c r="K292" t="s">
        <v>58</v>
      </c>
      <c r="L292" t="s">
        <v>13</v>
      </c>
      <c r="M292" t="s">
        <v>26</v>
      </c>
      <c r="N292" t="s">
        <v>27</v>
      </c>
    </row>
    <row r="293" spans="1:14" x14ac:dyDescent="0.25">
      <c r="A293">
        <v>1027</v>
      </c>
      <c r="B293">
        <v>443</v>
      </c>
      <c r="C293">
        <f>1/COUNTIF(B:B,pizza_sales[[#This Row],[order_id]])</f>
        <v>0.2</v>
      </c>
      <c r="D293" t="s">
        <v>39</v>
      </c>
      <c r="E293">
        <v>1</v>
      </c>
      <c r="F293" s="1">
        <v>42217</v>
      </c>
      <c r="G293" s="1" t="str">
        <f>TEXT(pizza_sales[[#This Row],[order_date]],"dddd")</f>
        <v>Saturday</v>
      </c>
      <c r="H293" s="2">
        <v>0.52384259259259258</v>
      </c>
      <c r="I293">
        <v>20.25</v>
      </c>
      <c r="J293">
        <v>20.25</v>
      </c>
      <c r="K293" t="s">
        <v>58</v>
      </c>
      <c r="L293" t="s">
        <v>35</v>
      </c>
      <c r="M293" t="s">
        <v>40</v>
      </c>
      <c r="N293" t="s">
        <v>41</v>
      </c>
    </row>
    <row r="294" spans="1:14" x14ac:dyDescent="0.25">
      <c r="A294">
        <v>1028</v>
      </c>
      <c r="B294">
        <v>443</v>
      </c>
      <c r="C294">
        <f>1/COUNTIF(B:B,pizza_sales[[#This Row],[order_id]])</f>
        <v>0.2</v>
      </c>
      <c r="D294" t="s">
        <v>43</v>
      </c>
      <c r="E294">
        <v>1</v>
      </c>
      <c r="F294" s="1">
        <v>42217</v>
      </c>
      <c r="G294" s="1" t="str">
        <f>TEXT(pizza_sales[[#This Row],[order_date]],"dddd")</f>
        <v>Saturday</v>
      </c>
      <c r="H294" s="2">
        <v>0.52384259259259258</v>
      </c>
      <c r="I294">
        <v>16.25</v>
      </c>
      <c r="J294">
        <v>16.25</v>
      </c>
      <c r="K294" t="s">
        <v>59</v>
      </c>
      <c r="L294" t="s">
        <v>35</v>
      </c>
      <c r="M294" t="s">
        <v>40</v>
      </c>
      <c r="N294" t="s">
        <v>41</v>
      </c>
    </row>
    <row r="295" spans="1:14" x14ac:dyDescent="0.25">
      <c r="A295">
        <v>1035</v>
      </c>
      <c r="B295">
        <v>445</v>
      </c>
      <c r="C295">
        <f>1/COUNTIF(B:B,pizza_sales[[#This Row],[order_id]])</f>
        <v>1</v>
      </c>
      <c r="D295" t="s">
        <v>47</v>
      </c>
      <c r="E295">
        <v>1</v>
      </c>
      <c r="F295" s="1">
        <v>42217</v>
      </c>
      <c r="G295" s="1" t="str">
        <f>TEXT(pizza_sales[[#This Row],[order_date]],"dddd")</f>
        <v>Saturday</v>
      </c>
      <c r="H295" s="2">
        <v>0.54003472222222226</v>
      </c>
      <c r="I295">
        <v>16.5</v>
      </c>
      <c r="J295">
        <v>16.5</v>
      </c>
      <c r="K295" t="s">
        <v>58</v>
      </c>
      <c r="L295" t="s">
        <v>13</v>
      </c>
      <c r="M295" t="s">
        <v>14</v>
      </c>
      <c r="N295" t="s">
        <v>15</v>
      </c>
    </row>
    <row r="296" spans="1:14" x14ac:dyDescent="0.25">
      <c r="A296">
        <v>1036</v>
      </c>
      <c r="B296">
        <v>446</v>
      </c>
      <c r="C296">
        <f>1/COUNTIF(B:B,pizza_sales[[#This Row],[order_id]])</f>
        <v>0.5</v>
      </c>
      <c r="D296" t="s">
        <v>28</v>
      </c>
      <c r="E296">
        <v>1</v>
      </c>
      <c r="F296" s="1">
        <v>42217</v>
      </c>
      <c r="G296" s="1" t="str">
        <f>TEXT(pizza_sales[[#This Row],[order_date]],"dddd")</f>
        <v>Saturday</v>
      </c>
      <c r="H296" s="2">
        <v>0.5402893518518519</v>
      </c>
      <c r="I296">
        <v>12</v>
      </c>
      <c r="J296">
        <v>12</v>
      </c>
      <c r="K296" t="s">
        <v>60</v>
      </c>
      <c r="L296" t="s">
        <v>13</v>
      </c>
      <c r="M296" t="s">
        <v>29</v>
      </c>
      <c r="N296" t="s">
        <v>30</v>
      </c>
    </row>
    <row r="297" spans="1:14" x14ac:dyDescent="0.25">
      <c r="A297">
        <v>1038</v>
      </c>
      <c r="B297">
        <v>446</v>
      </c>
      <c r="C297">
        <f>1/COUNTIF(B:B,pizza_sales[[#This Row],[order_id]])</f>
        <v>0.5</v>
      </c>
      <c r="D297" t="s">
        <v>39</v>
      </c>
      <c r="E297">
        <v>1</v>
      </c>
      <c r="F297" s="1">
        <v>42217</v>
      </c>
      <c r="G297" s="1" t="str">
        <f>TEXT(pizza_sales[[#This Row],[order_date]],"dddd")</f>
        <v>Saturday</v>
      </c>
      <c r="H297" s="2">
        <v>0.5402893518518519</v>
      </c>
      <c r="I297">
        <v>20.25</v>
      </c>
      <c r="J297">
        <v>20.25</v>
      </c>
      <c r="K297" t="s">
        <v>58</v>
      </c>
      <c r="L297" t="s">
        <v>35</v>
      </c>
      <c r="M297" t="s">
        <v>40</v>
      </c>
      <c r="N297" t="s">
        <v>41</v>
      </c>
    </row>
    <row r="298" spans="1:14" x14ac:dyDescent="0.25">
      <c r="A298">
        <v>1040</v>
      </c>
      <c r="B298">
        <v>448</v>
      </c>
      <c r="C298">
        <f>1/COUNTIF(B:B,pizza_sales[[#This Row],[order_id]])</f>
        <v>0.5</v>
      </c>
      <c r="D298" t="s">
        <v>45</v>
      </c>
      <c r="E298">
        <v>1</v>
      </c>
      <c r="F298" s="1">
        <v>42217</v>
      </c>
      <c r="G298" s="1" t="str">
        <f>TEXT(pizza_sales[[#This Row],[order_date]],"dddd")</f>
        <v>Saturday</v>
      </c>
      <c r="H298" s="2">
        <v>0.5441435185185185</v>
      </c>
      <c r="I298">
        <v>10.5</v>
      </c>
      <c r="J298">
        <v>10.5</v>
      </c>
      <c r="K298" t="s">
        <v>60</v>
      </c>
      <c r="L298" t="s">
        <v>13</v>
      </c>
      <c r="M298" t="s">
        <v>14</v>
      </c>
      <c r="N298" t="s">
        <v>15</v>
      </c>
    </row>
    <row r="299" spans="1:14" x14ac:dyDescent="0.25">
      <c r="A299">
        <v>1042</v>
      </c>
      <c r="B299">
        <v>448</v>
      </c>
      <c r="C299">
        <f>1/COUNTIF(B:B,pizza_sales[[#This Row],[order_id]])</f>
        <v>0.5</v>
      </c>
      <c r="D299" t="s">
        <v>43</v>
      </c>
      <c r="E299">
        <v>1</v>
      </c>
      <c r="F299" s="1">
        <v>42217</v>
      </c>
      <c r="G299" s="1" t="str">
        <f>TEXT(pizza_sales[[#This Row],[order_date]],"dddd")</f>
        <v>Saturday</v>
      </c>
      <c r="H299" s="2">
        <v>0.5441435185185185</v>
      </c>
      <c r="I299">
        <v>16.25</v>
      </c>
      <c r="J299">
        <v>16.25</v>
      </c>
      <c r="K299" t="s">
        <v>59</v>
      </c>
      <c r="L299" t="s">
        <v>35</v>
      </c>
      <c r="M299" t="s">
        <v>40</v>
      </c>
      <c r="N299" t="s">
        <v>41</v>
      </c>
    </row>
    <row r="300" spans="1:14" x14ac:dyDescent="0.25">
      <c r="A300">
        <v>1044</v>
      </c>
      <c r="B300">
        <v>450</v>
      </c>
      <c r="C300">
        <f>1/COUNTIF(B:B,pizza_sales[[#This Row],[order_id]])</f>
        <v>1</v>
      </c>
      <c r="D300" t="s">
        <v>28</v>
      </c>
      <c r="E300">
        <v>1</v>
      </c>
      <c r="F300" s="1">
        <v>42217</v>
      </c>
      <c r="G300" s="1" t="str">
        <f>TEXT(pizza_sales[[#This Row],[order_date]],"dddd")</f>
        <v>Saturday</v>
      </c>
      <c r="H300" s="2">
        <v>0.54714120370370367</v>
      </c>
      <c r="I300">
        <v>12</v>
      </c>
      <c r="J300">
        <v>12</v>
      </c>
      <c r="K300" t="s">
        <v>60</v>
      </c>
      <c r="L300" t="s">
        <v>13</v>
      </c>
      <c r="M300" t="s">
        <v>29</v>
      </c>
      <c r="N300" t="s">
        <v>30</v>
      </c>
    </row>
    <row r="301" spans="1:14" x14ac:dyDescent="0.25">
      <c r="A301">
        <v>1049</v>
      </c>
      <c r="B301">
        <v>452</v>
      </c>
      <c r="C301">
        <f>1/COUNTIF(B:B,pizza_sales[[#This Row],[order_id]])</f>
        <v>0.5</v>
      </c>
      <c r="D301" t="s">
        <v>28</v>
      </c>
      <c r="E301">
        <v>1</v>
      </c>
      <c r="F301" s="1">
        <v>42217</v>
      </c>
      <c r="G301" s="1" t="str">
        <f>TEXT(pizza_sales[[#This Row],[order_date]],"dddd")</f>
        <v>Saturday</v>
      </c>
      <c r="H301" s="2">
        <v>0.55846064814814811</v>
      </c>
      <c r="I301">
        <v>12</v>
      </c>
      <c r="J301">
        <v>12</v>
      </c>
      <c r="K301" t="s">
        <v>60</v>
      </c>
      <c r="L301" t="s">
        <v>13</v>
      </c>
      <c r="M301" t="s">
        <v>29</v>
      </c>
      <c r="N301" t="s">
        <v>30</v>
      </c>
    </row>
    <row r="302" spans="1:14" x14ac:dyDescent="0.25">
      <c r="A302">
        <v>1050</v>
      </c>
      <c r="B302">
        <v>452</v>
      </c>
      <c r="C302">
        <f>1/COUNTIF(B:B,pizza_sales[[#This Row],[order_id]])</f>
        <v>0.5</v>
      </c>
      <c r="D302" t="s">
        <v>43</v>
      </c>
      <c r="E302">
        <v>1</v>
      </c>
      <c r="F302" s="1">
        <v>42217</v>
      </c>
      <c r="G302" s="1" t="str">
        <f>TEXT(pizza_sales[[#This Row],[order_date]],"dddd")</f>
        <v>Saturday</v>
      </c>
      <c r="H302" s="2">
        <v>0.55846064814814811</v>
      </c>
      <c r="I302">
        <v>16.25</v>
      </c>
      <c r="J302">
        <v>16.25</v>
      </c>
      <c r="K302" t="s">
        <v>59</v>
      </c>
      <c r="L302" t="s">
        <v>35</v>
      </c>
      <c r="M302" t="s">
        <v>40</v>
      </c>
      <c r="N302" t="s">
        <v>41</v>
      </c>
    </row>
    <row r="303" spans="1:14" x14ac:dyDescent="0.25">
      <c r="A303">
        <v>1053</v>
      </c>
      <c r="B303">
        <v>453</v>
      </c>
      <c r="C303">
        <f>1/COUNTIF(B:B,pizza_sales[[#This Row],[order_id]])</f>
        <v>1</v>
      </c>
      <c r="D303" t="s">
        <v>43</v>
      </c>
      <c r="E303">
        <v>1</v>
      </c>
      <c r="F303" s="1">
        <v>42217</v>
      </c>
      <c r="G303" s="1" t="str">
        <f>TEXT(pizza_sales[[#This Row],[order_date]],"dddd")</f>
        <v>Saturday</v>
      </c>
      <c r="H303" s="2">
        <v>0.56057870370370366</v>
      </c>
      <c r="I303">
        <v>16.25</v>
      </c>
      <c r="J303">
        <v>16.25</v>
      </c>
      <c r="K303" t="s">
        <v>59</v>
      </c>
      <c r="L303" t="s">
        <v>35</v>
      </c>
      <c r="M303" t="s">
        <v>40</v>
      </c>
      <c r="N303" t="s">
        <v>41</v>
      </c>
    </row>
    <row r="304" spans="1:14" x14ac:dyDescent="0.25">
      <c r="A304">
        <v>1063</v>
      </c>
      <c r="B304">
        <v>458</v>
      </c>
      <c r="C304">
        <f>1/COUNTIF(B:B,pizza_sales[[#This Row],[order_id]])</f>
        <v>1</v>
      </c>
      <c r="D304" t="s">
        <v>20</v>
      </c>
      <c r="E304">
        <v>1</v>
      </c>
      <c r="F304" s="1">
        <v>42217</v>
      </c>
      <c r="G304" s="1" t="str">
        <f>TEXT(pizza_sales[[#This Row],[order_date]],"dddd")</f>
        <v>Saturday</v>
      </c>
      <c r="H304" s="2">
        <v>0.58339120370370368</v>
      </c>
      <c r="I304">
        <v>12</v>
      </c>
      <c r="J304">
        <v>12</v>
      </c>
      <c r="K304" t="s">
        <v>60</v>
      </c>
      <c r="L304" t="s">
        <v>13</v>
      </c>
      <c r="M304" t="s">
        <v>21</v>
      </c>
      <c r="N304" t="s">
        <v>22</v>
      </c>
    </row>
    <row r="305" spans="1:14" x14ac:dyDescent="0.25">
      <c r="A305">
        <v>1068</v>
      </c>
      <c r="B305">
        <v>461</v>
      </c>
      <c r="C305">
        <f>1/COUNTIF(B:B,pizza_sales[[#This Row],[order_id]])</f>
        <v>1</v>
      </c>
      <c r="D305" t="s">
        <v>45</v>
      </c>
      <c r="E305">
        <v>1</v>
      </c>
      <c r="F305" s="1">
        <v>42217</v>
      </c>
      <c r="G305" s="1" t="str">
        <f>TEXT(pizza_sales[[#This Row],[order_date]],"dddd")</f>
        <v>Saturday</v>
      </c>
      <c r="H305" s="2">
        <v>0.59813657407407406</v>
      </c>
      <c r="I305">
        <v>10.5</v>
      </c>
      <c r="J305">
        <v>10.5</v>
      </c>
      <c r="K305" t="s">
        <v>60</v>
      </c>
      <c r="L305" t="s">
        <v>13</v>
      </c>
      <c r="M305" t="s">
        <v>14</v>
      </c>
      <c r="N305" t="s">
        <v>15</v>
      </c>
    </row>
    <row r="306" spans="1:14" x14ac:dyDescent="0.25">
      <c r="A306">
        <v>1073</v>
      </c>
      <c r="B306">
        <v>464</v>
      </c>
      <c r="C306">
        <f>1/COUNTIF(B:B,pizza_sales[[#This Row],[order_id]])</f>
        <v>1</v>
      </c>
      <c r="D306" t="s">
        <v>34</v>
      </c>
      <c r="E306">
        <v>1</v>
      </c>
      <c r="F306" s="1">
        <v>42217</v>
      </c>
      <c r="G306" s="1" t="str">
        <f>TEXT(pizza_sales[[#This Row],[order_date]],"dddd")</f>
        <v>Saturday</v>
      </c>
      <c r="H306" s="2">
        <v>0.61737268518518518</v>
      </c>
      <c r="I306">
        <v>16.25</v>
      </c>
      <c r="J306">
        <v>16.25</v>
      </c>
      <c r="K306" t="s">
        <v>59</v>
      </c>
      <c r="L306" t="s">
        <v>35</v>
      </c>
      <c r="M306" t="s">
        <v>36</v>
      </c>
      <c r="N306" t="s">
        <v>37</v>
      </c>
    </row>
    <row r="307" spans="1:14" x14ac:dyDescent="0.25">
      <c r="A307">
        <v>1074</v>
      </c>
      <c r="B307">
        <v>465</v>
      </c>
      <c r="C307">
        <f>1/COUNTIF(B:B,pizza_sales[[#This Row],[order_id]])</f>
        <v>1</v>
      </c>
      <c r="D307" t="s">
        <v>31</v>
      </c>
      <c r="E307">
        <v>1</v>
      </c>
      <c r="F307" s="1">
        <v>42217</v>
      </c>
      <c r="G307" s="1" t="str">
        <f>TEXT(pizza_sales[[#This Row],[order_date]],"dddd")</f>
        <v>Saturday</v>
      </c>
      <c r="H307" s="2">
        <v>0.62179398148148146</v>
      </c>
      <c r="I307">
        <v>12</v>
      </c>
      <c r="J307">
        <v>12</v>
      </c>
      <c r="K307" t="s">
        <v>60</v>
      </c>
      <c r="L307" t="s">
        <v>13</v>
      </c>
      <c r="M307" t="s">
        <v>32</v>
      </c>
      <c r="N307" t="s">
        <v>33</v>
      </c>
    </row>
    <row r="308" spans="1:14" x14ac:dyDescent="0.25">
      <c r="A308">
        <v>1076</v>
      </c>
      <c r="B308">
        <v>466</v>
      </c>
      <c r="C308">
        <f>1/COUNTIF(B:B,pizza_sales[[#This Row],[order_id]])</f>
        <v>1</v>
      </c>
      <c r="D308" t="s">
        <v>46</v>
      </c>
      <c r="E308">
        <v>1</v>
      </c>
      <c r="F308" s="1">
        <v>42217</v>
      </c>
      <c r="G308" s="1" t="str">
        <f>TEXT(pizza_sales[[#This Row],[order_date]],"dddd")</f>
        <v>Saturday</v>
      </c>
      <c r="H308" s="2">
        <v>0.64594907407407409</v>
      </c>
      <c r="I308">
        <v>25.5</v>
      </c>
      <c r="J308">
        <v>25.5</v>
      </c>
      <c r="K308" t="s">
        <v>61</v>
      </c>
      <c r="L308" t="s">
        <v>13</v>
      </c>
      <c r="M308" t="s">
        <v>21</v>
      </c>
      <c r="N308" t="s">
        <v>22</v>
      </c>
    </row>
    <row r="309" spans="1:14" x14ac:dyDescent="0.25">
      <c r="A309">
        <v>1079</v>
      </c>
      <c r="B309">
        <v>468</v>
      </c>
      <c r="C309">
        <f>1/COUNTIF(B:B,pizza_sales[[#This Row],[order_id]])</f>
        <v>1</v>
      </c>
      <c r="D309" t="s">
        <v>25</v>
      </c>
      <c r="E309">
        <v>1</v>
      </c>
      <c r="F309" s="1">
        <v>42217</v>
      </c>
      <c r="G309" s="1" t="str">
        <f>TEXT(pizza_sales[[#This Row],[order_date]],"dddd")</f>
        <v>Saturday</v>
      </c>
      <c r="H309" s="2">
        <v>0.65013888888888893</v>
      </c>
      <c r="I309">
        <v>15.25</v>
      </c>
      <c r="J309">
        <v>15.25</v>
      </c>
      <c r="K309" t="s">
        <v>58</v>
      </c>
      <c r="L309" t="s">
        <v>13</v>
      </c>
      <c r="M309" t="s">
        <v>26</v>
      </c>
      <c r="N309" t="s">
        <v>27</v>
      </c>
    </row>
    <row r="310" spans="1:14" x14ac:dyDescent="0.25">
      <c r="A310">
        <v>1081</v>
      </c>
      <c r="B310">
        <v>469</v>
      </c>
      <c r="C310">
        <f>1/COUNTIF(B:B,pizza_sales[[#This Row],[order_id]])</f>
        <v>1</v>
      </c>
      <c r="D310" t="s">
        <v>48</v>
      </c>
      <c r="E310">
        <v>1</v>
      </c>
      <c r="F310" s="1">
        <v>42217</v>
      </c>
      <c r="G310" s="1" t="str">
        <f>TEXT(pizza_sales[[#This Row],[order_date]],"dddd")</f>
        <v>Saturday</v>
      </c>
      <c r="H310" s="2">
        <v>0.65090277777777783</v>
      </c>
      <c r="I310">
        <v>12.25</v>
      </c>
      <c r="J310">
        <v>12.25</v>
      </c>
      <c r="K310" t="s">
        <v>60</v>
      </c>
      <c r="L310" t="s">
        <v>35</v>
      </c>
      <c r="M310" t="s">
        <v>40</v>
      </c>
      <c r="N310" t="s">
        <v>41</v>
      </c>
    </row>
    <row r="311" spans="1:14" x14ac:dyDescent="0.25">
      <c r="A311">
        <v>1086</v>
      </c>
      <c r="B311">
        <v>473</v>
      </c>
      <c r="C311">
        <f>1/COUNTIF(B:B,pizza_sales[[#This Row],[order_id]])</f>
        <v>1</v>
      </c>
      <c r="D311" t="s">
        <v>47</v>
      </c>
      <c r="E311">
        <v>1</v>
      </c>
      <c r="F311" s="1">
        <v>42217</v>
      </c>
      <c r="G311" s="1" t="str">
        <f>TEXT(pizza_sales[[#This Row],[order_date]],"dddd")</f>
        <v>Saturday</v>
      </c>
      <c r="H311" s="2">
        <v>0.69545138888888891</v>
      </c>
      <c r="I311">
        <v>16.5</v>
      </c>
      <c r="J311">
        <v>16.5</v>
      </c>
      <c r="K311" t="s">
        <v>58</v>
      </c>
      <c r="L311" t="s">
        <v>13</v>
      </c>
      <c r="M311" t="s">
        <v>14</v>
      </c>
      <c r="N311" t="s">
        <v>15</v>
      </c>
    </row>
    <row r="312" spans="1:14" x14ac:dyDescent="0.25">
      <c r="A312">
        <v>1090</v>
      </c>
      <c r="B312">
        <v>474</v>
      </c>
      <c r="C312">
        <f>1/COUNTIF(B:B,pizza_sales[[#This Row],[order_id]])</f>
        <v>1</v>
      </c>
      <c r="D312" t="s">
        <v>44</v>
      </c>
      <c r="E312">
        <v>1</v>
      </c>
      <c r="F312" s="1">
        <v>42217</v>
      </c>
      <c r="G312" s="1" t="str">
        <f>TEXT(pizza_sales[[#This Row],[order_date]],"dddd")</f>
        <v>Saturday</v>
      </c>
      <c r="H312" s="2">
        <v>0.69986111111111116</v>
      </c>
      <c r="I312">
        <v>9.75</v>
      </c>
      <c r="J312">
        <v>9.75</v>
      </c>
      <c r="K312" t="s">
        <v>60</v>
      </c>
      <c r="L312" t="s">
        <v>13</v>
      </c>
      <c r="M312" t="s">
        <v>26</v>
      </c>
      <c r="N312" t="s">
        <v>27</v>
      </c>
    </row>
    <row r="313" spans="1:14" x14ac:dyDescent="0.25">
      <c r="A313">
        <v>1091</v>
      </c>
      <c r="B313">
        <v>475</v>
      </c>
      <c r="C313">
        <f>1/COUNTIF(B:B,pizza_sales[[#This Row],[order_id]])</f>
        <v>1</v>
      </c>
      <c r="D313" t="s">
        <v>28</v>
      </c>
      <c r="E313">
        <v>1</v>
      </c>
      <c r="F313" s="1">
        <v>42217</v>
      </c>
      <c r="G313" s="1" t="str">
        <f>TEXT(pizza_sales[[#This Row],[order_date]],"dddd")</f>
        <v>Saturday</v>
      </c>
      <c r="H313" s="2">
        <v>0.71894675925925922</v>
      </c>
      <c r="I313">
        <v>12</v>
      </c>
      <c r="J313">
        <v>12</v>
      </c>
      <c r="K313" t="s">
        <v>60</v>
      </c>
      <c r="L313" t="s">
        <v>13</v>
      </c>
      <c r="M313" t="s">
        <v>29</v>
      </c>
      <c r="N313" t="s">
        <v>30</v>
      </c>
    </row>
    <row r="314" spans="1:14" x14ac:dyDescent="0.25">
      <c r="A314">
        <v>1093</v>
      </c>
      <c r="B314">
        <v>476</v>
      </c>
      <c r="C314">
        <f>1/COUNTIF(B:B,pizza_sales[[#This Row],[order_id]])</f>
        <v>1</v>
      </c>
      <c r="D314" t="s">
        <v>42</v>
      </c>
      <c r="E314">
        <v>1</v>
      </c>
      <c r="F314" s="1">
        <v>42217</v>
      </c>
      <c r="G314" s="1" t="str">
        <f>TEXT(pizza_sales[[#This Row],[order_date]],"dddd")</f>
        <v>Saturday</v>
      </c>
      <c r="H314" s="2">
        <v>0.72773148148148148</v>
      </c>
      <c r="I314">
        <v>12.5</v>
      </c>
      <c r="J314">
        <v>12.5</v>
      </c>
      <c r="K314" t="s">
        <v>59</v>
      </c>
      <c r="L314" t="s">
        <v>13</v>
      </c>
      <c r="M314" t="s">
        <v>26</v>
      </c>
      <c r="N314" t="s">
        <v>27</v>
      </c>
    </row>
    <row r="315" spans="1:14" x14ac:dyDescent="0.25">
      <c r="A315">
        <v>1097</v>
      </c>
      <c r="B315">
        <v>477</v>
      </c>
      <c r="C315">
        <f>1/COUNTIF(B:B,pizza_sales[[#This Row],[order_id]])</f>
        <v>1</v>
      </c>
      <c r="D315" t="s">
        <v>16</v>
      </c>
      <c r="E315">
        <v>1</v>
      </c>
      <c r="F315" s="1">
        <v>42217</v>
      </c>
      <c r="G315" s="1" t="str">
        <f>TEXT(pizza_sales[[#This Row],[order_date]],"dddd")</f>
        <v>Saturday</v>
      </c>
      <c r="H315" s="2">
        <v>0.72921296296296301</v>
      </c>
      <c r="I315">
        <v>16</v>
      </c>
      <c r="J315">
        <v>16</v>
      </c>
      <c r="K315" t="s">
        <v>59</v>
      </c>
      <c r="L315" t="s">
        <v>17</v>
      </c>
      <c r="M315" t="s">
        <v>18</v>
      </c>
      <c r="N315" t="s">
        <v>19</v>
      </c>
    </row>
    <row r="316" spans="1:14" x14ac:dyDescent="0.25">
      <c r="A316">
        <v>1098</v>
      </c>
      <c r="B316">
        <v>478</v>
      </c>
      <c r="C316">
        <f>1/COUNTIF(B:B,pizza_sales[[#This Row],[order_id]])</f>
        <v>1</v>
      </c>
      <c r="D316" t="s">
        <v>34</v>
      </c>
      <c r="E316">
        <v>1</v>
      </c>
      <c r="F316" s="1">
        <v>42217</v>
      </c>
      <c r="G316" s="1" t="str">
        <f>TEXT(pizza_sales[[#This Row],[order_date]],"dddd")</f>
        <v>Saturday</v>
      </c>
      <c r="H316" s="2">
        <v>0.73328703703703701</v>
      </c>
      <c r="I316">
        <v>16.25</v>
      </c>
      <c r="J316">
        <v>16.25</v>
      </c>
      <c r="K316" t="s">
        <v>59</v>
      </c>
      <c r="L316" t="s">
        <v>35</v>
      </c>
      <c r="M316" t="s">
        <v>36</v>
      </c>
      <c r="N316" t="s">
        <v>37</v>
      </c>
    </row>
    <row r="317" spans="1:14" x14ac:dyDescent="0.25">
      <c r="A317">
        <v>1102</v>
      </c>
      <c r="B317">
        <v>480</v>
      </c>
      <c r="C317">
        <f>1/COUNTIF(B:B,pizza_sales[[#This Row],[order_id]])</f>
        <v>1</v>
      </c>
      <c r="D317" t="s">
        <v>42</v>
      </c>
      <c r="E317">
        <v>1</v>
      </c>
      <c r="F317" s="1">
        <v>42217</v>
      </c>
      <c r="G317" s="1" t="str">
        <f>TEXT(pizza_sales[[#This Row],[order_date]],"dddd")</f>
        <v>Saturday</v>
      </c>
      <c r="H317" s="2">
        <v>0.73716435185185181</v>
      </c>
      <c r="I317">
        <v>12.5</v>
      </c>
      <c r="J317">
        <v>12.5</v>
      </c>
      <c r="K317" t="s">
        <v>59</v>
      </c>
      <c r="L317" t="s">
        <v>13</v>
      </c>
      <c r="M317" t="s">
        <v>26</v>
      </c>
      <c r="N317" t="s">
        <v>27</v>
      </c>
    </row>
    <row r="318" spans="1:14" x14ac:dyDescent="0.25">
      <c r="A318">
        <v>1103</v>
      </c>
      <c r="B318">
        <v>481</v>
      </c>
      <c r="C318">
        <f>1/COUNTIF(B:B,pizza_sales[[#This Row],[order_id]])</f>
        <v>1</v>
      </c>
      <c r="D318" t="s">
        <v>44</v>
      </c>
      <c r="E318">
        <v>1</v>
      </c>
      <c r="F318" s="1">
        <v>42217</v>
      </c>
      <c r="G318" s="1" t="str">
        <f>TEXT(pizza_sales[[#This Row],[order_date]],"dddd")</f>
        <v>Saturday</v>
      </c>
      <c r="H318" s="2">
        <v>0.73723379629629626</v>
      </c>
      <c r="I318">
        <v>9.75</v>
      </c>
      <c r="J318">
        <v>9.75</v>
      </c>
      <c r="K318" t="s">
        <v>60</v>
      </c>
      <c r="L318" t="s">
        <v>13</v>
      </c>
      <c r="M318" t="s">
        <v>26</v>
      </c>
      <c r="N318" t="s">
        <v>27</v>
      </c>
    </row>
    <row r="319" spans="1:14" x14ac:dyDescent="0.25">
      <c r="A319">
        <v>1109</v>
      </c>
      <c r="B319">
        <v>483</v>
      </c>
      <c r="C319">
        <f>1/COUNTIF(B:B,pizza_sales[[#This Row],[order_id]])</f>
        <v>1</v>
      </c>
      <c r="D319" t="s">
        <v>31</v>
      </c>
      <c r="E319">
        <v>1</v>
      </c>
      <c r="F319" s="1">
        <v>42217</v>
      </c>
      <c r="G319" s="1" t="str">
        <f>TEXT(pizza_sales[[#This Row],[order_date]],"dddd")</f>
        <v>Saturday</v>
      </c>
      <c r="H319" s="2">
        <v>0.74589120370370365</v>
      </c>
      <c r="I319">
        <v>12</v>
      </c>
      <c r="J319">
        <v>12</v>
      </c>
      <c r="K319" t="s">
        <v>60</v>
      </c>
      <c r="L319" t="s">
        <v>13</v>
      </c>
      <c r="M319" t="s">
        <v>32</v>
      </c>
      <c r="N319" t="s">
        <v>33</v>
      </c>
    </row>
    <row r="320" spans="1:14" x14ac:dyDescent="0.25">
      <c r="A320">
        <v>1113</v>
      </c>
      <c r="B320">
        <v>484</v>
      </c>
      <c r="C320">
        <f>1/COUNTIF(B:B,pizza_sales[[#This Row],[order_id]])</f>
        <v>1</v>
      </c>
      <c r="D320" t="s">
        <v>24</v>
      </c>
      <c r="E320">
        <v>1</v>
      </c>
      <c r="F320" s="1">
        <v>42217</v>
      </c>
      <c r="G320" s="1" t="str">
        <f>TEXT(pizza_sales[[#This Row],[order_date]],"dddd")</f>
        <v>Saturday</v>
      </c>
      <c r="H320" s="2">
        <v>0.75201388888888887</v>
      </c>
      <c r="I320">
        <v>20.25</v>
      </c>
      <c r="J320">
        <v>20.25</v>
      </c>
      <c r="K320" t="s">
        <v>58</v>
      </c>
      <c r="L320" t="s">
        <v>17</v>
      </c>
      <c r="M320" t="s">
        <v>18</v>
      </c>
      <c r="N320" t="s">
        <v>19</v>
      </c>
    </row>
    <row r="321" spans="1:14" x14ac:dyDescent="0.25">
      <c r="A321">
        <v>1116</v>
      </c>
      <c r="B321">
        <v>487</v>
      </c>
      <c r="C321">
        <f>1/COUNTIF(B:B,pizza_sales[[#This Row],[order_id]])</f>
        <v>0.5</v>
      </c>
      <c r="D321" t="s">
        <v>45</v>
      </c>
      <c r="E321">
        <v>1</v>
      </c>
      <c r="F321" s="1">
        <v>42217</v>
      </c>
      <c r="G321" s="1" t="str">
        <f>TEXT(pizza_sales[[#This Row],[order_date]],"dddd")</f>
        <v>Saturday</v>
      </c>
      <c r="H321" s="2">
        <v>0.77101851851851855</v>
      </c>
      <c r="I321">
        <v>10.5</v>
      </c>
      <c r="J321">
        <v>10.5</v>
      </c>
      <c r="K321" t="s">
        <v>60</v>
      </c>
      <c r="L321" t="s">
        <v>13</v>
      </c>
      <c r="M321" t="s">
        <v>14</v>
      </c>
      <c r="N321" t="s">
        <v>15</v>
      </c>
    </row>
    <row r="322" spans="1:14" x14ac:dyDescent="0.25">
      <c r="A322">
        <v>1117</v>
      </c>
      <c r="B322">
        <v>487</v>
      </c>
      <c r="C322">
        <f>1/COUNTIF(B:B,pizza_sales[[#This Row],[order_id]])</f>
        <v>0.5</v>
      </c>
      <c r="D322" t="s">
        <v>39</v>
      </c>
      <c r="E322">
        <v>1</v>
      </c>
      <c r="F322" s="1">
        <v>42217</v>
      </c>
      <c r="G322" s="1" t="str">
        <f>TEXT(pizza_sales[[#This Row],[order_date]],"dddd")</f>
        <v>Saturday</v>
      </c>
      <c r="H322" s="2">
        <v>0.77101851851851855</v>
      </c>
      <c r="I322">
        <v>20.25</v>
      </c>
      <c r="J322">
        <v>20.25</v>
      </c>
      <c r="K322" t="s">
        <v>58</v>
      </c>
      <c r="L322" t="s">
        <v>35</v>
      </c>
      <c r="M322" t="s">
        <v>40</v>
      </c>
      <c r="N322" t="s">
        <v>41</v>
      </c>
    </row>
    <row r="323" spans="1:14" x14ac:dyDescent="0.25">
      <c r="A323">
        <v>1121</v>
      </c>
      <c r="B323">
        <v>490</v>
      </c>
      <c r="C323">
        <f>1/COUNTIF(B:B,pizza_sales[[#This Row],[order_id]])</f>
        <v>0.5</v>
      </c>
      <c r="D323" t="s">
        <v>28</v>
      </c>
      <c r="E323">
        <v>1</v>
      </c>
      <c r="F323" s="1">
        <v>42217</v>
      </c>
      <c r="G323" s="1" t="str">
        <f>TEXT(pizza_sales[[#This Row],[order_date]],"dddd")</f>
        <v>Saturday</v>
      </c>
      <c r="H323" s="2">
        <v>0.78430555555555559</v>
      </c>
      <c r="I323">
        <v>12</v>
      </c>
      <c r="J323">
        <v>12</v>
      </c>
      <c r="K323" t="s">
        <v>60</v>
      </c>
      <c r="L323" t="s">
        <v>13</v>
      </c>
      <c r="M323" t="s">
        <v>29</v>
      </c>
      <c r="N323" t="s">
        <v>30</v>
      </c>
    </row>
    <row r="324" spans="1:14" x14ac:dyDescent="0.25">
      <c r="A324">
        <v>1123</v>
      </c>
      <c r="B324">
        <v>490</v>
      </c>
      <c r="C324">
        <f>1/COUNTIF(B:B,pizza_sales[[#This Row],[order_id]])</f>
        <v>0.5</v>
      </c>
      <c r="D324" t="s">
        <v>50</v>
      </c>
      <c r="E324">
        <v>1</v>
      </c>
      <c r="F324" s="1">
        <v>42217</v>
      </c>
      <c r="G324" s="1" t="str">
        <f>TEXT(pizza_sales[[#This Row],[order_date]],"dddd")</f>
        <v>Saturday</v>
      </c>
      <c r="H324" s="2">
        <v>0.78430555555555559</v>
      </c>
      <c r="I324">
        <v>16</v>
      </c>
      <c r="J324">
        <v>16</v>
      </c>
      <c r="K324" t="s">
        <v>59</v>
      </c>
      <c r="L324" t="s">
        <v>13</v>
      </c>
      <c r="M324" t="s">
        <v>32</v>
      </c>
      <c r="N324" t="s">
        <v>33</v>
      </c>
    </row>
    <row r="325" spans="1:14" x14ac:dyDescent="0.25">
      <c r="A325">
        <v>1124</v>
      </c>
      <c r="B325">
        <v>491</v>
      </c>
      <c r="C325">
        <f>1/COUNTIF(B:B,pizza_sales[[#This Row],[order_id]])</f>
        <v>0.5</v>
      </c>
      <c r="D325" t="s">
        <v>31</v>
      </c>
      <c r="E325">
        <v>1</v>
      </c>
      <c r="F325" s="1">
        <v>42217</v>
      </c>
      <c r="G325" s="1" t="str">
        <f>TEXT(pizza_sales[[#This Row],[order_date]],"dddd")</f>
        <v>Saturday</v>
      </c>
      <c r="H325" s="2">
        <v>0.79249999999999998</v>
      </c>
      <c r="I325">
        <v>12</v>
      </c>
      <c r="J325">
        <v>12</v>
      </c>
      <c r="K325" t="s">
        <v>60</v>
      </c>
      <c r="L325" t="s">
        <v>13</v>
      </c>
      <c r="M325" t="s">
        <v>32</v>
      </c>
      <c r="N325" t="s">
        <v>33</v>
      </c>
    </row>
    <row r="326" spans="1:14" x14ac:dyDescent="0.25">
      <c r="A326">
        <v>1125</v>
      </c>
      <c r="B326">
        <v>491</v>
      </c>
      <c r="C326">
        <f>1/COUNTIF(B:B,pizza_sales[[#This Row],[order_id]])</f>
        <v>0.5</v>
      </c>
      <c r="D326" t="s">
        <v>25</v>
      </c>
      <c r="E326">
        <v>1</v>
      </c>
      <c r="F326" s="1">
        <v>42217</v>
      </c>
      <c r="G326" s="1" t="str">
        <f>TEXT(pizza_sales[[#This Row],[order_date]],"dddd")</f>
        <v>Saturday</v>
      </c>
      <c r="H326" s="2">
        <v>0.79249999999999998</v>
      </c>
      <c r="I326">
        <v>15.25</v>
      </c>
      <c r="J326">
        <v>15.25</v>
      </c>
      <c r="K326" t="s">
        <v>58</v>
      </c>
      <c r="L326" t="s">
        <v>13</v>
      </c>
      <c r="M326" t="s">
        <v>26</v>
      </c>
      <c r="N326" t="s">
        <v>27</v>
      </c>
    </row>
    <row r="327" spans="1:14" x14ac:dyDescent="0.25">
      <c r="A327">
        <v>1129</v>
      </c>
      <c r="B327">
        <v>492</v>
      </c>
      <c r="C327">
        <f>1/COUNTIF(B:B,pizza_sales[[#This Row],[order_id]])</f>
        <v>1</v>
      </c>
      <c r="D327" t="s">
        <v>43</v>
      </c>
      <c r="E327">
        <v>1</v>
      </c>
      <c r="F327" s="1">
        <v>42217</v>
      </c>
      <c r="G327" s="1" t="str">
        <f>TEXT(pizza_sales[[#This Row],[order_date]],"dddd")</f>
        <v>Saturday</v>
      </c>
      <c r="H327" s="2">
        <v>0.79607638888888888</v>
      </c>
      <c r="I327">
        <v>16.25</v>
      </c>
      <c r="J327">
        <v>16.25</v>
      </c>
      <c r="K327" t="s">
        <v>59</v>
      </c>
      <c r="L327" t="s">
        <v>35</v>
      </c>
      <c r="M327" t="s">
        <v>40</v>
      </c>
      <c r="N327" t="s">
        <v>41</v>
      </c>
    </row>
    <row r="328" spans="1:14" x14ac:dyDescent="0.25">
      <c r="A328">
        <v>1134</v>
      </c>
      <c r="B328">
        <v>494</v>
      </c>
      <c r="C328">
        <f>1/COUNTIF(B:B,pizza_sales[[#This Row],[order_id]])</f>
        <v>1</v>
      </c>
      <c r="D328" t="s">
        <v>24</v>
      </c>
      <c r="E328">
        <v>1</v>
      </c>
      <c r="F328" s="1">
        <v>42217</v>
      </c>
      <c r="G328" s="1" t="str">
        <f>TEXT(pizza_sales[[#This Row],[order_date]],"dddd")</f>
        <v>Saturday</v>
      </c>
      <c r="H328" s="2">
        <v>0.81851851851851853</v>
      </c>
      <c r="I328">
        <v>20.25</v>
      </c>
      <c r="J328">
        <v>20.25</v>
      </c>
      <c r="K328" t="s">
        <v>58</v>
      </c>
      <c r="L328" t="s">
        <v>17</v>
      </c>
      <c r="M328" t="s">
        <v>18</v>
      </c>
      <c r="N328" t="s">
        <v>19</v>
      </c>
    </row>
    <row r="329" spans="1:14" x14ac:dyDescent="0.25">
      <c r="A329">
        <v>1137</v>
      </c>
      <c r="B329">
        <v>495</v>
      </c>
      <c r="C329">
        <f>1/COUNTIF(B:B,pizza_sales[[#This Row],[order_id]])</f>
        <v>1</v>
      </c>
      <c r="D329" t="s">
        <v>39</v>
      </c>
      <c r="E329">
        <v>1</v>
      </c>
      <c r="F329" s="1">
        <v>42217</v>
      </c>
      <c r="G329" s="1" t="str">
        <f>TEXT(pizza_sales[[#This Row],[order_date]],"dddd")</f>
        <v>Saturday</v>
      </c>
      <c r="H329" s="2">
        <v>0.82143518518518521</v>
      </c>
      <c r="I329">
        <v>20.25</v>
      </c>
      <c r="J329">
        <v>20.25</v>
      </c>
      <c r="K329" t="s">
        <v>58</v>
      </c>
      <c r="L329" t="s">
        <v>35</v>
      </c>
      <c r="M329" t="s">
        <v>40</v>
      </c>
      <c r="N329" t="s">
        <v>41</v>
      </c>
    </row>
    <row r="330" spans="1:14" x14ac:dyDescent="0.25">
      <c r="A330">
        <v>1138</v>
      </c>
      <c r="B330">
        <v>496</v>
      </c>
      <c r="C330">
        <f>1/COUNTIF(B:B,pizza_sales[[#This Row],[order_id]])</f>
        <v>1</v>
      </c>
      <c r="D330" t="s">
        <v>47</v>
      </c>
      <c r="E330">
        <v>1</v>
      </c>
      <c r="F330" s="1">
        <v>42217</v>
      </c>
      <c r="G330" s="1" t="str">
        <f>TEXT(pizza_sales[[#This Row],[order_date]],"dddd")</f>
        <v>Saturday</v>
      </c>
      <c r="H330" s="2">
        <v>0.82381944444444444</v>
      </c>
      <c r="I330">
        <v>16.5</v>
      </c>
      <c r="J330">
        <v>16.5</v>
      </c>
      <c r="K330" t="s">
        <v>58</v>
      </c>
      <c r="L330" t="s">
        <v>13</v>
      </c>
      <c r="M330" t="s">
        <v>14</v>
      </c>
      <c r="N330" t="s">
        <v>15</v>
      </c>
    </row>
    <row r="331" spans="1:14" x14ac:dyDescent="0.25">
      <c r="A331">
        <v>1142</v>
      </c>
      <c r="B331">
        <v>499</v>
      </c>
      <c r="C331">
        <f>1/COUNTIF(B:B,pizza_sales[[#This Row],[order_id]])</f>
        <v>0.5</v>
      </c>
      <c r="D331" t="s">
        <v>54</v>
      </c>
      <c r="E331">
        <v>1</v>
      </c>
      <c r="F331" s="1">
        <v>42217</v>
      </c>
      <c r="G331" s="1" t="str">
        <f>TEXT(pizza_sales[[#This Row],[order_date]],"dddd")</f>
        <v>Saturday</v>
      </c>
      <c r="H331" s="2">
        <v>0.88247685185185187</v>
      </c>
      <c r="I331">
        <v>12.25</v>
      </c>
      <c r="J331">
        <v>12.25</v>
      </c>
      <c r="K331" t="s">
        <v>60</v>
      </c>
      <c r="L331" t="s">
        <v>35</v>
      </c>
      <c r="M331" t="s">
        <v>36</v>
      </c>
      <c r="N331" t="s">
        <v>37</v>
      </c>
    </row>
    <row r="332" spans="1:14" x14ac:dyDescent="0.25">
      <c r="A332">
        <v>1144</v>
      </c>
      <c r="B332">
        <v>499</v>
      </c>
      <c r="C332">
        <f>1/COUNTIF(B:B,pizza_sales[[#This Row],[order_id]])</f>
        <v>0.5</v>
      </c>
      <c r="D332" t="s">
        <v>16</v>
      </c>
      <c r="E332">
        <v>1</v>
      </c>
      <c r="F332" s="1">
        <v>42217</v>
      </c>
      <c r="G332" s="1" t="str">
        <f>TEXT(pizza_sales[[#This Row],[order_date]],"dddd")</f>
        <v>Saturday</v>
      </c>
      <c r="H332" s="2">
        <v>0.88247685185185187</v>
      </c>
      <c r="I332">
        <v>16</v>
      </c>
      <c r="J332">
        <v>16</v>
      </c>
      <c r="K332" t="s">
        <v>59</v>
      </c>
      <c r="L332" t="s">
        <v>17</v>
      </c>
      <c r="M332" t="s">
        <v>18</v>
      </c>
      <c r="N332" t="s">
        <v>19</v>
      </c>
    </row>
    <row r="333" spans="1:14" x14ac:dyDescent="0.25">
      <c r="A333">
        <v>1148</v>
      </c>
      <c r="B333">
        <v>501</v>
      </c>
      <c r="C333">
        <f>1/COUNTIF(B:B,pizza_sales[[#This Row],[order_id]])</f>
        <v>1</v>
      </c>
      <c r="D333" t="s">
        <v>45</v>
      </c>
      <c r="E333">
        <v>1</v>
      </c>
      <c r="F333" s="1">
        <v>42217</v>
      </c>
      <c r="G333" s="1" t="str">
        <f>TEXT(pizza_sales[[#This Row],[order_date]],"dddd")</f>
        <v>Saturday</v>
      </c>
      <c r="H333" s="2">
        <v>0.91077546296296297</v>
      </c>
      <c r="I333">
        <v>10.5</v>
      </c>
      <c r="J333">
        <v>10.5</v>
      </c>
      <c r="K333" t="s">
        <v>60</v>
      </c>
      <c r="L333" t="s">
        <v>13</v>
      </c>
      <c r="M333" t="s">
        <v>14</v>
      </c>
      <c r="N333" t="s">
        <v>15</v>
      </c>
    </row>
    <row r="334" spans="1:14" x14ac:dyDescent="0.25">
      <c r="A334">
        <v>1151</v>
      </c>
      <c r="B334">
        <v>503</v>
      </c>
      <c r="C334">
        <f>1/COUNTIF(B:B,pizza_sales[[#This Row],[order_id]])</f>
        <v>0.5</v>
      </c>
      <c r="D334" t="s">
        <v>25</v>
      </c>
      <c r="E334">
        <v>1</v>
      </c>
      <c r="F334" s="1">
        <v>42248</v>
      </c>
      <c r="G334" s="1" t="str">
        <f>TEXT(pizza_sales[[#This Row],[order_date]],"dddd")</f>
        <v>Tuesday</v>
      </c>
      <c r="H334" s="2">
        <v>0.46968749999999998</v>
      </c>
      <c r="I334">
        <v>15.25</v>
      </c>
      <c r="J334">
        <v>15.25</v>
      </c>
      <c r="K334" t="s">
        <v>58</v>
      </c>
      <c r="L334" t="s">
        <v>13</v>
      </c>
      <c r="M334" t="s">
        <v>26</v>
      </c>
      <c r="N334" t="s">
        <v>27</v>
      </c>
    </row>
    <row r="335" spans="1:14" x14ac:dyDescent="0.25">
      <c r="A335">
        <v>1152</v>
      </c>
      <c r="B335">
        <v>503</v>
      </c>
      <c r="C335">
        <f>1/COUNTIF(B:B,pizza_sales[[#This Row],[order_id]])</f>
        <v>0.5</v>
      </c>
      <c r="D335" t="s">
        <v>43</v>
      </c>
      <c r="E335">
        <v>1</v>
      </c>
      <c r="F335" s="1">
        <v>42248</v>
      </c>
      <c r="G335" s="1" t="str">
        <f>TEXT(pizza_sales[[#This Row],[order_date]],"dddd")</f>
        <v>Tuesday</v>
      </c>
      <c r="H335" s="2">
        <v>0.46968749999999998</v>
      </c>
      <c r="I335">
        <v>16.25</v>
      </c>
      <c r="J335">
        <v>16.25</v>
      </c>
      <c r="K335" t="s">
        <v>59</v>
      </c>
      <c r="L335" t="s">
        <v>35</v>
      </c>
      <c r="M335" t="s">
        <v>40</v>
      </c>
      <c r="N335" t="s">
        <v>41</v>
      </c>
    </row>
    <row r="336" spans="1:14" x14ac:dyDescent="0.25">
      <c r="A336">
        <v>1153</v>
      </c>
      <c r="B336">
        <v>504</v>
      </c>
      <c r="C336">
        <f>1/COUNTIF(B:B,pizza_sales[[#This Row],[order_id]])</f>
        <v>1</v>
      </c>
      <c r="D336" t="s">
        <v>55</v>
      </c>
      <c r="E336">
        <v>1</v>
      </c>
      <c r="F336" s="1">
        <v>42248</v>
      </c>
      <c r="G336" s="1" t="str">
        <f>TEXT(pizza_sales[[#This Row],[order_date]],"dddd")</f>
        <v>Tuesday</v>
      </c>
      <c r="H336" s="2">
        <v>0.49187500000000001</v>
      </c>
      <c r="I336">
        <v>20.5</v>
      </c>
      <c r="J336">
        <v>20.5</v>
      </c>
      <c r="K336" t="s">
        <v>58</v>
      </c>
      <c r="L336" t="s">
        <v>13</v>
      </c>
      <c r="M336" t="s">
        <v>21</v>
      </c>
      <c r="N336" t="s">
        <v>22</v>
      </c>
    </row>
    <row r="337" spans="1:14" x14ac:dyDescent="0.25">
      <c r="A337">
        <v>1154</v>
      </c>
      <c r="B337">
        <v>505</v>
      </c>
      <c r="C337">
        <f>1/COUNTIF(B:B,pizza_sales[[#This Row],[order_id]])</f>
        <v>0.5</v>
      </c>
      <c r="D337" t="s">
        <v>42</v>
      </c>
      <c r="E337">
        <v>1</v>
      </c>
      <c r="F337" s="1">
        <v>42248</v>
      </c>
      <c r="G337" s="1" t="str">
        <f>TEXT(pizza_sales[[#This Row],[order_date]],"dddd")</f>
        <v>Tuesday</v>
      </c>
      <c r="H337" s="2">
        <v>0.49664351851851851</v>
      </c>
      <c r="I337">
        <v>12.5</v>
      </c>
      <c r="J337">
        <v>12.5</v>
      </c>
      <c r="K337" t="s">
        <v>59</v>
      </c>
      <c r="L337" t="s">
        <v>13</v>
      </c>
      <c r="M337" t="s">
        <v>26</v>
      </c>
      <c r="N337" t="s">
        <v>27</v>
      </c>
    </row>
    <row r="338" spans="1:14" x14ac:dyDescent="0.25">
      <c r="A338">
        <v>1155</v>
      </c>
      <c r="B338">
        <v>505</v>
      </c>
      <c r="C338">
        <f>1/COUNTIF(B:B,pizza_sales[[#This Row],[order_id]])</f>
        <v>0.5</v>
      </c>
      <c r="D338" t="s">
        <v>46</v>
      </c>
      <c r="E338">
        <v>1</v>
      </c>
      <c r="F338" s="1">
        <v>42248</v>
      </c>
      <c r="G338" s="1" t="str">
        <f>TEXT(pizza_sales[[#This Row],[order_date]],"dddd")</f>
        <v>Tuesday</v>
      </c>
      <c r="H338" s="2">
        <v>0.49664351851851851</v>
      </c>
      <c r="I338">
        <v>25.5</v>
      </c>
      <c r="J338">
        <v>25.5</v>
      </c>
      <c r="K338" t="s">
        <v>61</v>
      </c>
      <c r="L338" t="s">
        <v>13</v>
      </c>
      <c r="M338" t="s">
        <v>21</v>
      </c>
      <c r="N338" t="s">
        <v>22</v>
      </c>
    </row>
    <row r="339" spans="1:14" x14ac:dyDescent="0.25">
      <c r="A339">
        <v>1160</v>
      </c>
      <c r="B339">
        <v>508</v>
      </c>
      <c r="C339">
        <f>1/COUNTIF(B:B,pizza_sales[[#This Row],[order_id]])</f>
        <v>1</v>
      </c>
      <c r="D339" t="s">
        <v>42</v>
      </c>
      <c r="E339">
        <v>1</v>
      </c>
      <c r="F339" s="1">
        <v>42248</v>
      </c>
      <c r="G339" s="1" t="str">
        <f>TEXT(pizza_sales[[#This Row],[order_date]],"dddd")</f>
        <v>Tuesday</v>
      </c>
      <c r="H339" s="2">
        <v>0.5093981481481481</v>
      </c>
      <c r="I339">
        <v>12.5</v>
      </c>
      <c r="J339">
        <v>12.5</v>
      </c>
      <c r="K339" t="s">
        <v>59</v>
      </c>
      <c r="L339" t="s">
        <v>13</v>
      </c>
      <c r="M339" t="s">
        <v>26</v>
      </c>
      <c r="N339" t="s">
        <v>27</v>
      </c>
    </row>
    <row r="340" spans="1:14" x14ac:dyDescent="0.25">
      <c r="A340">
        <v>1170</v>
      </c>
      <c r="B340">
        <v>513</v>
      </c>
      <c r="C340">
        <f>1/COUNTIF(B:B,pizza_sales[[#This Row],[order_id]])</f>
        <v>1</v>
      </c>
      <c r="D340" t="s">
        <v>25</v>
      </c>
      <c r="E340">
        <v>1</v>
      </c>
      <c r="F340" s="1">
        <v>42248</v>
      </c>
      <c r="G340" s="1" t="str">
        <f>TEXT(pizza_sales[[#This Row],[order_date]],"dddd")</f>
        <v>Tuesday</v>
      </c>
      <c r="H340" s="2">
        <v>0.51583333333333337</v>
      </c>
      <c r="I340">
        <v>15.25</v>
      </c>
      <c r="J340">
        <v>15.25</v>
      </c>
      <c r="K340" t="s">
        <v>58</v>
      </c>
      <c r="L340" t="s">
        <v>13</v>
      </c>
      <c r="M340" t="s">
        <v>26</v>
      </c>
      <c r="N340" t="s">
        <v>27</v>
      </c>
    </row>
    <row r="341" spans="1:14" x14ac:dyDescent="0.25">
      <c r="A341">
        <v>1175</v>
      </c>
      <c r="B341">
        <v>516</v>
      </c>
      <c r="C341">
        <f>1/COUNTIF(B:B,pizza_sales[[#This Row],[order_id]])</f>
        <v>1</v>
      </c>
      <c r="D341" t="s">
        <v>38</v>
      </c>
      <c r="E341">
        <v>1</v>
      </c>
      <c r="F341" s="1">
        <v>42248</v>
      </c>
      <c r="G341" s="1" t="str">
        <f>TEXT(pizza_sales[[#This Row],[order_date]],"dddd")</f>
        <v>Tuesday</v>
      </c>
      <c r="H341" s="2">
        <v>0.54802083333333329</v>
      </c>
      <c r="I341">
        <v>20.5</v>
      </c>
      <c r="J341">
        <v>20.5</v>
      </c>
      <c r="K341" t="s">
        <v>58</v>
      </c>
      <c r="L341" t="s">
        <v>13</v>
      </c>
      <c r="M341" t="s">
        <v>32</v>
      </c>
      <c r="N341" t="s">
        <v>33</v>
      </c>
    </row>
    <row r="342" spans="1:14" x14ac:dyDescent="0.25">
      <c r="A342">
        <v>1177</v>
      </c>
      <c r="B342">
        <v>517</v>
      </c>
      <c r="C342">
        <f>1/COUNTIF(B:B,pizza_sales[[#This Row],[order_id]])</f>
        <v>1</v>
      </c>
      <c r="D342" t="s">
        <v>16</v>
      </c>
      <c r="E342">
        <v>1</v>
      </c>
      <c r="F342" s="1">
        <v>42248</v>
      </c>
      <c r="G342" s="1" t="str">
        <f>TEXT(pizza_sales[[#This Row],[order_date]],"dddd")</f>
        <v>Tuesday</v>
      </c>
      <c r="H342" s="2">
        <v>0.54804398148148148</v>
      </c>
      <c r="I342">
        <v>16</v>
      </c>
      <c r="J342">
        <v>16</v>
      </c>
      <c r="K342" t="s">
        <v>59</v>
      </c>
      <c r="L342" t="s">
        <v>17</v>
      </c>
      <c r="M342" t="s">
        <v>18</v>
      </c>
      <c r="N342" t="s">
        <v>19</v>
      </c>
    </row>
    <row r="343" spans="1:14" x14ac:dyDescent="0.25">
      <c r="A343">
        <v>1178</v>
      </c>
      <c r="B343">
        <v>518</v>
      </c>
      <c r="C343">
        <f>1/COUNTIF(B:B,pizza_sales[[#This Row],[order_id]])</f>
        <v>0.5</v>
      </c>
      <c r="D343" t="s">
        <v>28</v>
      </c>
      <c r="E343">
        <v>1</v>
      </c>
      <c r="F343" s="1">
        <v>42248</v>
      </c>
      <c r="G343" s="1" t="str">
        <f>TEXT(pizza_sales[[#This Row],[order_date]],"dddd")</f>
        <v>Tuesday</v>
      </c>
      <c r="H343" s="2">
        <v>0.54959490740740746</v>
      </c>
      <c r="I343">
        <v>12</v>
      </c>
      <c r="J343">
        <v>12</v>
      </c>
      <c r="K343" t="s">
        <v>60</v>
      </c>
      <c r="L343" t="s">
        <v>13</v>
      </c>
      <c r="M343" t="s">
        <v>29</v>
      </c>
      <c r="N343" t="s">
        <v>30</v>
      </c>
    </row>
    <row r="344" spans="1:14" x14ac:dyDescent="0.25">
      <c r="A344">
        <v>1180</v>
      </c>
      <c r="B344">
        <v>518</v>
      </c>
      <c r="C344">
        <f>1/COUNTIF(B:B,pizza_sales[[#This Row],[order_id]])</f>
        <v>0.5</v>
      </c>
      <c r="D344" t="s">
        <v>48</v>
      </c>
      <c r="E344">
        <v>1</v>
      </c>
      <c r="F344" s="1">
        <v>42248</v>
      </c>
      <c r="G344" s="1" t="str">
        <f>TEXT(pizza_sales[[#This Row],[order_date]],"dddd")</f>
        <v>Tuesday</v>
      </c>
      <c r="H344" s="2">
        <v>0.54959490740740746</v>
      </c>
      <c r="I344">
        <v>12.25</v>
      </c>
      <c r="J344">
        <v>12.25</v>
      </c>
      <c r="K344" t="s">
        <v>60</v>
      </c>
      <c r="L344" t="s">
        <v>35</v>
      </c>
      <c r="M344" t="s">
        <v>40</v>
      </c>
      <c r="N344" t="s">
        <v>41</v>
      </c>
    </row>
    <row r="345" spans="1:14" x14ac:dyDescent="0.25">
      <c r="A345">
        <v>1185</v>
      </c>
      <c r="B345">
        <v>522</v>
      </c>
      <c r="C345">
        <f>1/COUNTIF(B:B,pizza_sales[[#This Row],[order_id]])</f>
        <v>0.25</v>
      </c>
      <c r="D345" t="s">
        <v>28</v>
      </c>
      <c r="E345">
        <v>1</v>
      </c>
      <c r="F345" s="1">
        <v>42248</v>
      </c>
      <c r="G345" s="1" t="str">
        <f>TEXT(pizza_sales[[#This Row],[order_date]],"dddd")</f>
        <v>Tuesday</v>
      </c>
      <c r="H345" s="2">
        <v>0.58996527777777774</v>
      </c>
      <c r="I345">
        <v>12</v>
      </c>
      <c r="J345">
        <v>12</v>
      </c>
      <c r="K345" t="s">
        <v>60</v>
      </c>
      <c r="L345" t="s">
        <v>13</v>
      </c>
      <c r="M345" t="s">
        <v>29</v>
      </c>
      <c r="N345" t="s">
        <v>30</v>
      </c>
    </row>
    <row r="346" spans="1:14" x14ac:dyDescent="0.25">
      <c r="A346">
        <v>1192</v>
      </c>
      <c r="B346">
        <v>522</v>
      </c>
      <c r="C346">
        <f>1/COUNTIF(B:B,pizza_sales[[#This Row],[order_id]])</f>
        <v>0.25</v>
      </c>
      <c r="D346" t="s">
        <v>39</v>
      </c>
      <c r="E346">
        <v>1</v>
      </c>
      <c r="F346" s="1">
        <v>42248</v>
      </c>
      <c r="G346" s="1" t="str">
        <f>TEXT(pizza_sales[[#This Row],[order_date]],"dddd")</f>
        <v>Tuesday</v>
      </c>
      <c r="H346" s="2">
        <v>0.58996527777777774</v>
      </c>
      <c r="I346">
        <v>20.25</v>
      </c>
      <c r="J346">
        <v>20.25</v>
      </c>
      <c r="K346" t="s">
        <v>58</v>
      </c>
      <c r="L346" t="s">
        <v>35</v>
      </c>
      <c r="M346" t="s">
        <v>40</v>
      </c>
      <c r="N346" t="s">
        <v>41</v>
      </c>
    </row>
    <row r="347" spans="1:14" x14ac:dyDescent="0.25">
      <c r="A347">
        <v>1193</v>
      </c>
      <c r="B347">
        <v>522</v>
      </c>
      <c r="C347">
        <f>1/COUNTIF(B:B,pizza_sales[[#This Row],[order_id]])</f>
        <v>0.25</v>
      </c>
      <c r="D347" t="s">
        <v>55</v>
      </c>
      <c r="E347">
        <v>1</v>
      </c>
      <c r="F347" s="1">
        <v>42248</v>
      </c>
      <c r="G347" s="1" t="str">
        <f>TEXT(pizza_sales[[#This Row],[order_date]],"dddd")</f>
        <v>Tuesday</v>
      </c>
      <c r="H347" s="2">
        <v>0.58996527777777774</v>
      </c>
      <c r="I347">
        <v>20.5</v>
      </c>
      <c r="J347">
        <v>20.5</v>
      </c>
      <c r="K347" t="s">
        <v>58</v>
      </c>
      <c r="L347" t="s">
        <v>13</v>
      </c>
      <c r="M347" t="s">
        <v>21</v>
      </c>
      <c r="N347" t="s">
        <v>22</v>
      </c>
    </row>
    <row r="348" spans="1:14" x14ac:dyDescent="0.25">
      <c r="A348">
        <v>1194</v>
      </c>
      <c r="B348">
        <v>522</v>
      </c>
      <c r="C348">
        <f>1/COUNTIF(B:B,pizza_sales[[#This Row],[order_id]])</f>
        <v>0.25</v>
      </c>
      <c r="D348" t="s">
        <v>49</v>
      </c>
      <c r="E348">
        <v>1</v>
      </c>
      <c r="F348" s="1">
        <v>42248</v>
      </c>
      <c r="G348" s="1" t="str">
        <f>TEXT(pizza_sales[[#This Row],[order_date]],"dddd")</f>
        <v>Tuesday</v>
      </c>
      <c r="H348" s="2">
        <v>0.58996527777777774</v>
      </c>
      <c r="I348">
        <v>16</v>
      </c>
      <c r="J348">
        <v>16</v>
      </c>
      <c r="K348" t="s">
        <v>59</v>
      </c>
      <c r="L348" t="s">
        <v>13</v>
      </c>
      <c r="M348" t="s">
        <v>21</v>
      </c>
      <c r="N348" t="s">
        <v>22</v>
      </c>
    </row>
    <row r="349" spans="1:14" x14ac:dyDescent="0.25">
      <c r="A349">
        <v>1196</v>
      </c>
      <c r="B349">
        <v>524</v>
      </c>
      <c r="C349">
        <f>1/COUNTIF(B:B,pizza_sales[[#This Row],[order_id]])</f>
        <v>1</v>
      </c>
      <c r="D349" t="s">
        <v>48</v>
      </c>
      <c r="E349">
        <v>1</v>
      </c>
      <c r="F349" s="1">
        <v>42248</v>
      </c>
      <c r="G349" s="1" t="str">
        <f>TEXT(pizza_sales[[#This Row],[order_date]],"dddd")</f>
        <v>Tuesday</v>
      </c>
      <c r="H349" s="2">
        <v>0.6191550925925926</v>
      </c>
      <c r="I349">
        <v>12.25</v>
      </c>
      <c r="J349">
        <v>12.25</v>
      </c>
      <c r="K349" t="s">
        <v>60</v>
      </c>
      <c r="L349" t="s">
        <v>35</v>
      </c>
      <c r="M349" t="s">
        <v>40</v>
      </c>
      <c r="N349" t="s">
        <v>41</v>
      </c>
    </row>
    <row r="350" spans="1:14" x14ac:dyDescent="0.25">
      <c r="A350">
        <v>1198</v>
      </c>
      <c r="B350">
        <v>525</v>
      </c>
      <c r="C350">
        <f>1/COUNTIF(B:B,pizza_sales[[#This Row],[order_id]])</f>
        <v>1</v>
      </c>
      <c r="D350" t="s">
        <v>25</v>
      </c>
      <c r="E350">
        <v>1</v>
      </c>
      <c r="F350" s="1">
        <v>42248</v>
      </c>
      <c r="G350" s="1" t="str">
        <f>TEXT(pizza_sales[[#This Row],[order_date]],"dddd")</f>
        <v>Tuesday</v>
      </c>
      <c r="H350" s="2">
        <v>0.63108796296296299</v>
      </c>
      <c r="I350">
        <v>15.25</v>
      </c>
      <c r="J350">
        <v>15.25</v>
      </c>
      <c r="K350" t="s">
        <v>58</v>
      </c>
      <c r="L350" t="s">
        <v>13</v>
      </c>
      <c r="M350" t="s">
        <v>26</v>
      </c>
      <c r="N350" t="s">
        <v>27</v>
      </c>
    </row>
    <row r="351" spans="1:14" x14ac:dyDescent="0.25">
      <c r="A351">
        <v>1204</v>
      </c>
      <c r="B351">
        <v>529</v>
      </c>
      <c r="C351">
        <f>1/COUNTIF(B:B,pizza_sales[[#This Row],[order_id]])</f>
        <v>0.5</v>
      </c>
      <c r="D351" t="s">
        <v>34</v>
      </c>
      <c r="E351">
        <v>1</v>
      </c>
      <c r="F351" s="1">
        <v>42248</v>
      </c>
      <c r="G351" s="1" t="str">
        <f>TEXT(pizza_sales[[#This Row],[order_date]],"dddd")</f>
        <v>Tuesday</v>
      </c>
      <c r="H351" s="2">
        <v>0.64653935185185185</v>
      </c>
      <c r="I351">
        <v>16.25</v>
      </c>
      <c r="J351">
        <v>16.25</v>
      </c>
      <c r="K351" t="s">
        <v>59</v>
      </c>
      <c r="L351" t="s">
        <v>35</v>
      </c>
      <c r="M351" t="s">
        <v>36</v>
      </c>
      <c r="N351" t="s">
        <v>37</v>
      </c>
    </row>
    <row r="352" spans="1:14" x14ac:dyDescent="0.25">
      <c r="A352">
        <v>1206</v>
      </c>
      <c r="B352">
        <v>529</v>
      </c>
      <c r="C352">
        <f>1/COUNTIF(B:B,pizza_sales[[#This Row],[order_id]])</f>
        <v>0.5</v>
      </c>
      <c r="D352" t="s">
        <v>45</v>
      </c>
      <c r="E352">
        <v>1</v>
      </c>
      <c r="F352" s="1">
        <v>42248</v>
      </c>
      <c r="G352" s="1" t="str">
        <f>TEXT(pizza_sales[[#This Row],[order_date]],"dddd")</f>
        <v>Tuesday</v>
      </c>
      <c r="H352" s="2">
        <v>0.64653935185185185</v>
      </c>
      <c r="I352">
        <v>10.5</v>
      </c>
      <c r="J352">
        <v>10.5</v>
      </c>
      <c r="K352" t="s">
        <v>60</v>
      </c>
      <c r="L352" t="s">
        <v>13</v>
      </c>
      <c r="M352" t="s">
        <v>14</v>
      </c>
      <c r="N352" t="s">
        <v>15</v>
      </c>
    </row>
    <row r="353" spans="1:14" x14ac:dyDescent="0.25">
      <c r="A353">
        <v>1214</v>
      </c>
      <c r="B353">
        <v>533</v>
      </c>
      <c r="C353">
        <f>1/COUNTIF(B:B,pizza_sales[[#This Row],[order_id]])</f>
        <v>1</v>
      </c>
      <c r="D353" t="s">
        <v>46</v>
      </c>
      <c r="E353">
        <v>1</v>
      </c>
      <c r="F353" s="1">
        <v>42248</v>
      </c>
      <c r="G353" s="1" t="str">
        <f>TEXT(pizza_sales[[#This Row],[order_date]],"dddd")</f>
        <v>Tuesday</v>
      </c>
      <c r="H353" s="2">
        <v>0.68660879629629634</v>
      </c>
      <c r="I353">
        <v>25.5</v>
      </c>
      <c r="J353">
        <v>25.5</v>
      </c>
      <c r="K353" t="s">
        <v>61</v>
      </c>
      <c r="L353" t="s">
        <v>13</v>
      </c>
      <c r="M353" t="s">
        <v>21</v>
      </c>
      <c r="N353" t="s">
        <v>22</v>
      </c>
    </row>
    <row r="354" spans="1:14" x14ac:dyDescent="0.25">
      <c r="A354">
        <v>1218</v>
      </c>
      <c r="B354">
        <v>536</v>
      </c>
      <c r="C354">
        <f>1/COUNTIF(B:B,pizza_sales[[#This Row],[order_id]])</f>
        <v>1</v>
      </c>
      <c r="D354" t="s">
        <v>51</v>
      </c>
      <c r="E354">
        <v>1</v>
      </c>
      <c r="F354" s="1">
        <v>42248</v>
      </c>
      <c r="G354" s="1" t="str">
        <f>TEXT(pizza_sales[[#This Row],[order_date]],"dddd")</f>
        <v>Tuesday</v>
      </c>
      <c r="H354" s="2">
        <v>0.72141203703703705</v>
      </c>
      <c r="I354">
        <v>23.65</v>
      </c>
      <c r="J354">
        <v>23.65</v>
      </c>
      <c r="K354" t="s">
        <v>60</v>
      </c>
      <c r="L354" t="s">
        <v>35</v>
      </c>
      <c r="M354" t="s">
        <v>52</v>
      </c>
      <c r="N354" t="s">
        <v>53</v>
      </c>
    </row>
    <row r="355" spans="1:14" x14ac:dyDescent="0.25">
      <c r="A355">
        <v>1221</v>
      </c>
      <c r="B355">
        <v>537</v>
      </c>
      <c r="C355">
        <f>1/COUNTIF(B:B,pizza_sales[[#This Row],[order_id]])</f>
        <v>1</v>
      </c>
      <c r="D355" t="s">
        <v>45</v>
      </c>
      <c r="E355">
        <v>1</v>
      </c>
      <c r="F355" s="1">
        <v>42248</v>
      </c>
      <c r="G355" s="1" t="str">
        <f>TEXT(pizza_sales[[#This Row],[order_date]],"dddd")</f>
        <v>Tuesday</v>
      </c>
      <c r="H355" s="2">
        <v>0.72490740740740744</v>
      </c>
      <c r="I355">
        <v>10.5</v>
      </c>
      <c r="J355">
        <v>10.5</v>
      </c>
      <c r="K355" t="s">
        <v>60</v>
      </c>
      <c r="L355" t="s">
        <v>13</v>
      </c>
      <c r="M355" t="s">
        <v>14</v>
      </c>
      <c r="N355" t="s">
        <v>15</v>
      </c>
    </row>
    <row r="356" spans="1:14" x14ac:dyDescent="0.25">
      <c r="A356">
        <v>1228</v>
      </c>
      <c r="B356">
        <v>541</v>
      </c>
      <c r="C356">
        <f>1/COUNTIF(B:B,pizza_sales[[#This Row],[order_id]])</f>
        <v>1</v>
      </c>
      <c r="D356" t="s">
        <v>28</v>
      </c>
      <c r="E356">
        <v>1</v>
      </c>
      <c r="F356" s="1">
        <v>42248</v>
      </c>
      <c r="G356" s="1" t="str">
        <f>TEXT(pizza_sales[[#This Row],[order_date]],"dddd")</f>
        <v>Tuesday</v>
      </c>
      <c r="H356" s="2">
        <v>0.75540509259259259</v>
      </c>
      <c r="I356">
        <v>12</v>
      </c>
      <c r="J356">
        <v>12</v>
      </c>
      <c r="K356" t="s">
        <v>60</v>
      </c>
      <c r="L356" t="s">
        <v>13</v>
      </c>
      <c r="M356" t="s">
        <v>29</v>
      </c>
      <c r="N356" t="s">
        <v>30</v>
      </c>
    </row>
    <row r="357" spans="1:14" x14ac:dyDescent="0.25">
      <c r="A357">
        <v>1234</v>
      </c>
      <c r="B357">
        <v>544</v>
      </c>
      <c r="C357">
        <f>1/COUNTIF(B:B,pizza_sales[[#This Row],[order_id]])</f>
        <v>0.5</v>
      </c>
      <c r="D357" t="s">
        <v>50</v>
      </c>
      <c r="E357">
        <v>1</v>
      </c>
      <c r="F357" s="1">
        <v>42248</v>
      </c>
      <c r="G357" s="1" t="str">
        <f>TEXT(pizza_sales[[#This Row],[order_date]],"dddd")</f>
        <v>Tuesday</v>
      </c>
      <c r="H357" s="2">
        <v>0.77157407407407408</v>
      </c>
      <c r="I357">
        <v>16</v>
      </c>
      <c r="J357">
        <v>16</v>
      </c>
      <c r="K357" t="s">
        <v>59</v>
      </c>
      <c r="L357" t="s">
        <v>13</v>
      </c>
      <c r="M357" t="s">
        <v>32</v>
      </c>
      <c r="N357" t="s">
        <v>33</v>
      </c>
    </row>
    <row r="358" spans="1:14" x14ac:dyDescent="0.25">
      <c r="A358">
        <v>1235</v>
      </c>
      <c r="B358">
        <v>544</v>
      </c>
      <c r="C358">
        <f>1/COUNTIF(B:B,pizza_sales[[#This Row],[order_id]])</f>
        <v>0.5</v>
      </c>
      <c r="D358" t="s">
        <v>43</v>
      </c>
      <c r="E358">
        <v>1</v>
      </c>
      <c r="F358" s="1">
        <v>42248</v>
      </c>
      <c r="G358" s="1" t="str">
        <f>TEXT(pizza_sales[[#This Row],[order_date]],"dddd")</f>
        <v>Tuesday</v>
      </c>
      <c r="H358" s="2">
        <v>0.77157407407407408</v>
      </c>
      <c r="I358">
        <v>16.25</v>
      </c>
      <c r="J358">
        <v>16.25</v>
      </c>
      <c r="K358" t="s">
        <v>59</v>
      </c>
      <c r="L358" t="s">
        <v>35</v>
      </c>
      <c r="M358" t="s">
        <v>40</v>
      </c>
      <c r="N358" t="s">
        <v>41</v>
      </c>
    </row>
    <row r="359" spans="1:14" x14ac:dyDescent="0.25">
      <c r="A359">
        <v>1236</v>
      </c>
      <c r="B359">
        <v>545</v>
      </c>
      <c r="C359">
        <f>1/COUNTIF(B:B,pizza_sales[[#This Row],[order_id]])</f>
        <v>0.5</v>
      </c>
      <c r="D359" t="s">
        <v>25</v>
      </c>
      <c r="E359">
        <v>1</v>
      </c>
      <c r="F359" s="1">
        <v>42248</v>
      </c>
      <c r="G359" s="1" t="str">
        <f>TEXT(pizza_sales[[#This Row],[order_date]],"dddd")</f>
        <v>Tuesday</v>
      </c>
      <c r="H359" s="2">
        <v>0.78226851851851853</v>
      </c>
      <c r="I359">
        <v>15.25</v>
      </c>
      <c r="J359">
        <v>15.25</v>
      </c>
      <c r="K359" t="s">
        <v>58</v>
      </c>
      <c r="L359" t="s">
        <v>13</v>
      </c>
      <c r="M359" t="s">
        <v>26</v>
      </c>
      <c r="N359" t="s">
        <v>27</v>
      </c>
    </row>
    <row r="360" spans="1:14" x14ac:dyDescent="0.25">
      <c r="A360">
        <v>1237</v>
      </c>
      <c r="B360">
        <v>545</v>
      </c>
      <c r="C360">
        <f>1/COUNTIF(B:B,pizza_sales[[#This Row],[order_id]])</f>
        <v>0.5</v>
      </c>
      <c r="D360" t="s">
        <v>44</v>
      </c>
      <c r="E360">
        <v>1</v>
      </c>
      <c r="F360" s="1">
        <v>42248</v>
      </c>
      <c r="G360" s="1" t="str">
        <f>TEXT(pizza_sales[[#This Row],[order_date]],"dddd")</f>
        <v>Tuesday</v>
      </c>
      <c r="H360" s="2">
        <v>0.78226851851851853</v>
      </c>
      <c r="I360">
        <v>9.75</v>
      </c>
      <c r="J360">
        <v>9.75</v>
      </c>
      <c r="K360" t="s">
        <v>60</v>
      </c>
      <c r="L360" t="s">
        <v>13</v>
      </c>
      <c r="M360" t="s">
        <v>26</v>
      </c>
      <c r="N360" t="s">
        <v>27</v>
      </c>
    </row>
    <row r="361" spans="1:14" x14ac:dyDescent="0.25">
      <c r="A361">
        <v>1241</v>
      </c>
      <c r="B361">
        <v>547</v>
      </c>
      <c r="C361">
        <f>1/COUNTIF(B:B,pizza_sales[[#This Row],[order_id]])</f>
        <v>1</v>
      </c>
      <c r="D361" t="s">
        <v>28</v>
      </c>
      <c r="E361">
        <v>1</v>
      </c>
      <c r="F361" s="1">
        <v>42248</v>
      </c>
      <c r="G361" s="1" t="str">
        <f>TEXT(pizza_sales[[#This Row],[order_date]],"dddd")</f>
        <v>Tuesday</v>
      </c>
      <c r="H361" s="2">
        <v>0.78429398148148144</v>
      </c>
      <c r="I361">
        <v>12</v>
      </c>
      <c r="J361">
        <v>12</v>
      </c>
      <c r="K361" t="s">
        <v>60</v>
      </c>
      <c r="L361" t="s">
        <v>13</v>
      </c>
      <c r="M361" t="s">
        <v>29</v>
      </c>
      <c r="N361" t="s">
        <v>30</v>
      </c>
    </row>
    <row r="362" spans="1:14" x14ac:dyDescent="0.25">
      <c r="A362">
        <v>1242</v>
      </c>
      <c r="B362">
        <v>548</v>
      </c>
      <c r="C362">
        <f>1/COUNTIF(B:B,pizza_sales[[#This Row],[order_id]])</f>
        <v>1</v>
      </c>
      <c r="D362" t="s">
        <v>47</v>
      </c>
      <c r="E362">
        <v>1</v>
      </c>
      <c r="F362" s="1">
        <v>42248</v>
      </c>
      <c r="G362" s="1" t="str">
        <f>TEXT(pizza_sales[[#This Row],[order_date]],"dddd")</f>
        <v>Tuesday</v>
      </c>
      <c r="H362" s="2">
        <v>0.79593749999999996</v>
      </c>
      <c r="I362">
        <v>16.5</v>
      </c>
      <c r="J362">
        <v>16.5</v>
      </c>
      <c r="K362" t="s">
        <v>58</v>
      </c>
      <c r="L362" t="s">
        <v>13</v>
      </c>
      <c r="M362" t="s">
        <v>14</v>
      </c>
      <c r="N362" t="s">
        <v>15</v>
      </c>
    </row>
    <row r="363" spans="1:14" x14ac:dyDescent="0.25">
      <c r="A363">
        <v>1243</v>
      </c>
      <c r="B363">
        <v>549</v>
      </c>
      <c r="C363">
        <f>1/COUNTIF(B:B,pizza_sales[[#This Row],[order_id]])</f>
        <v>1</v>
      </c>
      <c r="D363" t="s">
        <v>28</v>
      </c>
      <c r="E363">
        <v>1</v>
      </c>
      <c r="F363" s="1">
        <v>42248</v>
      </c>
      <c r="G363" s="1" t="str">
        <f>TEXT(pizza_sales[[#This Row],[order_date]],"dddd")</f>
        <v>Tuesday</v>
      </c>
      <c r="H363" s="2">
        <v>0.79622685185185182</v>
      </c>
      <c r="I363">
        <v>12</v>
      </c>
      <c r="J363">
        <v>12</v>
      </c>
      <c r="K363" t="s">
        <v>60</v>
      </c>
      <c r="L363" t="s">
        <v>13</v>
      </c>
      <c r="M363" t="s">
        <v>29</v>
      </c>
      <c r="N363" t="s">
        <v>30</v>
      </c>
    </row>
    <row r="364" spans="1:14" x14ac:dyDescent="0.25">
      <c r="A364">
        <v>1246</v>
      </c>
      <c r="B364">
        <v>550</v>
      </c>
      <c r="C364">
        <f>1/COUNTIF(B:B,pizza_sales[[#This Row],[order_id]])</f>
        <v>1</v>
      </c>
      <c r="D364" t="s">
        <v>49</v>
      </c>
      <c r="E364">
        <v>1</v>
      </c>
      <c r="F364" s="1">
        <v>42248</v>
      </c>
      <c r="G364" s="1" t="str">
        <f>TEXT(pizza_sales[[#This Row],[order_date]],"dddd")</f>
        <v>Tuesday</v>
      </c>
      <c r="H364" s="2">
        <v>0.80068287037037034</v>
      </c>
      <c r="I364">
        <v>16</v>
      </c>
      <c r="J364">
        <v>16</v>
      </c>
      <c r="K364" t="s">
        <v>59</v>
      </c>
      <c r="L364" t="s">
        <v>13</v>
      </c>
      <c r="M364" t="s">
        <v>21</v>
      </c>
      <c r="N364" t="s">
        <v>22</v>
      </c>
    </row>
    <row r="365" spans="1:14" x14ac:dyDescent="0.25">
      <c r="A365">
        <v>1250</v>
      </c>
      <c r="B365">
        <v>551</v>
      </c>
      <c r="C365">
        <f>1/COUNTIF(B:B,pizza_sales[[#This Row],[order_id]])</f>
        <v>1</v>
      </c>
      <c r="D365" t="s">
        <v>49</v>
      </c>
      <c r="E365">
        <v>1</v>
      </c>
      <c r="F365" s="1">
        <v>42248</v>
      </c>
      <c r="G365" s="1" t="str">
        <f>TEXT(pizza_sales[[#This Row],[order_date]],"dddd")</f>
        <v>Tuesday</v>
      </c>
      <c r="H365" s="2">
        <v>0.81</v>
      </c>
      <c r="I365">
        <v>16</v>
      </c>
      <c r="J365">
        <v>16</v>
      </c>
      <c r="K365" t="s">
        <v>59</v>
      </c>
      <c r="L365" t="s">
        <v>13</v>
      </c>
      <c r="M365" t="s">
        <v>21</v>
      </c>
      <c r="N365" t="s">
        <v>22</v>
      </c>
    </row>
    <row r="366" spans="1:14" x14ac:dyDescent="0.25">
      <c r="A366">
        <v>1254</v>
      </c>
      <c r="B366">
        <v>553</v>
      </c>
      <c r="C366">
        <f>1/COUNTIF(B:B,pizza_sales[[#This Row],[order_id]])</f>
        <v>1</v>
      </c>
      <c r="D366" t="s">
        <v>24</v>
      </c>
      <c r="E366">
        <v>1</v>
      </c>
      <c r="F366" s="1">
        <v>42248</v>
      </c>
      <c r="G366" s="1" t="str">
        <f>TEXT(pizza_sales[[#This Row],[order_date]],"dddd")</f>
        <v>Tuesday</v>
      </c>
      <c r="H366" s="2">
        <v>0.84359953703703705</v>
      </c>
      <c r="I366">
        <v>20.25</v>
      </c>
      <c r="J366">
        <v>20.25</v>
      </c>
      <c r="K366" t="s">
        <v>58</v>
      </c>
      <c r="L366" t="s">
        <v>17</v>
      </c>
      <c r="M366" t="s">
        <v>18</v>
      </c>
      <c r="N366" t="s">
        <v>19</v>
      </c>
    </row>
    <row r="367" spans="1:14" x14ac:dyDescent="0.25">
      <c r="A367">
        <v>1258</v>
      </c>
      <c r="B367">
        <v>555</v>
      </c>
      <c r="C367">
        <f>1/COUNTIF(B:B,pizza_sales[[#This Row],[order_id]])</f>
        <v>1</v>
      </c>
      <c r="D367" t="s">
        <v>45</v>
      </c>
      <c r="E367">
        <v>1</v>
      </c>
      <c r="F367" s="1">
        <v>42248</v>
      </c>
      <c r="G367" s="1" t="str">
        <f>TEXT(pizza_sales[[#This Row],[order_date]],"dddd")</f>
        <v>Tuesday</v>
      </c>
      <c r="H367" s="2">
        <v>0.84612268518518519</v>
      </c>
      <c r="I367">
        <v>10.5</v>
      </c>
      <c r="J367">
        <v>10.5</v>
      </c>
      <c r="K367" t="s">
        <v>60</v>
      </c>
      <c r="L367" t="s">
        <v>13</v>
      </c>
      <c r="M367" t="s">
        <v>14</v>
      </c>
      <c r="N367" t="s">
        <v>15</v>
      </c>
    </row>
    <row r="368" spans="1:14" x14ac:dyDescent="0.25">
      <c r="A368">
        <v>1260</v>
      </c>
      <c r="B368">
        <v>556</v>
      </c>
      <c r="C368">
        <f>1/COUNTIF(B:B,pizza_sales[[#This Row],[order_id]])</f>
        <v>1</v>
      </c>
      <c r="D368" t="s">
        <v>46</v>
      </c>
      <c r="E368">
        <v>1</v>
      </c>
      <c r="F368" s="1">
        <v>42248</v>
      </c>
      <c r="G368" s="1" t="str">
        <f>TEXT(pizza_sales[[#This Row],[order_date]],"dddd")</f>
        <v>Tuesday</v>
      </c>
      <c r="H368" s="2">
        <v>0.84944444444444445</v>
      </c>
      <c r="I368">
        <v>25.5</v>
      </c>
      <c r="J368">
        <v>25.5</v>
      </c>
      <c r="K368" t="s">
        <v>61</v>
      </c>
      <c r="L368" t="s">
        <v>13</v>
      </c>
      <c r="M368" t="s">
        <v>21</v>
      </c>
      <c r="N368" t="s">
        <v>22</v>
      </c>
    </row>
    <row r="369" spans="1:14" x14ac:dyDescent="0.25">
      <c r="A369">
        <v>1261</v>
      </c>
      <c r="B369">
        <v>557</v>
      </c>
      <c r="C369">
        <f>1/COUNTIF(B:B,pizza_sales[[#This Row],[order_id]])</f>
        <v>1</v>
      </c>
      <c r="D369" t="s">
        <v>48</v>
      </c>
      <c r="E369">
        <v>1</v>
      </c>
      <c r="F369" s="1">
        <v>42248</v>
      </c>
      <c r="G369" s="1" t="str">
        <f>TEXT(pizza_sales[[#This Row],[order_date]],"dddd")</f>
        <v>Tuesday</v>
      </c>
      <c r="H369" s="2">
        <v>0.85423611111111108</v>
      </c>
      <c r="I369">
        <v>12.25</v>
      </c>
      <c r="J369">
        <v>12.25</v>
      </c>
      <c r="K369" t="s">
        <v>60</v>
      </c>
      <c r="L369" t="s">
        <v>35</v>
      </c>
      <c r="M369" t="s">
        <v>40</v>
      </c>
      <c r="N369" t="s">
        <v>41</v>
      </c>
    </row>
    <row r="370" spans="1:14" x14ac:dyDescent="0.25">
      <c r="A370">
        <v>1263</v>
      </c>
      <c r="B370">
        <v>558</v>
      </c>
      <c r="C370">
        <f>1/COUNTIF(B:B,pizza_sales[[#This Row],[order_id]])</f>
        <v>1</v>
      </c>
      <c r="D370" t="s">
        <v>12</v>
      </c>
      <c r="E370">
        <v>1</v>
      </c>
      <c r="F370" s="1">
        <v>42248</v>
      </c>
      <c r="G370" s="1" t="str">
        <f>TEXT(pizza_sales[[#This Row],[order_date]],"dddd")</f>
        <v>Tuesday</v>
      </c>
      <c r="H370" s="2">
        <v>0.86886574074074074</v>
      </c>
      <c r="I370">
        <v>13.25</v>
      </c>
      <c r="J370">
        <v>13.25</v>
      </c>
      <c r="K370" t="s">
        <v>59</v>
      </c>
      <c r="L370" t="s">
        <v>13</v>
      </c>
      <c r="M370" t="s">
        <v>14</v>
      </c>
      <c r="N370" t="s">
        <v>15</v>
      </c>
    </row>
    <row r="371" spans="1:14" x14ac:dyDescent="0.25">
      <c r="A371">
        <v>1269</v>
      </c>
      <c r="B371">
        <v>563</v>
      </c>
      <c r="C371">
        <f>1/COUNTIF(B:B,pizza_sales[[#This Row],[order_id]])</f>
        <v>1</v>
      </c>
      <c r="D371" t="s">
        <v>24</v>
      </c>
      <c r="E371">
        <v>1</v>
      </c>
      <c r="F371" s="1">
        <v>42248</v>
      </c>
      <c r="G371" s="1" t="str">
        <f>TEXT(pizza_sales[[#This Row],[order_date]],"dddd")</f>
        <v>Tuesday</v>
      </c>
      <c r="H371" s="2">
        <v>0.92989583333333337</v>
      </c>
      <c r="I371">
        <v>20.25</v>
      </c>
      <c r="J371">
        <v>20.25</v>
      </c>
      <c r="K371" t="s">
        <v>58</v>
      </c>
      <c r="L371" t="s">
        <v>17</v>
      </c>
      <c r="M371" t="s">
        <v>18</v>
      </c>
      <c r="N371" t="s">
        <v>19</v>
      </c>
    </row>
    <row r="372" spans="1:14" x14ac:dyDescent="0.25">
      <c r="A372">
        <v>1272</v>
      </c>
      <c r="B372">
        <v>564</v>
      </c>
      <c r="C372">
        <f>1/COUNTIF(B:B,pizza_sales[[#This Row],[order_id]])</f>
        <v>1</v>
      </c>
      <c r="D372" t="s">
        <v>42</v>
      </c>
      <c r="E372">
        <v>1</v>
      </c>
      <c r="F372" s="1">
        <v>42248</v>
      </c>
      <c r="G372" s="1" t="str">
        <f>TEXT(pizza_sales[[#This Row],[order_date]],"dddd")</f>
        <v>Tuesday</v>
      </c>
      <c r="H372" s="2">
        <v>0.93925925925925924</v>
      </c>
      <c r="I372">
        <v>12.5</v>
      </c>
      <c r="J372">
        <v>12.5</v>
      </c>
      <c r="K372" t="s">
        <v>59</v>
      </c>
      <c r="L372" t="s">
        <v>13</v>
      </c>
      <c r="M372" t="s">
        <v>26</v>
      </c>
      <c r="N372" t="s">
        <v>27</v>
      </c>
    </row>
    <row r="373" spans="1:14" x14ac:dyDescent="0.25">
      <c r="A373">
        <v>1279</v>
      </c>
      <c r="B373">
        <v>567</v>
      </c>
      <c r="C373">
        <f>1/COUNTIF(B:B,pizza_sales[[#This Row],[order_id]])</f>
        <v>0.33333333333333331</v>
      </c>
      <c r="D373" t="s">
        <v>42</v>
      </c>
      <c r="E373">
        <v>1</v>
      </c>
      <c r="F373" s="1">
        <v>42278</v>
      </c>
      <c r="G373" s="1" t="str">
        <f>TEXT(pizza_sales[[#This Row],[order_date]],"dddd")</f>
        <v>Thursday</v>
      </c>
      <c r="H373" s="2">
        <v>0.51929398148148154</v>
      </c>
      <c r="I373">
        <v>12.5</v>
      </c>
      <c r="J373">
        <v>12.5</v>
      </c>
      <c r="K373" t="s">
        <v>59</v>
      </c>
      <c r="L373" t="s">
        <v>13</v>
      </c>
      <c r="M373" t="s">
        <v>26</v>
      </c>
      <c r="N373" t="s">
        <v>27</v>
      </c>
    </row>
    <row r="374" spans="1:14" x14ac:dyDescent="0.25">
      <c r="A374">
        <v>1280</v>
      </c>
      <c r="B374">
        <v>567</v>
      </c>
      <c r="C374">
        <f>1/COUNTIF(B:B,pizza_sales[[#This Row],[order_id]])</f>
        <v>0.33333333333333331</v>
      </c>
      <c r="D374" t="s">
        <v>43</v>
      </c>
      <c r="E374">
        <v>1</v>
      </c>
      <c r="F374" s="1">
        <v>42278</v>
      </c>
      <c r="G374" s="1" t="str">
        <f>TEXT(pizza_sales[[#This Row],[order_date]],"dddd")</f>
        <v>Thursday</v>
      </c>
      <c r="H374" s="2">
        <v>0.51929398148148154</v>
      </c>
      <c r="I374">
        <v>16.25</v>
      </c>
      <c r="J374">
        <v>16.25</v>
      </c>
      <c r="K374" t="s">
        <v>59</v>
      </c>
      <c r="L374" t="s">
        <v>35</v>
      </c>
      <c r="M374" t="s">
        <v>40</v>
      </c>
      <c r="N374" t="s">
        <v>41</v>
      </c>
    </row>
    <row r="375" spans="1:14" x14ac:dyDescent="0.25">
      <c r="A375">
        <v>1281</v>
      </c>
      <c r="B375">
        <v>567</v>
      </c>
      <c r="C375">
        <f>1/COUNTIF(B:B,pizza_sales[[#This Row],[order_id]])</f>
        <v>0.33333333333333331</v>
      </c>
      <c r="D375" t="s">
        <v>48</v>
      </c>
      <c r="E375">
        <v>1</v>
      </c>
      <c r="F375" s="1">
        <v>42278</v>
      </c>
      <c r="G375" s="1" t="str">
        <f>TEXT(pizza_sales[[#This Row],[order_date]],"dddd")</f>
        <v>Thursday</v>
      </c>
      <c r="H375" s="2">
        <v>0.51929398148148154</v>
      </c>
      <c r="I375">
        <v>12.25</v>
      </c>
      <c r="J375">
        <v>12.25</v>
      </c>
      <c r="K375" t="s">
        <v>60</v>
      </c>
      <c r="L375" t="s">
        <v>35</v>
      </c>
      <c r="M375" t="s">
        <v>40</v>
      </c>
      <c r="N375" t="s">
        <v>41</v>
      </c>
    </row>
    <row r="376" spans="1:14" x14ac:dyDescent="0.25">
      <c r="A376">
        <v>1286</v>
      </c>
      <c r="B376">
        <v>568</v>
      </c>
      <c r="C376">
        <f>1/COUNTIF(B:B,pizza_sales[[#This Row],[order_id]])</f>
        <v>1</v>
      </c>
      <c r="D376" t="s">
        <v>24</v>
      </c>
      <c r="E376">
        <v>1</v>
      </c>
      <c r="F376" s="1">
        <v>42278</v>
      </c>
      <c r="G376" s="1" t="str">
        <f>TEXT(pizza_sales[[#This Row],[order_date]],"dddd")</f>
        <v>Thursday</v>
      </c>
      <c r="H376" s="2">
        <v>0.52005787037037032</v>
      </c>
      <c r="I376">
        <v>20.25</v>
      </c>
      <c r="J376">
        <v>20.25</v>
      </c>
      <c r="K376" t="s">
        <v>58</v>
      </c>
      <c r="L376" t="s">
        <v>17</v>
      </c>
      <c r="M376" t="s">
        <v>18</v>
      </c>
      <c r="N376" t="s">
        <v>19</v>
      </c>
    </row>
    <row r="377" spans="1:14" x14ac:dyDescent="0.25">
      <c r="A377">
        <v>1292</v>
      </c>
      <c r="B377">
        <v>571</v>
      </c>
      <c r="C377">
        <f>1/COUNTIF(B:B,pizza_sales[[#This Row],[order_id]])</f>
        <v>1</v>
      </c>
      <c r="D377" t="s">
        <v>28</v>
      </c>
      <c r="E377">
        <v>1</v>
      </c>
      <c r="F377" s="1">
        <v>42278</v>
      </c>
      <c r="G377" s="1" t="str">
        <f>TEXT(pizza_sales[[#This Row],[order_date]],"dddd")</f>
        <v>Thursday</v>
      </c>
      <c r="H377" s="2">
        <v>0.55193287037037042</v>
      </c>
      <c r="I377">
        <v>12</v>
      </c>
      <c r="J377">
        <v>12</v>
      </c>
      <c r="K377" t="s">
        <v>60</v>
      </c>
      <c r="L377" t="s">
        <v>13</v>
      </c>
      <c r="M377" t="s">
        <v>29</v>
      </c>
      <c r="N377" t="s">
        <v>30</v>
      </c>
    </row>
    <row r="378" spans="1:14" x14ac:dyDescent="0.25">
      <c r="A378">
        <v>1298</v>
      </c>
      <c r="B378">
        <v>575</v>
      </c>
      <c r="C378">
        <f>1/COUNTIF(B:B,pizza_sales[[#This Row],[order_id]])</f>
        <v>0.5</v>
      </c>
      <c r="D378" t="s">
        <v>38</v>
      </c>
      <c r="E378">
        <v>1</v>
      </c>
      <c r="F378" s="1">
        <v>42278</v>
      </c>
      <c r="G378" s="1" t="str">
        <f>TEXT(pizza_sales[[#This Row],[order_date]],"dddd")</f>
        <v>Thursday</v>
      </c>
      <c r="H378" s="2">
        <v>0.57018518518518524</v>
      </c>
      <c r="I378">
        <v>20.5</v>
      </c>
      <c r="J378">
        <v>20.5</v>
      </c>
      <c r="K378" t="s">
        <v>58</v>
      </c>
      <c r="L378" t="s">
        <v>13</v>
      </c>
      <c r="M378" t="s">
        <v>32</v>
      </c>
      <c r="N378" t="s">
        <v>33</v>
      </c>
    </row>
    <row r="379" spans="1:14" x14ac:dyDescent="0.25">
      <c r="A379">
        <v>1299</v>
      </c>
      <c r="B379">
        <v>575</v>
      </c>
      <c r="C379">
        <f>1/COUNTIF(B:B,pizza_sales[[#This Row],[order_id]])</f>
        <v>0.5</v>
      </c>
      <c r="D379" t="s">
        <v>25</v>
      </c>
      <c r="E379">
        <v>1</v>
      </c>
      <c r="F379" s="1">
        <v>42278</v>
      </c>
      <c r="G379" s="1" t="str">
        <f>TEXT(pizza_sales[[#This Row],[order_date]],"dddd")</f>
        <v>Thursday</v>
      </c>
      <c r="H379" s="2">
        <v>0.57018518518518524</v>
      </c>
      <c r="I379">
        <v>15.25</v>
      </c>
      <c r="J379">
        <v>15.25</v>
      </c>
      <c r="K379" t="s">
        <v>58</v>
      </c>
      <c r="L379" t="s">
        <v>13</v>
      </c>
      <c r="M379" t="s">
        <v>26</v>
      </c>
      <c r="N379" t="s">
        <v>27</v>
      </c>
    </row>
    <row r="380" spans="1:14" x14ac:dyDescent="0.25">
      <c r="A380">
        <v>1301</v>
      </c>
      <c r="B380">
        <v>576</v>
      </c>
      <c r="C380">
        <f>1/COUNTIF(B:B,pizza_sales[[#This Row],[order_id]])</f>
        <v>1</v>
      </c>
      <c r="D380" t="s">
        <v>28</v>
      </c>
      <c r="E380">
        <v>1</v>
      </c>
      <c r="F380" s="1">
        <v>42278</v>
      </c>
      <c r="G380" s="1" t="str">
        <f>TEXT(pizza_sales[[#This Row],[order_date]],"dddd")</f>
        <v>Thursday</v>
      </c>
      <c r="H380" s="2">
        <v>0.57247685185185182</v>
      </c>
      <c r="I380">
        <v>12</v>
      </c>
      <c r="J380">
        <v>12</v>
      </c>
      <c r="K380" t="s">
        <v>60</v>
      </c>
      <c r="L380" t="s">
        <v>13</v>
      </c>
      <c r="M380" t="s">
        <v>29</v>
      </c>
      <c r="N380" t="s">
        <v>30</v>
      </c>
    </row>
    <row r="381" spans="1:14" x14ac:dyDescent="0.25">
      <c r="A381">
        <v>1307</v>
      </c>
      <c r="B381">
        <v>578</v>
      </c>
      <c r="C381">
        <f>1/COUNTIF(B:B,pizza_sales[[#This Row],[order_id]])</f>
        <v>0.33333333333333331</v>
      </c>
      <c r="D381" t="s">
        <v>34</v>
      </c>
      <c r="E381">
        <v>1</v>
      </c>
      <c r="F381" s="1">
        <v>42278</v>
      </c>
      <c r="G381" s="1" t="str">
        <f>TEXT(pizza_sales[[#This Row],[order_date]],"dddd")</f>
        <v>Thursday</v>
      </c>
      <c r="H381" s="2">
        <v>0.57556712962962964</v>
      </c>
      <c r="I381">
        <v>16.25</v>
      </c>
      <c r="J381">
        <v>16.25</v>
      </c>
      <c r="K381" t="s">
        <v>59</v>
      </c>
      <c r="L381" t="s">
        <v>35</v>
      </c>
      <c r="M381" t="s">
        <v>36</v>
      </c>
      <c r="N381" t="s">
        <v>37</v>
      </c>
    </row>
    <row r="382" spans="1:14" x14ac:dyDescent="0.25">
      <c r="A382">
        <v>1308</v>
      </c>
      <c r="B382">
        <v>578</v>
      </c>
      <c r="C382">
        <f>1/COUNTIF(B:B,pizza_sales[[#This Row],[order_id]])</f>
        <v>0.33333333333333331</v>
      </c>
      <c r="D382" t="s">
        <v>25</v>
      </c>
      <c r="E382">
        <v>1</v>
      </c>
      <c r="F382" s="1">
        <v>42278</v>
      </c>
      <c r="G382" s="1" t="str">
        <f>TEXT(pizza_sales[[#This Row],[order_date]],"dddd")</f>
        <v>Thursday</v>
      </c>
      <c r="H382" s="2">
        <v>0.57556712962962964</v>
      </c>
      <c r="I382">
        <v>15.25</v>
      </c>
      <c r="J382">
        <v>15.25</v>
      </c>
      <c r="K382" t="s">
        <v>58</v>
      </c>
      <c r="L382" t="s">
        <v>13</v>
      </c>
      <c r="M382" t="s">
        <v>26</v>
      </c>
      <c r="N382" t="s">
        <v>27</v>
      </c>
    </row>
    <row r="383" spans="1:14" x14ac:dyDescent="0.25">
      <c r="A383">
        <v>1310</v>
      </c>
      <c r="B383">
        <v>578</v>
      </c>
      <c r="C383">
        <f>1/COUNTIF(B:B,pizza_sales[[#This Row],[order_id]])</f>
        <v>0.33333333333333331</v>
      </c>
      <c r="D383" t="s">
        <v>46</v>
      </c>
      <c r="E383">
        <v>1</v>
      </c>
      <c r="F383" s="1">
        <v>42278</v>
      </c>
      <c r="G383" s="1" t="str">
        <f>TEXT(pizza_sales[[#This Row],[order_date]],"dddd")</f>
        <v>Thursday</v>
      </c>
      <c r="H383" s="2">
        <v>0.57556712962962964</v>
      </c>
      <c r="I383">
        <v>25.5</v>
      </c>
      <c r="J383">
        <v>25.5</v>
      </c>
      <c r="K383" t="s">
        <v>61</v>
      </c>
      <c r="L383" t="s">
        <v>13</v>
      </c>
      <c r="M383" t="s">
        <v>21</v>
      </c>
      <c r="N383" t="s">
        <v>22</v>
      </c>
    </row>
    <row r="384" spans="1:14" x14ac:dyDescent="0.25">
      <c r="A384">
        <v>1312</v>
      </c>
      <c r="B384">
        <v>580</v>
      </c>
      <c r="C384">
        <f>1/COUNTIF(B:B,pizza_sales[[#This Row],[order_id]])</f>
        <v>1</v>
      </c>
      <c r="D384" t="s">
        <v>12</v>
      </c>
      <c r="E384">
        <v>1</v>
      </c>
      <c r="F384" s="1">
        <v>42278</v>
      </c>
      <c r="G384" s="1" t="str">
        <f>TEXT(pizza_sales[[#This Row],[order_date]],"dddd")</f>
        <v>Thursday</v>
      </c>
      <c r="H384" s="2">
        <v>0.58056712962962964</v>
      </c>
      <c r="I384">
        <v>13.25</v>
      </c>
      <c r="J384">
        <v>13.25</v>
      </c>
      <c r="K384" t="s">
        <v>59</v>
      </c>
      <c r="L384" t="s">
        <v>13</v>
      </c>
      <c r="M384" t="s">
        <v>14</v>
      </c>
      <c r="N384" t="s">
        <v>15</v>
      </c>
    </row>
    <row r="385" spans="1:14" x14ac:dyDescent="0.25">
      <c r="A385">
        <v>1314</v>
      </c>
      <c r="B385">
        <v>581</v>
      </c>
      <c r="C385">
        <f>1/COUNTIF(B:B,pizza_sales[[#This Row],[order_id]])</f>
        <v>1</v>
      </c>
      <c r="D385" t="s">
        <v>24</v>
      </c>
      <c r="E385">
        <v>1</v>
      </c>
      <c r="F385" s="1">
        <v>42278</v>
      </c>
      <c r="G385" s="1" t="str">
        <f>TEXT(pizza_sales[[#This Row],[order_date]],"dddd")</f>
        <v>Thursday</v>
      </c>
      <c r="H385" s="2">
        <v>0.59237268518518515</v>
      </c>
      <c r="I385">
        <v>20.25</v>
      </c>
      <c r="J385">
        <v>20.25</v>
      </c>
      <c r="K385" t="s">
        <v>58</v>
      </c>
      <c r="L385" t="s">
        <v>17</v>
      </c>
      <c r="M385" t="s">
        <v>18</v>
      </c>
      <c r="N385" t="s">
        <v>19</v>
      </c>
    </row>
    <row r="386" spans="1:14" x14ac:dyDescent="0.25">
      <c r="A386">
        <v>1317</v>
      </c>
      <c r="B386">
        <v>584</v>
      </c>
      <c r="C386">
        <f>1/COUNTIF(B:B,pizza_sales[[#This Row],[order_id]])</f>
        <v>1</v>
      </c>
      <c r="D386" t="s">
        <v>48</v>
      </c>
      <c r="E386">
        <v>1</v>
      </c>
      <c r="F386" s="1">
        <v>42278</v>
      </c>
      <c r="G386" s="1" t="str">
        <f>TEXT(pizza_sales[[#This Row],[order_date]],"dddd")</f>
        <v>Thursday</v>
      </c>
      <c r="H386" s="2">
        <v>0.62880787037037034</v>
      </c>
      <c r="I386">
        <v>12.25</v>
      </c>
      <c r="J386">
        <v>12.25</v>
      </c>
      <c r="K386" t="s">
        <v>60</v>
      </c>
      <c r="L386" t="s">
        <v>35</v>
      </c>
      <c r="M386" t="s">
        <v>40</v>
      </c>
      <c r="N386" t="s">
        <v>41</v>
      </c>
    </row>
    <row r="387" spans="1:14" x14ac:dyDescent="0.25">
      <c r="A387">
        <v>1319</v>
      </c>
      <c r="B387">
        <v>585</v>
      </c>
      <c r="C387">
        <f>1/COUNTIF(B:B,pizza_sales[[#This Row],[order_id]])</f>
        <v>0.5</v>
      </c>
      <c r="D387" t="s">
        <v>51</v>
      </c>
      <c r="E387">
        <v>1</v>
      </c>
      <c r="F387" s="1">
        <v>42278</v>
      </c>
      <c r="G387" s="1" t="str">
        <f>TEXT(pizza_sales[[#This Row],[order_date]],"dddd")</f>
        <v>Thursday</v>
      </c>
      <c r="H387" s="2">
        <v>0.66576388888888893</v>
      </c>
      <c r="I387">
        <v>23.65</v>
      </c>
      <c r="J387">
        <v>23.65</v>
      </c>
      <c r="K387" t="s">
        <v>60</v>
      </c>
      <c r="L387" t="s">
        <v>35</v>
      </c>
      <c r="M387" t="s">
        <v>52</v>
      </c>
      <c r="N387" t="s">
        <v>53</v>
      </c>
    </row>
    <row r="388" spans="1:14" x14ac:dyDescent="0.25">
      <c r="A388">
        <v>1320</v>
      </c>
      <c r="B388">
        <v>585</v>
      </c>
      <c r="C388">
        <f>1/COUNTIF(B:B,pizza_sales[[#This Row],[order_id]])</f>
        <v>0.5</v>
      </c>
      <c r="D388" t="s">
        <v>24</v>
      </c>
      <c r="E388">
        <v>1</v>
      </c>
      <c r="F388" s="1">
        <v>42278</v>
      </c>
      <c r="G388" s="1" t="str">
        <f>TEXT(pizza_sales[[#This Row],[order_date]],"dddd")</f>
        <v>Thursday</v>
      </c>
      <c r="H388" s="2">
        <v>0.66576388888888893</v>
      </c>
      <c r="I388">
        <v>20.25</v>
      </c>
      <c r="J388">
        <v>20.25</v>
      </c>
      <c r="K388" t="s">
        <v>58</v>
      </c>
      <c r="L388" t="s">
        <v>17</v>
      </c>
      <c r="M388" t="s">
        <v>18</v>
      </c>
      <c r="N388" t="s">
        <v>19</v>
      </c>
    </row>
    <row r="389" spans="1:14" x14ac:dyDescent="0.25">
      <c r="A389">
        <v>16465</v>
      </c>
      <c r="B389">
        <v>7248</v>
      </c>
      <c r="C389">
        <f>1/COUNTIF(B:B,pizza_sales[[#This Row],[order_id]])</f>
        <v>0.33333333333333331</v>
      </c>
      <c r="D389" t="s">
        <v>28</v>
      </c>
      <c r="E389">
        <v>1</v>
      </c>
      <c r="F389" s="1">
        <v>42040</v>
      </c>
      <c r="G389" s="1" t="str">
        <f>TEXT(pizza_sales[[#This Row],[order_date]],"dddd")</f>
        <v>Thursday</v>
      </c>
      <c r="H389" s="2">
        <v>0.51615740740740745</v>
      </c>
      <c r="I389">
        <v>12</v>
      </c>
      <c r="J389">
        <v>12</v>
      </c>
      <c r="K389" t="s">
        <v>60</v>
      </c>
      <c r="L389" t="s">
        <v>13</v>
      </c>
      <c r="M389" t="s">
        <v>29</v>
      </c>
      <c r="N389" t="s">
        <v>30</v>
      </c>
    </row>
    <row r="390" spans="1:14" x14ac:dyDescent="0.25">
      <c r="A390">
        <v>1338</v>
      </c>
      <c r="B390">
        <v>594</v>
      </c>
      <c r="C390">
        <f>1/COUNTIF(B:B,pizza_sales[[#This Row],[order_id]])</f>
        <v>1</v>
      </c>
      <c r="D390" t="s">
        <v>56</v>
      </c>
      <c r="E390">
        <v>1</v>
      </c>
      <c r="F390" s="1">
        <v>42278</v>
      </c>
      <c r="G390" s="1" t="str">
        <f>TEXT(pizza_sales[[#This Row],[order_date]],"dddd")</f>
        <v>Thursday</v>
      </c>
      <c r="H390" s="2">
        <v>0.74327546296296299</v>
      </c>
      <c r="I390">
        <v>20.25</v>
      </c>
      <c r="J390">
        <v>20.25</v>
      </c>
      <c r="K390" t="s">
        <v>58</v>
      </c>
      <c r="L390" t="s">
        <v>35</v>
      </c>
      <c r="M390" t="s">
        <v>36</v>
      </c>
      <c r="N390" t="s">
        <v>37</v>
      </c>
    </row>
    <row r="391" spans="1:14" x14ac:dyDescent="0.25">
      <c r="A391">
        <v>1351</v>
      </c>
      <c r="B391">
        <v>600</v>
      </c>
      <c r="C391">
        <f>1/COUNTIF(B:B,pizza_sales[[#This Row],[order_id]])</f>
        <v>1</v>
      </c>
      <c r="D391" t="s">
        <v>16</v>
      </c>
      <c r="E391">
        <v>1</v>
      </c>
      <c r="F391" s="1">
        <v>42278</v>
      </c>
      <c r="G391" s="1" t="str">
        <f>TEXT(pizza_sales[[#This Row],[order_date]],"dddd")</f>
        <v>Thursday</v>
      </c>
      <c r="H391" s="2">
        <v>0.78740740740740744</v>
      </c>
      <c r="I391">
        <v>16</v>
      </c>
      <c r="J391">
        <v>16</v>
      </c>
      <c r="K391" t="s">
        <v>59</v>
      </c>
      <c r="L391" t="s">
        <v>17</v>
      </c>
      <c r="M391" t="s">
        <v>18</v>
      </c>
      <c r="N391" t="s">
        <v>19</v>
      </c>
    </row>
    <row r="392" spans="1:14" x14ac:dyDescent="0.25">
      <c r="A392">
        <v>1356</v>
      </c>
      <c r="B392">
        <v>603</v>
      </c>
      <c r="C392">
        <f>1/COUNTIF(B:B,pizza_sales[[#This Row],[order_id]])</f>
        <v>1</v>
      </c>
      <c r="D392" t="s">
        <v>16</v>
      </c>
      <c r="E392">
        <v>1</v>
      </c>
      <c r="F392" s="1">
        <v>42278</v>
      </c>
      <c r="G392" s="1" t="str">
        <f>TEXT(pizza_sales[[#This Row],[order_date]],"dddd")</f>
        <v>Thursday</v>
      </c>
      <c r="H392" s="2">
        <v>0.79387731481481483</v>
      </c>
      <c r="I392">
        <v>16</v>
      </c>
      <c r="J392">
        <v>16</v>
      </c>
      <c r="K392" t="s">
        <v>59</v>
      </c>
      <c r="L392" t="s">
        <v>17</v>
      </c>
      <c r="M392" t="s">
        <v>18</v>
      </c>
      <c r="N392" t="s">
        <v>19</v>
      </c>
    </row>
    <row r="393" spans="1:14" x14ac:dyDescent="0.25">
      <c r="A393">
        <v>1359</v>
      </c>
      <c r="B393">
        <v>605</v>
      </c>
      <c r="C393">
        <f>1/COUNTIF(B:B,pizza_sales[[#This Row],[order_id]])</f>
        <v>0.5</v>
      </c>
      <c r="D393" t="s">
        <v>42</v>
      </c>
      <c r="E393">
        <v>1</v>
      </c>
      <c r="F393" s="1">
        <v>42278</v>
      </c>
      <c r="G393" s="1" t="str">
        <f>TEXT(pizza_sales[[#This Row],[order_date]],"dddd")</f>
        <v>Thursday</v>
      </c>
      <c r="H393" s="2">
        <v>0.80822916666666667</v>
      </c>
      <c r="I393">
        <v>12.5</v>
      </c>
      <c r="J393">
        <v>12.5</v>
      </c>
      <c r="K393" t="s">
        <v>59</v>
      </c>
      <c r="L393" t="s">
        <v>13</v>
      </c>
      <c r="M393" t="s">
        <v>26</v>
      </c>
      <c r="N393" t="s">
        <v>27</v>
      </c>
    </row>
    <row r="394" spans="1:14" x14ac:dyDescent="0.25">
      <c r="A394">
        <v>1360</v>
      </c>
      <c r="B394">
        <v>605</v>
      </c>
      <c r="C394">
        <f>1/COUNTIF(B:B,pizza_sales[[#This Row],[order_id]])</f>
        <v>0.5</v>
      </c>
      <c r="D394" t="s">
        <v>46</v>
      </c>
      <c r="E394">
        <v>1</v>
      </c>
      <c r="F394" s="1">
        <v>42278</v>
      </c>
      <c r="G394" s="1" t="str">
        <f>TEXT(pizza_sales[[#This Row],[order_date]],"dddd")</f>
        <v>Thursday</v>
      </c>
      <c r="H394" s="2">
        <v>0.80822916666666667</v>
      </c>
      <c r="I394">
        <v>25.5</v>
      </c>
      <c r="J394">
        <v>25.5</v>
      </c>
      <c r="K394" t="s">
        <v>61</v>
      </c>
      <c r="L394" t="s">
        <v>13</v>
      </c>
      <c r="M394" t="s">
        <v>21</v>
      </c>
      <c r="N394" t="s">
        <v>22</v>
      </c>
    </row>
    <row r="395" spans="1:14" x14ac:dyDescent="0.25">
      <c r="A395">
        <v>1361</v>
      </c>
      <c r="B395">
        <v>606</v>
      </c>
      <c r="C395">
        <f>1/COUNTIF(B:B,pizza_sales[[#This Row],[order_id]])</f>
        <v>1</v>
      </c>
      <c r="D395" t="s">
        <v>25</v>
      </c>
      <c r="E395">
        <v>1</v>
      </c>
      <c r="F395" s="1">
        <v>42278</v>
      </c>
      <c r="G395" s="1" t="str">
        <f>TEXT(pizza_sales[[#This Row],[order_date]],"dddd")</f>
        <v>Thursday</v>
      </c>
      <c r="H395" s="2">
        <v>0.81062500000000004</v>
      </c>
      <c r="I395">
        <v>15.25</v>
      </c>
      <c r="J395">
        <v>15.25</v>
      </c>
      <c r="K395" t="s">
        <v>58</v>
      </c>
      <c r="L395" t="s">
        <v>13</v>
      </c>
      <c r="M395" t="s">
        <v>26</v>
      </c>
      <c r="N395" t="s">
        <v>27</v>
      </c>
    </row>
    <row r="396" spans="1:14" x14ac:dyDescent="0.25">
      <c r="A396">
        <v>1365</v>
      </c>
      <c r="B396">
        <v>608</v>
      </c>
      <c r="C396">
        <f>1/COUNTIF(B:B,pizza_sales[[#This Row],[order_id]])</f>
        <v>0.5</v>
      </c>
      <c r="D396" t="s">
        <v>47</v>
      </c>
      <c r="E396">
        <v>1</v>
      </c>
      <c r="F396" s="1">
        <v>42278</v>
      </c>
      <c r="G396" s="1" t="str">
        <f>TEXT(pizza_sales[[#This Row],[order_date]],"dddd")</f>
        <v>Thursday</v>
      </c>
      <c r="H396" s="2">
        <v>0.81704861111111116</v>
      </c>
      <c r="I396">
        <v>16.5</v>
      </c>
      <c r="J396">
        <v>16.5</v>
      </c>
      <c r="K396" t="s">
        <v>58</v>
      </c>
      <c r="L396" t="s">
        <v>13</v>
      </c>
      <c r="M396" t="s">
        <v>14</v>
      </c>
      <c r="N396" t="s">
        <v>15</v>
      </c>
    </row>
    <row r="397" spans="1:14" x14ac:dyDescent="0.25">
      <c r="A397">
        <v>1366</v>
      </c>
      <c r="B397">
        <v>608</v>
      </c>
      <c r="C397">
        <f>1/COUNTIF(B:B,pizza_sales[[#This Row],[order_id]])</f>
        <v>0.5</v>
      </c>
      <c r="D397" t="s">
        <v>42</v>
      </c>
      <c r="E397">
        <v>1</v>
      </c>
      <c r="F397" s="1">
        <v>42278</v>
      </c>
      <c r="G397" s="1" t="str">
        <f>TEXT(pizza_sales[[#This Row],[order_date]],"dddd")</f>
        <v>Thursday</v>
      </c>
      <c r="H397" s="2">
        <v>0.81704861111111116</v>
      </c>
      <c r="I397">
        <v>12.5</v>
      </c>
      <c r="J397">
        <v>12.5</v>
      </c>
      <c r="K397" t="s">
        <v>59</v>
      </c>
      <c r="L397" t="s">
        <v>13</v>
      </c>
      <c r="M397" t="s">
        <v>26</v>
      </c>
      <c r="N397" t="s">
        <v>27</v>
      </c>
    </row>
    <row r="398" spans="1:14" x14ac:dyDescent="0.25">
      <c r="A398">
        <v>1370</v>
      </c>
      <c r="B398">
        <v>610</v>
      </c>
      <c r="C398">
        <f>1/COUNTIF(B:B,pizza_sales[[#This Row],[order_id]])</f>
        <v>0.5</v>
      </c>
      <c r="D398" t="s">
        <v>28</v>
      </c>
      <c r="E398">
        <v>1</v>
      </c>
      <c r="F398" s="1">
        <v>42278</v>
      </c>
      <c r="G398" s="1" t="str">
        <f>TEXT(pizza_sales[[#This Row],[order_date]],"dddd")</f>
        <v>Thursday</v>
      </c>
      <c r="H398" s="2">
        <v>0.82710648148148147</v>
      </c>
      <c r="I398">
        <v>12</v>
      </c>
      <c r="J398">
        <v>12</v>
      </c>
      <c r="K398" t="s">
        <v>60</v>
      </c>
      <c r="L398" t="s">
        <v>13</v>
      </c>
      <c r="M398" t="s">
        <v>29</v>
      </c>
      <c r="N398" t="s">
        <v>30</v>
      </c>
    </row>
    <row r="399" spans="1:14" x14ac:dyDescent="0.25">
      <c r="A399">
        <v>1371</v>
      </c>
      <c r="B399">
        <v>610</v>
      </c>
      <c r="C399">
        <f>1/COUNTIF(B:B,pizza_sales[[#This Row],[order_id]])</f>
        <v>0.5</v>
      </c>
      <c r="D399" t="s">
        <v>25</v>
      </c>
      <c r="E399">
        <v>1</v>
      </c>
      <c r="F399" s="1">
        <v>42278</v>
      </c>
      <c r="G399" s="1" t="str">
        <f>TEXT(pizza_sales[[#This Row],[order_date]],"dddd")</f>
        <v>Thursday</v>
      </c>
      <c r="H399" s="2">
        <v>0.82710648148148147</v>
      </c>
      <c r="I399">
        <v>15.25</v>
      </c>
      <c r="J399">
        <v>15.25</v>
      </c>
      <c r="K399" t="s">
        <v>58</v>
      </c>
      <c r="L399" t="s">
        <v>13</v>
      </c>
      <c r="M399" t="s">
        <v>26</v>
      </c>
      <c r="N399" t="s">
        <v>27</v>
      </c>
    </row>
    <row r="400" spans="1:14" x14ac:dyDescent="0.25">
      <c r="A400">
        <v>1373</v>
      </c>
      <c r="B400">
        <v>611</v>
      </c>
      <c r="C400">
        <f>1/COUNTIF(B:B,pizza_sales[[#This Row],[order_id]])</f>
        <v>0.5</v>
      </c>
      <c r="D400" t="s">
        <v>23</v>
      </c>
      <c r="E400">
        <v>1</v>
      </c>
      <c r="F400" s="1">
        <v>42278</v>
      </c>
      <c r="G400" s="1" t="str">
        <f>TEXT(pizza_sales[[#This Row],[order_date]],"dddd")</f>
        <v>Thursday</v>
      </c>
      <c r="H400" s="2">
        <v>0.83206018518518521</v>
      </c>
      <c r="I400">
        <v>12</v>
      </c>
      <c r="J400">
        <v>12</v>
      </c>
      <c r="K400" t="s">
        <v>60</v>
      </c>
      <c r="L400" t="s">
        <v>17</v>
      </c>
      <c r="M400" t="s">
        <v>18</v>
      </c>
      <c r="N400" t="s">
        <v>19</v>
      </c>
    </row>
    <row r="401" spans="1:14" x14ac:dyDescent="0.25">
      <c r="A401">
        <v>1375</v>
      </c>
      <c r="B401">
        <v>611</v>
      </c>
      <c r="C401">
        <f>1/COUNTIF(B:B,pizza_sales[[#This Row],[order_id]])</f>
        <v>0.5</v>
      </c>
      <c r="D401" t="s">
        <v>46</v>
      </c>
      <c r="E401">
        <v>1</v>
      </c>
      <c r="F401" s="1">
        <v>42278</v>
      </c>
      <c r="G401" s="1" t="str">
        <f>TEXT(pizza_sales[[#This Row],[order_date]],"dddd")</f>
        <v>Thursday</v>
      </c>
      <c r="H401" s="2">
        <v>0.83206018518518521</v>
      </c>
      <c r="I401">
        <v>25.5</v>
      </c>
      <c r="J401">
        <v>25.5</v>
      </c>
      <c r="K401" t="s">
        <v>61</v>
      </c>
      <c r="L401" t="s">
        <v>13</v>
      </c>
      <c r="M401" t="s">
        <v>21</v>
      </c>
      <c r="N401" t="s">
        <v>22</v>
      </c>
    </row>
    <row r="402" spans="1:14" x14ac:dyDescent="0.25">
      <c r="A402">
        <v>1376</v>
      </c>
      <c r="B402">
        <v>612</v>
      </c>
      <c r="C402">
        <f>1/COUNTIF(B:B,pizza_sales[[#This Row],[order_id]])</f>
        <v>0.5</v>
      </c>
      <c r="D402" t="s">
        <v>28</v>
      </c>
      <c r="E402">
        <v>1</v>
      </c>
      <c r="F402" s="1">
        <v>42278</v>
      </c>
      <c r="G402" s="1" t="str">
        <f>TEXT(pizza_sales[[#This Row],[order_date]],"dddd")</f>
        <v>Thursday</v>
      </c>
      <c r="H402" s="2">
        <v>0.83211805555555551</v>
      </c>
      <c r="I402">
        <v>12</v>
      </c>
      <c r="J402">
        <v>12</v>
      </c>
      <c r="K402" t="s">
        <v>60</v>
      </c>
      <c r="L402" t="s">
        <v>13</v>
      </c>
      <c r="M402" t="s">
        <v>29</v>
      </c>
      <c r="N402" t="s">
        <v>30</v>
      </c>
    </row>
    <row r="403" spans="1:14" x14ac:dyDescent="0.25">
      <c r="A403">
        <v>1378</v>
      </c>
      <c r="B403">
        <v>612</v>
      </c>
      <c r="C403">
        <f>1/COUNTIF(B:B,pizza_sales[[#This Row],[order_id]])</f>
        <v>0.5</v>
      </c>
      <c r="D403" t="s">
        <v>24</v>
      </c>
      <c r="E403">
        <v>1</v>
      </c>
      <c r="F403" s="1">
        <v>42278</v>
      </c>
      <c r="G403" s="1" t="str">
        <f>TEXT(pizza_sales[[#This Row],[order_date]],"dddd")</f>
        <v>Thursday</v>
      </c>
      <c r="H403" s="2">
        <v>0.83211805555555551</v>
      </c>
      <c r="I403">
        <v>20.25</v>
      </c>
      <c r="J403">
        <v>20.25</v>
      </c>
      <c r="K403" t="s">
        <v>58</v>
      </c>
      <c r="L403" t="s">
        <v>17</v>
      </c>
      <c r="M403" t="s">
        <v>18</v>
      </c>
      <c r="N403" t="s">
        <v>19</v>
      </c>
    </row>
    <row r="404" spans="1:14" x14ac:dyDescent="0.25">
      <c r="A404">
        <v>1380</v>
      </c>
      <c r="B404">
        <v>613</v>
      </c>
      <c r="C404">
        <f>1/COUNTIF(B:B,pizza_sales[[#This Row],[order_id]])</f>
        <v>1</v>
      </c>
      <c r="D404" t="s">
        <v>31</v>
      </c>
      <c r="E404">
        <v>1</v>
      </c>
      <c r="F404" s="1">
        <v>42278</v>
      </c>
      <c r="G404" s="1" t="str">
        <f>TEXT(pizza_sales[[#This Row],[order_date]],"dddd")</f>
        <v>Thursday</v>
      </c>
      <c r="H404" s="2">
        <v>0.84078703703703705</v>
      </c>
      <c r="I404">
        <v>12</v>
      </c>
      <c r="J404">
        <v>12</v>
      </c>
      <c r="K404" t="s">
        <v>60</v>
      </c>
      <c r="L404" t="s">
        <v>13</v>
      </c>
      <c r="M404" t="s">
        <v>32</v>
      </c>
      <c r="N404" t="s">
        <v>33</v>
      </c>
    </row>
    <row r="405" spans="1:14" x14ac:dyDescent="0.25">
      <c r="A405">
        <v>1394</v>
      </c>
      <c r="B405">
        <v>620</v>
      </c>
      <c r="C405">
        <f>1/COUNTIF(B:B,pizza_sales[[#This Row],[order_id]])</f>
        <v>1</v>
      </c>
      <c r="D405" t="s">
        <v>20</v>
      </c>
      <c r="E405">
        <v>1</v>
      </c>
      <c r="F405" s="1">
        <v>42278</v>
      </c>
      <c r="G405" s="1" t="str">
        <f>TEXT(pizza_sales[[#This Row],[order_date]],"dddd")</f>
        <v>Thursday</v>
      </c>
      <c r="H405" s="2">
        <v>0.86510416666666667</v>
      </c>
      <c r="I405">
        <v>12</v>
      </c>
      <c r="J405">
        <v>12</v>
      </c>
      <c r="K405" t="s">
        <v>60</v>
      </c>
      <c r="L405" t="s">
        <v>13</v>
      </c>
      <c r="M405" t="s">
        <v>21</v>
      </c>
      <c r="N405" t="s">
        <v>22</v>
      </c>
    </row>
    <row r="406" spans="1:14" x14ac:dyDescent="0.25">
      <c r="A406">
        <v>1395</v>
      </c>
      <c r="B406">
        <v>621</v>
      </c>
      <c r="C406">
        <f>1/COUNTIF(B:B,pizza_sales[[#This Row],[order_id]])</f>
        <v>0.5</v>
      </c>
      <c r="D406" t="s">
        <v>34</v>
      </c>
      <c r="E406">
        <v>1</v>
      </c>
      <c r="F406" s="1">
        <v>42278</v>
      </c>
      <c r="G406" s="1" t="str">
        <f>TEXT(pizza_sales[[#This Row],[order_date]],"dddd")</f>
        <v>Thursday</v>
      </c>
      <c r="H406" s="2">
        <v>0.86769675925925926</v>
      </c>
      <c r="I406">
        <v>16.25</v>
      </c>
      <c r="J406">
        <v>16.25</v>
      </c>
      <c r="K406" t="s">
        <v>59</v>
      </c>
      <c r="L406" t="s">
        <v>35</v>
      </c>
      <c r="M406" t="s">
        <v>36</v>
      </c>
      <c r="N406" t="s">
        <v>37</v>
      </c>
    </row>
    <row r="407" spans="1:14" x14ac:dyDescent="0.25">
      <c r="A407">
        <v>1397</v>
      </c>
      <c r="B407">
        <v>621</v>
      </c>
      <c r="C407">
        <f>1/COUNTIF(B:B,pizza_sales[[#This Row],[order_id]])</f>
        <v>0.5</v>
      </c>
      <c r="D407" t="s">
        <v>24</v>
      </c>
      <c r="E407">
        <v>1</v>
      </c>
      <c r="F407" s="1">
        <v>42278</v>
      </c>
      <c r="G407" s="1" t="str">
        <f>TEXT(pizza_sales[[#This Row],[order_date]],"dddd")</f>
        <v>Thursday</v>
      </c>
      <c r="H407" s="2">
        <v>0.86769675925925926</v>
      </c>
      <c r="I407">
        <v>20.25</v>
      </c>
      <c r="J407">
        <v>20.25</v>
      </c>
      <c r="K407" t="s">
        <v>58</v>
      </c>
      <c r="L407" t="s">
        <v>17</v>
      </c>
      <c r="M407" t="s">
        <v>18</v>
      </c>
      <c r="N407" t="s">
        <v>19</v>
      </c>
    </row>
    <row r="408" spans="1:14" x14ac:dyDescent="0.25">
      <c r="A408">
        <v>1402</v>
      </c>
      <c r="B408">
        <v>623</v>
      </c>
      <c r="C408">
        <f>1/COUNTIF(B:B,pizza_sales[[#This Row],[order_id]])</f>
        <v>1</v>
      </c>
      <c r="D408" t="s">
        <v>47</v>
      </c>
      <c r="E408">
        <v>1</v>
      </c>
      <c r="F408" s="1">
        <v>42278</v>
      </c>
      <c r="G408" s="1" t="str">
        <f>TEXT(pizza_sales[[#This Row],[order_date]],"dddd")</f>
        <v>Thursday</v>
      </c>
      <c r="H408" s="2">
        <v>0.88982638888888888</v>
      </c>
      <c r="I408">
        <v>16.5</v>
      </c>
      <c r="J408">
        <v>16.5</v>
      </c>
      <c r="K408" t="s">
        <v>58</v>
      </c>
      <c r="L408" t="s">
        <v>13</v>
      </c>
      <c r="M408" t="s">
        <v>14</v>
      </c>
      <c r="N408" t="s">
        <v>15</v>
      </c>
    </row>
    <row r="409" spans="1:14" x14ac:dyDescent="0.25">
      <c r="A409">
        <v>1409</v>
      </c>
      <c r="B409">
        <v>627</v>
      </c>
      <c r="C409">
        <f>1/COUNTIF(B:B,pizza_sales[[#This Row],[order_id]])</f>
        <v>0.5</v>
      </c>
      <c r="D409" t="s">
        <v>55</v>
      </c>
      <c r="E409">
        <v>1</v>
      </c>
      <c r="F409" s="1">
        <v>42278</v>
      </c>
      <c r="G409" s="1" t="str">
        <f>TEXT(pizza_sales[[#This Row],[order_date]],"dddd")</f>
        <v>Thursday</v>
      </c>
      <c r="H409" s="2">
        <v>0.92957175925925928</v>
      </c>
      <c r="I409">
        <v>20.5</v>
      </c>
      <c r="J409">
        <v>20.5</v>
      </c>
      <c r="K409" t="s">
        <v>58</v>
      </c>
      <c r="L409" t="s">
        <v>13</v>
      </c>
      <c r="M409" t="s">
        <v>21</v>
      </c>
      <c r="N409" t="s">
        <v>22</v>
      </c>
    </row>
    <row r="410" spans="1:14" x14ac:dyDescent="0.25">
      <c r="A410">
        <v>1410</v>
      </c>
      <c r="B410">
        <v>627</v>
      </c>
      <c r="C410">
        <f>1/COUNTIF(B:B,pizza_sales[[#This Row],[order_id]])</f>
        <v>0.5</v>
      </c>
      <c r="D410" t="s">
        <v>49</v>
      </c>
      <c r="E410">
        <v>1</v>
      </c>
      <c r="F410" s="1">
        <v>42278</v>
      </c>
      <c r="G410" s="1" t="str">
        <f>TEXT(pizza_sales[[#This Row],[order_date]],"dddd")</f>
        <v>Thursday</v>
      </c>
      <c r="H410" s="2">
        <v>0.92957175925925928</v>
      </c>
      <c r="I410">
        <v>16</v>
      </c>
      <c r="J410">
        <v>16</v>
      </c>
      <c r="K410" t="s">
        <v>59</v>
      </c>
      <c r="L410" t="s">
        <v>13</v>
      </c>
      <c r="M410" t="s">
        <v>21</v>
      </c>
      <c r="N410" t="s">
        <v>22</v>
      </c>
    </row>
    <row r="411" spans="1:14" x14ac:dyDescent="0.25">
      <c r="A411">
        <v>1413</v>
      </c>
      <c r="B411">
        <v>628</v>
      </c>
      <c r="C411">
        <f>1/COUNTIF(B:B,pizza_sales[[#This Row],[order_id]])</f>
        <v>1</v>
      </c>
      <c r="D411" t="s">
        <v>20</v>
      </c>
      <c r="E411">
        <v>1</v>
      </c>
      <c r="F411" s="1">
        <v>42278</v>
      </c>
      <c r="G411" s="1" t="str">
        <f>TEXT(pizza_sales[[#This Row],[order_date]],"dddd")</f>
        <v>Thursday</v>
      </c>
      <c r="H411" s="2">
        <v>0.94950231481481484</v>
      </c>
      <c r="I411">
        <v>12</v>
      </c>
      <c r="J411">
        <v>12</v>
      </c>
      <c r="K411" t="s">
        <v>60</v>
      </c>
      <c r="L411" t="s">
        <v>13</v>
      </c>
      <c r="M411" t="s">
        <v>21</v>
      </c>
      <c r="N411" t="s">
        <v>22</v>
      </c>
    </row>
    <row r="412" spans="1:14" x14ac:dyDescent="0.25">
      <c r="A412">
        <v>1415</v>
      </c>
      <c r="B412">
        <v>629</v>
      </c>
      <c r="C412">
        <f>1/COUNTIF(B:B,pizza_sales[[#This Row],[order_id]])</f>
        <v>1</v>
      </c>
      <c r="D412" t="s">
        <v>34</v>
      </c>
      <c r="E412">
        <v>1</v>
      </c>
      <c r="F412" s="1">
        <v>42278</v>
      </c>
      <c r="G412" s="1" t="str">
        <f>TEXT(pizza_sales[[#This Row],[order_date]],"dddd")</f>
        <v>Thursday</v>
      </c>
      <c r="H412" s="2">
        <v>0.95045138888888892</v>
      </c>
      <c r="I412">
        <v>16.25</v>
      </c>
      <c r="J412">
        <v>16.25</v>
      </c>
      <c r="K412" t="s">
        <v>59</v>
      </c>
      <c r="L412" t="s">
        <v>35</v>
      </c>
      <c r="M412" t="s">
        <v>36</v>
      </c>
      <c r="N412" t="s">
        <v>37</v>
      </c>
    </row>
    <row r="413" spans="1:14" x14ac:dyDescent="0.25">
      <c r="A413">
        <v>1419</v>
      </c>
      <c r="B413">
        <v>630</v>
      </c>
      <c r="C413">
        <f>1/COUNTIF(B:B,pizza_sales[[#This Row],[order_id]])</f>
        <v>1</v>
      </c>
      <c r="D413" t="s">
        <v>48</v>
      </c>
      <c r="E413">
        <v>1</v>
      </c>
      <c r="F413" s="1">
        <v>42309</v>
      </c>
      <c r="G413" s="1" t="str">
        <f>TEXT(pizza_sales[[#This Row],[order_date]],"dddd")</f>
        <v>Sunday</v>
      </c>
      <c r="H413" s="2">
        <v>0.48759259259259258</v>
      </c>
      <c r="I413">
        <v>12.25</v>
      </c>
      <c r="J413">
        <v>12.25</v>
      </c>
      <c r="K413" t="s">
        <v>60</v>
      </c>
      <c r="L413" t="s">
        <v>35</v>
      </c>
      <c r="M413" t="s">
        <v>40</v>
      </c>
      <c r="N413" t="s">
        <v>41</v>
      </c>
    </row>
    <row r="414" spans="1:14" x14ac:dyDescent="0.25">
      <c r="A414">
        <v>1420</v>
      </c>
      <c r="B414">
        <v>631</v>
      </c>
      <c r="C414">
        <f>1/COUNTIF(B:B,pizza_sales[[#This Row],[order_id]])</f>
        <v>1</v>
      </c>
      <c r="D414" t="s">
        <v>25</v>
      </c>
      <c r="E414">
        <v>1</v>
      </c>
      <c r="F414" s="1">
        <v>42309</v>
      </c>
      <c r="G414" s="1" t="str">
        <f>TEXT(pizza_sales[[#This Row],[order_date]],"dddd")</f>
        <v>Sunday</v>
      </c>
      <c r="H414" s="2">
        <v>0.48930555555555555</v>
      </c>
      <c r="I414">
        <v>15.25</v>
      </c>
      <c r="J414">
        <v>15.25</v>
      </c>
      <c r="K414" t="s">
        <v>58</v>
      </c>
      <c r="L414" t="s">
        <v>13</v>
      </c>
      <c r="M414" t="s">
        <v>26</v>
      </c>
      <c r="N414" t="s">
        <v>27</v>
      </c>
    </row>
    <row r="415" spans="1:14" x14ac:dyDescent="0.25">
      <c r="A415">
        <v>1423</v>
      </c>
      <c r="B415">
        <v>633</v>
      </c>
      <c r="C415">
        <f>1/COUNTIF(B:B,pizza_sales[[#This Row],[order_id]])</f>
        <v>1</v>
      </c>
      <c r="D415" t="s">
        <v>25</v>
      </c>
      <c r="E415">
        <v>1</v>
      </c>
      <c r="F415" s="1">
        <v>42309</v>
      </c>
      <c r="G415" s="1" t="str">
        <f>TEXT(pizza_sales[[#This Row],[order_date]],"dddd")</f>
        <v>Sunday</v>
      </c>
      <c r="H415" s="2">
        <v>0.49427083333333333</v>
      </c>
      <c r="I415">
        <v>15.25</v>
      </c>
      <c r="J415">
        <v>15.25</v>
      </c>
      <c r="K415" t="s">
        <v>58</v>
      </c>
      <c r="L415" t="s">
        <v>13</v>
      </c>
      <c r="M415" t="s">
        <v>26</v>
      </c>
      <c r="N415" t="s">
        <v>27</v>
      </c>
    </row>
    <row r="416" spans="1:14" x14ac:dyDescent="0.25">
      <c r="A416">
        <v>1425</v>
      </c>
      <c r="B416">
        <v>634</v>
      </c>
      <c r="C416">
        <f>1/COUNTIF(B:B,pizza_sales[[#This Row],[order_id]])</f>
        <v>1</v>
      </c>
      <c r="D416" t="s">
        <v>25</v>
      </c>
      <c r="E416">
        <v>1</v>
      </c>
      <c r="F416" s="1">
        <v>42309</v>
      </c>
      <c r="G416" s="1" t="str">
        <f>TEXT(pizza_sales[[#This Row],[order_date]],"dddd")</f>
        <v>Sunday</v>
      </c>
      <c r="H416" s="2">
        <v>0.50989583333333333</v>
      </c>
      <c r="I416">
        <v>15.25</v>
      </c>
      <c r="J416">
        <v>15.25</v>
      </c>
      <c r="K416" t="s">
        <v>58</v>
      </c>
      <c r="L416" t="s">
        <v>13</v>
      </c>
      <c r="M416" t="s">
        <v>26</v>
      </c>
      <c r="N416" t="s">
        <v>27</v>
      </c>
    </row>
    <row r="417" spans="1:14" x14ac:dyDescent="0.25">
      <c r="A417">
        <v>1426</v>
      </c>
      <c r="B417">
        <v>635</v>
      </c>
      <c r="C417">
        <f>1/COUNTIF(B:B,pizza_sales[[#This Row],[order_id]])</f>
        <v>0.16666666666666666</v>
      </c>
      <c r="D417" t="s">
        <v>56</v>
      </c>
      <c r="E417">
        <v>1</v>
      </c>
      <c r="F417" s="1">
        <v>42309</v>
      </c>
      <c r="G417" s="1" t="str">
        <f>TEXT(pizza_sales[[#This Row],[order_date]],"dddd")</f>
        <v>Sunday</v>
      </c>
      <c r="H417" s="2">
        <v>0.51285879629629627</v>
      </c>
      <c r="I417">
        <v>20.25</v>
      </c>
      <c r="J417">
        <v>20.25</v>
      </c>
      <c r="K417" t="s">
        <v>58</v>
      </c>
      <c r="L417" t="s">
        <v>35</v>
      </c>
      <c r="M417" t="s">
        <v>36</v>
      </c>
      <c r="N417" t="s">
        <v>37</v>
      </c>
    </row>
    <row r="418" spans="1:14" x14ac:dyDescent="0.25">
      <c r="A418">
        <v>1428</v>
      </c>
      <c r="B418">
        <v>635</v>
      </c>
      <c r="C418">
        <f>1/COUNTIF(B:B,pizza_sales[[#This Row],[order_id]])</f>
        <v>0.16666666666666666</v>
      </c>
      <c r="D418" t="s">
        <v>45</v>
      </c>
      <c r="E418">
        <v>1</v>
      </c>
      <c r="F418" s="1">
        <v>42309</v>
      </c>
      <c r="G418" s="1" t="str">
        <f>TEXT(pizza_sales[[#This Row],[order_date]],"dddd")</f>
        <v>Sunday</v>
      </c>
      <c r="H418" s="2">
        <v>0.51285879629629627</v>
      </c>
      <c r="I418">
        <v>10.5</v>
      </c>
      <c r="J418">
        <v>10.5</v>
      </c>
      <c r="K418" t="s">
        <v>60</v>
      </c>
      <c r="L418" t="s">
        <v>13</v>
      </c>
      <c r="M418" t="s">
        <v>14</v>
      </c>
      <c r="N418" t="s">
        <v>15</v>
      </c>
    </row>
    <row r="419" spans="1:14" x14ac:dyDescent="0.25">
      <c r="A419">
        <v>1429</v>
      </c>
      <c r="B419">
        <v>635</v>
      </c>
      <c r="C419">
        <f>1/COUNTIF(B:B,pizza_sales[[#This Row],[order_id]])</f>
        <v>0.16666666666666666</v>
      </c>
      <c r="D419" t="s">
        <v>24</v>
      </c>
      <c r="E419">
        <v>1</v>
      </c>
      <c r="F419" s="1">
        <v>42309</v>
      </c>
      <c r="G419" s="1" t="str">
        <f>TEXT(pizza_sales[[#This Row],[order_date]],"dddd")</f>
        <v>Sunday</v>
      </c>
      <c r="H419" s="2">
        <v>0.51285879629629627</v>
      </c>
      <c r="I419">
        <v>20.25</v>
      </c>
      <c r="J419">
        <v>20.25</v>
      </c>
      <c r="K419" t="s">
        <v>58</v>
      </c>
      <c r="L419" t="s">
        <v>17</v>
      </c>
      <c r="M419" t="s">
        <v>18</v>
      </c>
      <c r="N419" t="s">
        <v>19</v>
      </c>
    </row>
    <row r="420" spans="1:14" x14ac:dyDescent="0.25">
      <c r="A420">
        <v>1430</v>
      </c>
      <c r="B420">
        <v>635</v>
      </c>
      <c r="C420">
        <f>1/COUNTIF(B:B,pizza_sales[[#This Row],[order_id]])</f>
        <v>0.16666666666666666</v>
      </c>
      <c r="D420" t="s">
        <v>42</v>
      </c>
      <c r="E420">
        <v>1</v>
      </c>
      <c r="F420" s="1">
        <v>42309</v>
      </c>
      <c r="G420" s="1" t="str">
        <f>TEXT(pizza_sales[[#This Row],[order_date]],"dddd")</f>
        <v>Sunday</v>
      </c>
      <c r="H420" s="2">
        <v>0.51285879629629627</v>
      </c>
      <c r="I420">
        <v>12.5</v>
      </c>
      <c r="J420">
        <v>12.5</v>
      </c>
      <c r="K420" t="s">
        <v>59</v>
      </c>
      <c r="L420" t="s">
        <v>13</v>
      </c>
      <c r="M420" t="s">
        <v>26</v>
      </c>
      <c r="N420" t="s">
        <v>27</v>
      </c>
    </row>
    <row r="421" spans="1:14" x14ac:dyDescent="0.25">
      <c r="A421">
        <v>1431</v>
      </c>
      <c r="B421">
        <v>635</v>
      </c>
      <c r="C421">
        <f>1/COUNTIF(B:B,pizza_sales[[#This Row],[order_id]])</f>
        <v>0.16666666666666666</v>
      </c>
      <c r="D421" t="s">
        <v>44</v>
      </c>
      <c r="E421">
        <v>1</v>
      </c>
      <c r="F421" s="1">
        <v>42309</v>
      </c>
      <c r="G421" s="1" t="str">
        <f>TEXT(pizza_sales[[#This Row],[order_date]],"dddd")</f>
        <v>Sunday</v>
      </c>
      <c r="H421" s="2">
        <v>0.51285879629629627</v>
      </c>
      <c r="I421">
        <v>9.75</v>
      </c>
      <c r="J421">
        <v>9.75</v>
      </c>
      <c r="K421" t="s">
        <v>60</v>
      </c>
      <c r="L421" t="s">
        <v>13</v>
      </c>
      <c r="M421" t="s">
        <v>26</v>
      </c>
      <c r="N421" t="s">
        <v>27</v>
      </c>
    </row>
    <row r="422" spans="1:14" x14ac:dyDescent="0.25">
      <c r="A422">
        <v>1433</v>
      </c>
      <c r="B422">
        <v>635</v>
      </c>
      <c r="C422">
        <f>1/COUNTIF(B:B,pizza_sales[[#This Row],[order_id]])</f>
        <v>0.16666666666666666</v>
      </c>
      <c r="D422" t="s">
        <v>48</v>
      </c>
      <c r="E422">
        <v>1</v>
      </c>
      <c r="F422" s="1">
        <v>42309</v>
      </c>
      <c r="G422" s="1" t="str">
        <f>TEXT(pizza_sales[[#This Row],[order_date]],"dddd")</f>
        <v>Sunday</v>
      </c>
      <c r="H422" s="2">
        <v>0.51285879629629627</v>
      </c>
      <c r="I422">
        <v>12.25</v>
      </c>
      <c r="J422">
        <v>12.25</v>
      </c>
      <c r="K422" t="s">
        <v>60</v>
      </c>
      <c r="L422" t="s">
        <v>35</v>
      </c>
      <c r="M422" t="s">
        <v>40</v>
      </c>
      <c r="N422" t="s">
        <v>41</v>
      </c>
    </row>
    <row r="423" spans="1:14" x14ac:dyDescent="0.25">
      <c r="A423">
        <v>1437</v>
      </c>
      <c r="B423">
        <v>637</v>
      </c>
      <c r="C423">
        <f>1/COUNTIF(B:B,pizza_sales[[#This Row],[order_id]])</f>
        <v>1</v>
      </c>
      <c r="D423" t="s">
        <v>55</v>
      </c>
      <c r="E423">
        <v>1</v>
      </c>
      <c r="F423" s="1">
        <v>42309</v>
      </c>
      <c r="G423" s="1" t="str">
        <f>TEXT(pizza_sales[[#This Row],[order_date]],"dddd")</f>
        <v>Sunday</v>
      </c>
      <c r="H423" s="2">
        <v>0.53067129629629628</v>
      </c>
      <c r="I423">
        <v>20.5</v>
      </c>
      <c r="J423">
        <v>20.5</v>
      </c>
      <c r="K423" t="s">
        <v>58</v>
      </c>
      <c r="L423" t="s">
        <v>13</v>
      </c>
      <c r="M423" t="s">
        <v>21</v>
      </c>
      <c r="N423" t="s">
        <v>22</v>
      </c>
    </row>
    <row r="424" spans="1:14" x14ac:dyDescent="0.25">
      <c r="A424">
        <v>1439</v>
      </c>
      <c r="B424">
        <v>638</v>
      </c>
      <c r="C424">
        <f>1/COUNTIF(B:B,pizza_sales[[#This Row],[order_id]])</f>
        <v>1</v>
      </c>
      <c r="D424" t="s">
        <v>24</v>
      </c>
      <c r="E424">
        <v>1</v>
      </c>
      <c r="F424" s="1">
        <v>42309</v>
      </c>
      <c r="G424" s="1" t="str">
        <f>TEXT(pizza_sales[[#This Row],[order_date]],"dddd")</f>
        <v>Sunday</v>
      </c>
      <c r="H424" s="2">
        <v>0.53432870370370367</v>
      </c>
      <c r="I424">
        <v>20.25</v>
      </c>
      <c r="J424">
        <v>20.25</v>
      </c>
      <c r="K424" t="s">
        <v>58</v>
      </c>
      <c r="L424" t="s">
        <v>17</v>
      </c>
      <c r="M424" t="s">
        <v>18</v>
      </c>
      <c r="N424" t="s">
        <v>19</v>
      </c>
    </row>
    <row r="425" spans="1:14" x14ac:dyDescent="0.25">
      <c r="A425">
        <v>1443</v>
      </c>
      <c r="B425">
        <v>640</v>
      </c>
      <c r="C425">
        <f>1/COUNTIF(B:B,pizza_sales[[#This Row],[order_id]])</f>
        <v>1</v>
      </c>
      <c r="D425" t="s">
        <v>31</v>
      </c>
      <c r="E425">
        <v>1</v>
      </c>
      <c r="F425" s="1">
        <v>42309</v>
      </c>
      <c r="G425" s="1" t="str">
        <f>TEXT(pizza_sales[[#This Row],[order_date]],"dddd")</f>
        <v>Sunday</v>
      </c>
      <c r="H425" s="2">
        <v>0.56120370370370365</v>
      </c>
      <c r="I425">
        <v>12</v>
      </c>
      <c r="J425">
        <v>12</v>
      </c>
      <c r="K425" t="s">
        <v>60</v>
      </c>
      <c r="L425" t="s">
        <v>13</v>
      </c>
      <c r="M425" t="s">
        <v>32</v>
      </c>
      <c r="N425" t="s">
        <v>33</v>
      </c>
    </row>
    <row r="426" spans="1:14" x14ac:dyDescent="0.25">
      <c r="A426">
        <v>1444</v>
      </c>
      <c r="B426">
        <v>641</v>
      </c>
      <c r="C426">
        <f>1/COUNTIF(B:B,pizza_sales[[#This Row],[order_id]])</f>
        <v>1</v>
      </c>
      <c r="D426" t="s">
        <v>42</v>
      </c>
      <c r="E426">
        <v>1</v>
      </c>
      <c r="F426" s="1">
        <v>42309</v>
      </c>
      <c r="G426" s="1" t="str">
        <f>TEXT(pizza_sales[[#This Row],[order_date]],"dddd")</f>
        <v>Sunday</v>
      </c>
      <c r="H426" s="2">
        <v>0.56789351851851855</v>
      </c>
      <c r="I426">
        <v>12.5</v>
      </c>
      <c r="J426">
        <v>12.5</v>
      </c>
      <c r="K426" t="s">
        <v>59</v>
      </c>
      <c r="L426" t="s">
        <v>13</v>
      </c>
      <c r="M426" t="s">
        <v>26</v>
      </c>
      <c r="N426" t="s">
        <v>27</v>
      </c>
    </row>
    <row r="427" spans="1:14" x14ac:dyDescent="0.25">
      <c r="A427">
        <v>1448</v>
      </c>
      <c r="B427">
        <v>642</v>
      </c>
      <c r="C427">
        <f>1/COUNTIF(B:B,pizza_sales[[#This Row],[order_id]])</f>
        <v>1</v>
      </c>
      <c r="D427" t="s">
        <v>34</v>
      </c>
      <c r="E427">
        <v>1</v>
      </c>
      <c r="F427" s="1">
        <v>42309</v>
      </c>
      <c r="G427" s="1" t="str">
        <f>TEXT(pizza_sales[[#This Row],[order_date]],"dddd")</f>
        <v>Sunday</v>
      </c>
      <c r="H427" s="2">
        <v>0.56944444444444442</v>
      </c>
      <c r="I427">
        <v>16.25</v>
      </c>
      <c r="J427">
        <v>16.25</v>
      </c>
      <c r="K427" t="s">
        <v>59</v>
      </c>
      <c r="L427" t="s">
        <v>35</v>
      </c>
      <c r="M427" t="s">
        <v>36</v>
      </c>
      <c r="N427" t="s">
        <v>37</v>
      </c>
    </row>
    <row r="428" spans="1:14" x14ac:dyDescent="0.25">
      <c r="A428">
        <v>1456</v>
      </c>
      <c r="B428">
        <v>645</v>
      </c>
      <c r="C428">
        <f>1/COUNTIF(B:B,pizza_sales[[#This Row],[order_id]])</f>
        <v>1</v>
      </c>
      <c r="D428" t="s">
        <v>28</v>
      </c>
      <c r="E428">
        <v>1</v>
      </c>
      <c r="F428" s="1">
        <v>42309</v>
      </c>
      <c r="G428" s="1" t="str">
        <f>TEXT(pizza_sales[[#This Row],[order_date]],"dddd")</f>
        <v>Sunday</v>
      </c>
      <c r="H428" s="2">
        <v>0.5859375</v>
      </c>
      <c r="I428">
        <v>12</v>
      </c>
      <c r="J428">
        <v>12</v>
      </c>
      <c r="K428" t="s">
        <v>60</v>
      </c>
      <c r="L428" t="s">
        <v>13</v>
      </c>
      <c r="M428" t="s">
        <v>29</v>
      </c>
      <c r="N428" t="s">
        <v>30</v>
      </c>
    </row>
    <row r="429" spans="1:14" x14ac:dyDescent="0.25">
      <c r="A429">
        <v>1457</v>
      </c>
      <c r="B429">
        <v>646</v>
      </c>
      <c r="C429">
        <f>1/COUNTIF(B:B,pizza_sales[[#This Row],[order_id]])</f>
        <v>1</v>
      </c>
      <c r="D429" t="s">
        <v>45</v>
      </c>
      <c r="E429">
        <v>1</v>
      </c>
      <c r="F429" s="1">
        <v>42309</v>
      </c>
      <c r="G429" s="1" t="str">
        <f>TEXT(pizza_sales[[#This Row],[order_date]],"dddd")</f>
        <v>Sunday</v>
      </c>
      <c r="H429" s="2">
        <v>0.58849537037037036</v>
      </c>
      <c r="I429">
        <v>10.5</v>
      </c>
      <c r="J429">
        <v>10.5</v>
      </c>
      <c r="K429" t="s">
        <v>60</v>
      </c>
      <c r="L429" t="s">
        <v>13</v>
      </c>
      <c r="M429" t="s">
        <v>14</v>
      </c>
      <c r="N429" t="s">
        <v>15</v>
      </c>
    </row>
    <row r="430" spans="1:14" x14ac:dyDescent="0.25">
      <c r="A430">
        <v>1459</v>
      </c>
      <c r="B430">
        <v>647</v>
      </c>
      <c r="C430">
        <f>1/COUNTIF(B:B,pizza_sales[[#This Row],[order_id]])</f>
        <v>1</v>
      </c>
      <c r="D430" t="s">
        <v>45</v>
      </c>
      <c r="E430">
        <v>1</v>
      </c>
      <c r="F430" s="1">
        <v>42309</v>
      </c>
      <c r="G430" s="1" t="str">
        <f>TEXT(pizza_sales[[#This Row],[order_date]],"dddd")</f>
        <v>Sunday</v>
      </c>
      <c r="H430" s="2">
        <v>0.58859953703703705</v>
      </c>
      <c r="I430">
        <v>10.5</v>
      </c>
      <c r="J430">
        <v>10.5</v>
      </c>
      <c r="K430" t="s">
        <v>60</v>
      </c>
      <c r="L430" t="s">
        <v>13</v>
      </c>
      <c r="M430" t="s">
        <v>14</v>
      </c>
      <c r="N430" t="s">
        <v>15</v>
      </c>
    </row>
    <row r="431" spans="1:14" x14ac:dyDescent="0.25">
      <c r="A431">
        <v>1461</v>
      </c>
      <c r="B431">
        <v>648</v>
      </c>
      <c r="C431">
        <f>1/COUNTIF(B:B,pizza_sales[[#This Row],[order_id]])</f>
        <v>1</v>
      </c>
      <c r="D431" t="s">
        <v>42</v>
      </c>
      <c r="E431">
        <v>1</v>
      </c>
      <c r="F431" s="1">
        <v>42309</v>
      </c>
      <c r="G431" s="1" t="str">
        <f>TEXT(pizza_sales[[#This Row],[order_date]],"dddd")</f>
        <v>Sunday</v>
      </c>
      <c r="H431" s="2">
        <v>0.5953356481481481</v>
      </c>
      <c r="I431">
        <v>12.5</v>
      </c>
      <c r="J431">
        <v>12.5</v>
      </c>
      <c r="K431" t="s">
        <v>59</v>
      </c>
      <c r="L431" t="s">
        <v>13</v>
      </c>
      <c r="M431" t="s">
        <v>26</v>
      </c>
      <c r="N431" t="s">
        <v>27</v>
      </c>
    </row>
    <row r="432" spans="1:14" x14ac:dyDescent="0.25">
      <c r="A432">
        <v>1463</v>
      </c>
      <c r="B432">
        <v>649</v>
      </c>
      <c r="C432">
        <f>1/COUNTIF(B:B,pizza_sales[[#This Row],[order_id]])</f>
        <v>0.5</v>
      </c>
      <c r="D432" t="s">
        <v>42</v>
      </c>
      <c r="E432">
        <v>1</v>
      </c>
      <c r="F432" s="1">
        <v>42309</v>
      </c>
      <c r="G432" s="1" t="str">
        <f>TEXT(pizza_sales[[#This Row],[order_date]],"dddd")</f>
        <v>Sunday</v>
      </c>
      <c r="H432" s="2">
        <v>0.60373842592592597</v>
      </c>
      <c r="I432">
        <v>12.5</v>
      </c>
      <c r="J432">
        <v>12.5</v>
      </c>
      <c r="K432" t="s">
        <v>59</v>
      </c>
      <c r="L432" t="s">
        <v>13</v>
      </c>
      <c r="M432" t="s">
        <v>26</v>
      </c>
      <c r="N432" t="s">
        <v>27</v>
      </c>
    </row>
    <row r="433" spans="1:14" x14ac:dyDescent="0.25">
      <c r="A433">
        <v>1465</v>
      </c>
      <c r="B433">
        <v>649</v>
      </c>
      <c r="C433">
        <f>1/COUNTIF(B:B,pizza_sales[[#This Row],[order_id]])</f>
        <v>0.5</v>
      </c>
      <c r="D433" t="s">
        <v>48</v>
      </c>
      <c r="E433">
        <v>1</v>
      </c>
      <c r="F433" s="1">
        <v>42309</v>
      </c>
      <c r="G433" s="1" t="str">
        <f>TEXT(pizza_sales[[#This Row],[order_date]],"dddd")</f>
        <v>Sunday</v>
      </c>
      <c r="H433" s="2">
        <v>0.60373842592592597</v>
      </c>
      <c r="I433">
        <v>12.25</v>
      </c>
      <c r="J433">
        <v>12.25</v>
      </c>
      <c r="K433" t="s">
        <v>60</v>
      </c>
      <c r="L433" t="s">
        <v>35</v>
      </c>
      <c r="M433" t="s">
        <v>40</v>
      </c>
      <c r="N433" t="s">
        <v>41</v>
      </c>
    </row>
    <row r="434" spans="1:14" x14ac:dyDescent="0.25">
      <c r="A434">
        <v>1466</v>
      </c>
      <c r="B434">
        <v>650</v>
      </c>
      <c r="C434">
        <f>1/COUNTIF(B:B,pizza_sales[[#This Row],[order_id]])</f>
        <v>1</v>
      </c>
      <c r="D434" t="s">
        <v>42</v>
      </c>
      <c r="E434">
        <v>1</v>
      </c>
      <c r="F434" s="1">
        <v>42309</v>
      </c>
      <c r="G434" s="1" t="str">
        <f>TEXT(pizza_sales[[#This Row],[order_date]],"dddd")</f>
        <v>Sunday</v>
      </c>
      <c r="H434" s="2">
        <v>0.60700231481481481</v>
      </c>
      <c r="I434">
        <v>12.5</v>
      </c>
      <c r="J434">
        <v>12.5</v>
      </c>
      <c r="K434" t="s">
        <v>59</v>
      </c>
      <c r="L434" t="s">
        <v>13</v>
      </c>
      <c r="M434" t="s">
        <v>26</v>
      </c>
      <c r="N434" t="s">
        <v>27</v>
      </c>
    </row>
    <row r="435" spans="1:14" x14ac:dyDescent="0.25">
      <c r="A435">
        <v>1468</v>
      </c>
      <c r="B435">
        <v>651</v>
      </c>
      <c r="C435">
        <f>1/COUNTIF(B:B,pizza_sales[[#This Row],[order_id]])</f>
        <v>0.5</v>
      </c>
      <c r="D435" t="s">
        <v>34</v>
      </c>
      <c r="E435">
        <v>1</v>
      </c>
      <c r="F435" s="1">
        <v>42309</v>
      </c>
      <c r="G435" s="1" t="str">
        <f>TEXT(pizza_sales[[#This Row],[order_date]],"dddd")</f>
        <v>Sunday</v>
      </c>
      <c r="H435" s="2">
        <v>0.61776620370370372</v>
      </c>
      <c r="I435">
        <v>16.25</v>
      </c>
      <c r="J435">
        <v>16.25</v>
      </c>
      <c r="K435" t="s">
        <v>59</v>
      </c>
      <c r="L435" t="s">
        <v>35</v>
      </c>
      <c r="M435" t="s">
        <v>36</v>
      </c>
      <c r="N435" t="s">
        <v>37</v>
      </c>
    </row>
    <row r="436" spans="1:14" x14ac:dyDescent="0.25">
      <c r="A436">
        <v>1469</v>
      </c>
      <c r="B436">
        <v>651</v>
      </c>
      <c r="C436">
        <f>1/COUNTIF(B:B,pizza_sales[[#This Row],[order_id]])</f>
        <v>0.5</v>
      </c>
      <c r="D436" t="s">
        <v>42</v>
      </c>
      <c r="E436">
        <v>1</v>
      </c>
      <c r="F436" s="1">
        <v>42309</v>
      </c>
      <c r="G436" s="1" t="str">
        <f>TEXT(pizza_sales[[#This Row],[order_date]],"dddd")</f>
        <v>Sunday</v>
      </c>
      <c r="H436" s="2">
        <v>0.61776620370370372</v>
      </c>
      <c r="I436">
        <v>12.5</v>
      </c>
      <c r="J436">
        <v>12.5</v>
      </c>
      <c r="K436" t="s">
        <v>59</v>
      </c>
      <c r="L436" t="s">
        <v>13</v>
      </c>
      <c r="M436" t="s">
        <v>26</v>
      </c>
      <c r="N436" t="s">
        <v>27</v>
      </c>
    </row>
    <row r="437" spans="1:14" x14ac:dyDescent="0.25">
      <c r="A437">
        <v>1470</v>
      </c>
      <c r="B437">
        <v>652</v>
      </c>
      <c r="C437">
        <f>1/COUNTIF(B:B,pizza_sales[[#This Row],[order_id]])</f>
        <v>1</v>
      </c>
      <c r="D437" t="s">
        <v>28</v>
      </c>
      <c r="E437">
        <v>1</v>
      </c>
      <c r="F437" s="1">
        <v>42309</v>
      </c>
      <c r="G437" s="1" t="str">
        <f>TEXT(pizza_sales[[#This Row],[order_date]],"dddd")</f>
        <v>Sunday</v>
      </c>
      <c r="H437" s="2">
        <v>0.66918981481481477</v>
      </c>
      <c r="I437">
        <v>12</v>
      </c>
      <c r="J437">
        <v>12</v>
      </c>
      <c r="K437" t="s">
        <v>60</v>
      </c>
      <c r="L437" t="s">
        <v>13</v>
      </c>
      <c r="M437" t="s">
        <v>29</v>
      </c>
      <c r="N437" t="s">
        <v>30</v>
      </c>
    </row>
    <row r="438" spans="1:14" x14ac:dyDescent="0.25">
      <c r="A438">
        <v>1475</v>
      </c>
      <c r="B438">
        <v>654</v>
      </c>
      <c r="C438">
        <f>1/COUNTIF(B:B,pizza_sales[[#This Row],[order_id]])</f>
        <v>0.5</v>
      </c>
      <c r="D438" t="s">
        <v>24</v>
      </c>
      <c r="E438">
        <v>1</v>
      </c>
      <c r="F438" s="1">
        <v>42309</v>
      </c>
      <c r="G438" s="1" t="str">
        <f>TEXT(pizza_sales[[#This Row],[order_date]],"dddd")</f>
        <v>Sunday</v>
      </c>
      <c r="H438" s="2">
        <v>0.69035879629629626</v>
      </c>
      <c r="I438">
        <v>20.25</v>
      </c>
      <c r="J438">
        <v>20.25</v>
      </c>
      <c r="K438" t="s">
        <v>58</v>
      </c>
      <c r="L438" t="s">
        <v>17</v>
      </c>
      <c r="M438" t="s">
        <v>18</v>
      </c>
      <c r="N438" t="s">
        <v>19</v>
      </c>
    </row>
    <row r="439" spans="1:14" x14ac:dyDescent="0.25">
      <c r="A439">
        <v>1476</v>
      </c>
      <c r="B439">
        <v>654</v>
      </c>
      <c r="C439">
        <f>1/COUNTIF(B:B,pizza_sales[[#This Row],[order_id]])</f>
        <v>0.5</v>
      </c>
      <c r="D439" t="s">
        <v>39</v>
      </c>
      <c r="E439">
        <v>1</v>
      </c>
      <c r="F439" s="1">
        <v>42309</v>
      </c>
      <c r="G439" s="1" t="str">
        <f>TEXT(pizza_sales[[#This Row],[order_date]],"dddd")</f>
        <v>Sunday</v>
      </c>
      <c r="H439" s="2">
        <v>0.69035879629629626</v>
      </c>
      <c r="I439">
        <v>20.25</v>
      </c>
      <c r="J439">
        <v>20.25</v>
      </c>
      <c r="K439" t="s">
        <v>58</v>
      </c>
      <c r="L439" t="s">
        <v>35</v>
      </c>
      <c r="M439" t="s">
        <v>40</v>
      </c>
      <c r="N439" t="s">
        <v>41</v>
      </c>
    </row>
    <row r="440" spans="1:14" x14ac:dyDescent="0.25">
      <c r="A440">
        <v>1483</v>
      </c>
      <c r="B440">
        <v>658</v>
      </c>
      <c r="C440">
        <f>1/COUNTIF(B:B,pizza_sales[[#This Row],[order_id]])</f>
        <v>1</v>
      </c>
      <c r="D440" t="s">
        <v>50</v>
      </c>
      <c r="E440">
        <v>1</v>
      </c>
      <c r="F440" s="1">
        <v>42309</v>
      </c>
      <c r="G440" s="1" t="str">
        <f>TEXT(pizza_sales[[#This Row],[order_date]],"dddd")</f>
        <v>Sunday</v>
      </c>
      <c r="H440" s="2">
        <v>0.70513888888888887</v>
      </c>
      <c r="I440">
        <v>16</v>
      </c>
      <c r="J440">
        <v>16</v>
      </c>
      <c r="K440" t="s">
        <v>59</v>
      </c>
      <c r="L440" t="s">
        <v>13</v>
      </c>
      <c r="M440" t="s">
        <v>32</v>
      </c>
      <c r="N440" t="s">
        <v>33</v>
      </c>
    </row>
    <row r="441" spans="1:14" x14ac:dyDescent="0.25">
      <c r="A441">
        <v>1487</v>
      </c>
      <c r="B441">
        <v>659</v>
      </c>
      <c r="C441">
        <f>1/COUNTIF(B:B,pizza_sales[[#This Row],[order_id]])</f>
        <v>1</v>
      </c>
      <c r="D441" t="s">
        <v>39</v>
      </c>
      <c r="E441">
        <v>1</v>
      </c>
      <c r="F441" s="1">
        <v>42309</v>
      </c>
      <c r="G441" s="1" t="str">
        <f>TEXT(pizza_sales[[#This Row],[order_date]],"dddd")</f>
        <v>Sunday</v>
      </c>
      <c r="H441" s="2">
        <v>0.70600694444444445</v>
      </c>
      <c r="I441">
        <v>20.25</v>
      </c>
      <c r="J441">
        <v>20.25</v>
      </c>
      <c r="K441" t="s">
        <v>58</v>
      </c>
      <c r="L441" t="s">
        <v>35</v>
      </c>
      <c r="M441" t="s">
        <v>40</v>
      </c>
      <c r="N441" t="s">
        <v>41</v>
      </c>
    </row>
    <row r="442" spans="1:14" x14ac:dyDescent="0.25">
      <c r="A442">
        <v>1490</v>
      </c>
      <c r="B442">
        <v>661</v>
      </c>
      <c r="C442">
        <f>1/COUNTIF(B:B,pizza_sales[[#This Row],[order_id]])</f>
        <v>1</v>
      </c>
      <c r="D442" t="s">
        <v>31</v>
      </c>
      <c r="E442">
        <v>1</v>
      </c>
      <c r="F442" s="1">
        <v>42309</v>
      </c>
      <c r="G442" s="1" t="str">
        <f>TEXT(pizza_sales[[#This Row],[order_date]],"dddd")</f>
        <v>Sunday</v>
      </c>
      <c r="H442" s="2">
        <v>0.72099537037037043</v>
      </c>
      <c r="I442">
        <v>12</v>
      </c>
      <c r="J442">
        <v>12</v>
      </c>
      <c r="K442" t="s">
        <v>60</v>
      </c>
      <c r="L442" t="s">
        <v>13</v>
      </c>
      <c r="M442" t="s">
        <v>32</v>
      </c>
      <c r="N442" t="s">
        <v>33</v>
      </c>
    </row>
    <row r="443" spans="1:14" x14ac:dyDescent="0.25">
      <c r="A443">
        <v>1494</v>
      </c>
      <c r="B443">
        <v>664</v>
      </c>
      <c r="C443">
        <f>1/COUNTIF(B:B,pizza_sales[[#This Row],[order_id]])</f>
        <v>0.5</v>
      </c>
      <c r="D443" t="s">
        <v>34</v>
      </c>
      <c r="E443">
        <v>1</v>
      </c>
      <c r="F443" s="1">
        <v>42309</v>
      </c>
      <c r="G443" s="1" t="str">
        <f>TEXT(pizza_sales[[#This Row],[order_date]],"dddd")</f>
        <v>Sunday</v>
      </c>
      <c r="H443" s="2">
        <v>0.73280092592592594</v>
      </c>
      <c r="I443">
        <v>16.25</v>
      </c>
      <c r="J443">
        <v>16.25</v>
      </c>
      <c r="K443" t="s">
        <v>59</v>
      </c>
      <c r="L443" t="s">
        <v>35</v>
      </c>
      <c r="M443" t="s">
        <v>36</v>
      </c>
      <c r="N443" t="s">
        <v>37</v>
      </c>
    </row>
    <row r="444" spans="1:14" x14ac:dyDescent="0.25">
      <c r="A444">
        <v>1496</v>
      </c>
      <c r="B444">
        <v>664</v>
      </c>
      <c r="C444">
        <f>1/COUNTIF(B:B,pizza_sales[[#This Row],[order_id]])</f>
        <v>0.5</v>
      </c>
      <c r="D444" t="s">
        <v>25</v>
      </c>
      <c r="E444">
        <v>1</v>
      </c>
      <c r="F444" s="1">
        <v>42309</v>
      </c>
      <c r="G444" s="1" t="str">
        <f>TEXT(pizza_sales[[#This Row],[order_date]],"dddd")</f>
        <v>Sunday</v>
      </c>
      <c r="H444" s="2">
        <v>0.73280092592592594</v>
      </c>
      <c r="I444">
        <v>15.25</v>
      </c>
      <c r="J444">
        <v>15.25</v>
      </c>
      <c r="K444" t="s">
        <v>58</v>
      </c>
      <c r="L444" t="s">
        <v>13</v>
      </c>
      <c r="M444" t="s">
        <v>26</v>
      </c>
      <c r="N444" t="s">
        <v>27</v>
      </c>
    </row>
    <row r="445" spans="1:14" x14ac:dyDescent="0.25">
      <c r="A445">
        <v>1499</v>
      </c>
      <c r="B445">
        <v>666</v>
      </c>
      <c r="C445">
        <f>1/COUNTIF(B:B,pizza_sales[[#This Row],[order_id]])</f>
        <v>1</v>
      </c>
      <c r="D445" t="s">
        <v>47</v>
      </c>
      <c r="E445">
        <v>1</v>
      </c>
      <c r="F445" s="1">
        <v>42309</v>
      </c>
      <c r="G445" s="1" t="str">
        <f>TEXT(pizza_sales[[#This Row],[order_date]],"dddd")</f>
        <v>Sunday</v>
      </c>
      <c r="H445" s="2">
        <v>0.7377893518518519</v>
      </c>
      <c r="I445">
        <v>16.5</v>
      </c>
      <c r="J445">
        <v>16.5</v>
      </c>
      <c r="K445" t="s">
        <v>58</v>
      </c>
      <c r="L445" t="s">
        <v>13</v>
      </c>
      <c r="M445" t="s">
        <v>14</v>
      </c>
      <c r="N445" t="s">
        <v>15</v>
      </c>
    </row>
    <row r="446" spans="1:14" x14ac:dyDescent="0.25">
      <c r="A446">
        <v>1500</v>
      </c>
      <c r="B446">
        <v>667</v>
      </c>
      <c r="C446">
        <f>1/COUNTIF(B:B,pizza_sales[[#This Row],[order_id]])</f>
        <v>0.5</v>
      </c>
      <c r="D446" t="s">
        <v>28</v>
      </c>
      <c r="E446">
        <v>1</v>
      </c>
      <c r="F446" s="1">
        <v>42309</v>
      </c>
      <c r="G446" s="1" t="str">
        <f>TEXT(pizza_sales[[#This Row],[order_date]],"dddd")</f>
        <v>Sunday</v>
      </c>
      <c r="H446" s="2">
        <v>0.75912037037037039</v>
      </c>
      <c r="I446">
        <v>12</v>
      </c>
      <c r="J446">
        <v>12</v>
      </c>
      <c r="K446" t="s">
        <v>60</v>
      </c>
      <c r="L446" t="s">
        <v>13</v>
      </c>
      <c r="M446" t="s">
        <v>29</v>
      </c>
      <c r="N446" t="s">
        <v>30</v>
      </c>
    </row>
    <row r="447" spans="1:14" x14ac:dyDescent="0.25">
      <c r="A447">
        <v>1501</v>
      </c>
      <c r="B447">
        <v>667</v>
      </c>
      <c r="C447">
        <f>1/COUNTIF(B:B,pizza_sales[[#This Row],[order_id]])</f>
        <v>0.5</v>
      </c>
      <c r="D447" t="s">
        <v>44</v>
      </c>
      <c r="E447">
        <v>1</v>
      </c>
      <c r="F447" s="1">
        <v>42309</v>
      </c>
      <c r="G447" s="1" t="str">
        <f>TEXT(pizza_sales[[#This Row],[order_date]],"dddd")</f>
        <v>Sunday</v>
      </c>
      <c r="H447" s="2">
        <v>0.75912037037037039</v>
      </c>
      <c r="I447">
        <v>9.75</v>
      </c>
      <c r="J447">
        <v>9.75</v>
      </c>
      <c r="K447" t="s">
        <v>60</v>
      </c>
      <c r="L447" t="s">
        <v>13</v>
      </c>
      <c r="M447" t="s">
        <v>26</v>
      </c>
      <c r="N447" t="s">
        <v>27</v>
      </c>
    </row>
    <row r="448" spans="1:14" x14ac:dyDescent="0.25">
      <c r="A448">
        <v>1503</v>
      </c>
      <c r="B448">
        <v>668</v>
      </c>
      <c r="C448">
        <f>1/COUNTIF(B:B,pizza_sales[[#This Row],[order_id]])</f>
        <v>1</v>
      </c>
      <c r="D448" t="s">
        <v>24</v>
      </c>
      <c r="E448">
        <v>1</v>
      </c>
      <c r="F448" s="1">
        <v>42309</v>
      </c>
      <c r="G448" s="1" t="str">
        <f>TEXT(pizza_sales[[#This Row],[order_date]],"dddd")</f>
        <v>Sunday</v>
      </c>
      <c r="H448" s="2">
        <v>0.75916666666666666</v>
      </c>
      <c r="I448">
        <v>20.25</v>
      </c>
      <c r="J448">
        <v>20.25</v>
      </c>
      <c r="K448" t="s">
        <v>58</v>
      </c>
      <c r="L448" t="s">
        <v>17</v>
      </c>
      <c r="M448" t="s">
        <v>18</v>
      </c>
      <c r="N448" t="s">
        <v>19</v>
      </c>
    </row>
    <row r="449" spans="1:14" x14ac:dyDescent="0.25">
      <c r="A449">
        <v>1507</v>
      </c>
      <c r="B449">
        <v>669</v>
      </c>
      <c r="C449">
        <f>1/COUNTIF(B:B,pizza_sales[[#This Row],[order_id]])</f>
        <v>1</v>
      </c>
      <c r="D449" t="s">
        <v>24</v>
      </c>
      <c r="E449">
        <v>1</v>
      </c>
      <c r="F449" s="1">
        <v>42309</v>
      </c>
      <c r="G449" s="1" t="str">
        <f>TEXT(pizza_sales[[#This Row],[order_date]],"dddd")</f>
        <v>Sunday</v>
      </c>
      <c r="H449" s="2">
        <v>0.77828703703703705</v>
      </c>
      <c r="I449">
        <v>20.25</v>
      </c>
      <c r="J449">
        <v>20.25</v>
      </c>
      <c r="K449" t="s">
        <v>58</v>
      </c>
      <c r="L449" t="s">
        <v>17</v>
      </c>
      <c r="M449" t="s">
        <v>18</v>
      </c>
      <c r="N449" t="s">
        <v>19</v>
      </c>
    </row>
    <row r="450" spans="1:14" x14ac:dyDescent="0.25">
      <c r="A450">
        <v>1516</v>
      </c>
      <c r="B450">
        <v>674</v>
      </c>
      <c r="C450">
        <f>1/COUNTIF(B:B,pizza_sales[[#This Row],[order_id]])</f>
        <v>1</v>
      </c>
      <c r="D450" t="s">
        <v>24</v>
      </c>
      <c r="E450">
        <v>1</v>
      </c>
      <c r="F450" s="1">
        <v>42309</v>
      </c>
      <c r="G450" s="1" t="str">
        <f>TEXT(pizza_sales[[#This Row],[order_date]],"dddd")</f>
        <v>Sunday</v>
      </c>
      <c r="H450" s="2">
        <v>0.81464120370370374</v>
      </c>
      <c r="I450">
        <v>20.25</v>
      </c>
      <c r="J450">
        <v>20.25</v>
      </c>
      <c r="K450" t="s">
        <v>58</v>
      </c>
      <c r="L450" t="s">
        <v>17</v>
      </c>
      <c r="M450" t="s">
        <v>18</v>
      </c>
      <c r="N450" t="s">
        <v>19</v>
      </c>
    </row>
    <row r="451" spans="1:14" x14ac:dyDescent="0.25">
      <c r="A451">
        <v>1519</v>
      </c>
      <c r="B451">
        <v>675</v>
      </c>
      <c r="C451">
        <f>1/COUNTIF(B:B,pizza_sales[[#This Row],[order_id]])</f>
        <v>1</v>
      </c>
      <c r="D451" t="s">
        <v>38</v>
      </c>
      <c r="E451">
        <v>1</v>
      </c>
      <c r="F451" s="1">
        <v>42309</v>
      </c>
      <c r="G451" s="1" t="str">
        <f>TEXT(pizza_sales[[#This Row],[order_date]],"dddd")</f>
        <v>Sunday</v>
      </c>
      <c r="H451" s="2">
        <v>0.81480324074074073</v>
      </c>
      <c r="I451">
        <v>20.5</v>
      </c>
      <c r="J451">
        <v>20.5</v>
      </c>
      <c r="K451" t="s">
        <v>58</v>
      </c>
      <c r="L451" t="s">
        <v>13</v>
      </c>
      <c r="M451" t="s">
        <v>32</v>
      </c>
      <c r="N451" t="s">
        <v>33</v>
      </c>
    </row>
    <row r="452" spans="1:14" x14ac:dyDescent="0.25">
      <c r="A452">
        <v>1520</v>
      </c>
      <c r="B452">
        <v>676</v>
      </c>
      <c r="C452">
        <f>1/COUNTIF(B:B,pizza_sales[[#This Row],[order_id]])</f>
        <v>1</v>
      </c>
      <c r="D452" t="s">
        <v>24</v>
      </c>
      <c r="E452">
        <v>1</v>
      </c>
      <c r="F452" s="1">
        <v>42309</v>
      </c>
      <c r="G452" s="1" t="str">
        <f>TEXT(pizza_sales[[#This Row],[order_date]],"dddd")</f>
        <v>Sunday</v>
      </c>
      <c r="H452" s="2">
        <v>0.8228819444444444</v>
      </c>
      <c r="I452">
        <v>20.25</v>
      </c>
      <c r="J452">
        <v>20.25</v>
      </c>
      <c r="K452" t="s">
        <v>58</v>
      </c>
      <c r="L452" t="s">
        <v>17</v>
      </c>
      <c r="M452" t="s">
        <v>18</v>
      </c>
      <c r="N452" t="s">
        <v>19</v>
      </c>
    </row>
    <row r="453" spans="1:14" x14ac:dyDescent="0.25">
      <c r="A453">
        <v>1523</v>
      </c>
      <c r="B453">
        <v>678</v>
      </c>
      <c r="C453">
        <f>1/COUNTIF(B:B,pizza_sales[[#This Row],[order_id]])</f>
        <v>0.5</v>
      </c>
      <c r="D453" t="s">
        <v>23</v>
      </c>
      <c r="E453">
        <v>1</v>
      </c>
      <c r="F453" s="1">
        <v>42309</v>
      </c>
      <c r="G453" s="1" t="str">
        <f>TEXT(pizza_sales[[#This Row],[order_date]],"dddd")</f>
        <v>Sunday</v>
      </c>
      <c r="H453" s="2">
        <v>0.8283449074074074</v>
      </c>
      <c r="I453">
        <v>12</v>
      </c>
      <c r="J453">
        <v>12</v>
      </c>
      <c r="K453" t="s">
        <v>60</v>
      </c>
      <c r="L453" t="s">
        <v>17</v>
      </c>
      <c r="M453" t="s">
        <v>18</v>
      </c>
      <c r="N453" t="s">
        <v>19</v>
      </c>
    </row>
    <row r="454" spans="1:14" x14ac:dyDescent="0.25">
      <c r="A454">
        <v>1524</v>
      </c>
      <c r="B454">
        <v>678</v>
      </c>
      <c r="C454">
        <f>1/COUNTIF(B:B,pizza_sales[[#This Row],[order_id]])</f>
        <v>0.5</v>
      </c>
      <c r="D454" t="s">
        <v>50</v>
      </c>
      <c r="E454">
        <v>1</v>
      </c>
      <c r="F454" s="1">
        <v>42309</v>
      </c>
      <c r="G454" s="1" t="str">
        <f>TEXT(pizza_sales[[#This Row],[order_date]],"dddd")</f>
        <v>Sunday</v>
      </c>
      <c r="H454" s="2">
        <v>0.8283449074074074</v>
      </c>
      <c r="I454">
        <v>16</v>
      </c>
      <c r="J454">
        <v>16</v>
      </c>
      <c r="K454" t="s">
        <v>59</v>
      </c>
      <c r="L454" t="s">
        <v>13</v>
      </c>
      <c r="M454" t="s">
        <v>32</v>
      </c>
      <c r="N454" t="s">
        <v>33</v>
      </c>
    </row>
    <row r="455" spans="1:14" x14ac:dyDescent="0.25">
      <c r="A455">
        <v>1526</v>
      </c>
      <c r="B455">
        <v>679</v>
      </c>
      <c r="C455">
        <f>1/COUNTIF(B:B,pizza_sales[[#This Row],[order_id]])</f>
        <v>1</v>
      </c>
      <c r="D455" t="s">
        <v>51</v>
      </c>
      <c r="E455">
        <v>1</v>
      </c>
      <c r="F455" s="1">
        <v>42309</v>
      </c>
      <c r="G455" s="1" t="str">
        <f>TEXT(pizza_sales[[#This Row],[order_date]],"dddd")</f>
        <v>Sunday</v>
      </c>
      <c r="H455" s="2">
        <v>0.85488425925925926</v>
      </c>
      <c r="I455">
        <v>23.65</v>
      </c>
      <c r="J455">
        <v>23.65</v>
      </c>
      <c r="K455" t="s">
        <v>60</v>
      </c>
      <c r="L455" t="s">
        <v>35</v>
      </c>
      <c r="M455" t="s">
        <v>52</v>
      </c>
      <c r="N455" t="s">
        <v>53</v>
      </c>
    </row>
    <row r="456" spans="1:14" x14ac:dyDescent="0.25">
      <c r="A456">
        <v>1531</v>
      </c>
      <c r="B456">
        <v>680</v>
      </c>
      <c r="C456">
        <f>1/COUNTIF(B:B,pizza_sales[[#This Row],[order_id]])</f>
        <v>1</v>
      </c>
      <c r="D456" t="s">
        <v>43</v>
      </c>
      <c r="E456">
        <v>1</v>
      </c>
      <c r="F456" s="1">
        <v>42309</v>
      </c>
      <c r="G456" s="1" t="str">
        <f>TEXT(pizza_sales[[#This Row],[order_date]],"dddd")</f>
        <v>Sunday</v>
      </c>
      <c r="H456" s="2">
        <v>0.88020833333333337</v>
      </c>
      <c r="I456">
        <v>16.25</v>
      </c>
      <c r="J456">
        <v>16.25</v>
      </c>
      <c r="K456" t="s">
        <v>59</v>
      </c>
      <c r="L456" t="s">
        <v>35</v>
      </c>
      <c r="M456" t="s">
        <v>40</v>
      </c>
      <c r="N456" t="s">
        <v>41</v>
      </c>
    </row>
    <row r="457" spans="1:14" x14ac:dyDescent="0.25">
      <c r="A457">
        <v>1539</v>
      </c>
      <c r="B457">
        <v>686</v>
      </c>
      <c r="C457">
        <f>1/COUNTIF(B:B,pizza_sales[[#This Row],[order_id]])</f>
        <v>1</v>
      </c>
      <c r="D457" t="s">
        <v>28</v>
      </c>
      <c r="E457">
        <v>1</v>
      </c>
      <c r="F457" s="1">
        <v>42339</v>
      </c>
      <c r="G457" s="1" t="str">
        <f>TEXT(pizza_sales[[#This Row],[order_date]],"dddd")</f>
        <v>Tuesday</v>
      </c>
      <c r="H457" s="2">
        <v>0.50910879629629635</v>
      </c>
      <c r="I457">
        <v>12</v>
      </c>
      <c r="J457">
        <v>12</v>
      </c>
      <c r="K457" t="s">
        <v>60</v>
      </c>
      <c r="L457" t="s">
        <v>13</v>
      </c>
      <c r="M457" t="s">
        <v>29</v>
      </c>
      <c r="N457" t="s">
        <v>30</v>
      </c>
    </row>
    <row r="458" spans="1:14" x14ac:dyDescent="0.25">
      <c r="A458">
        <v>1545</v>
      </c>
      <c r="B458">
        <v>690</v>
      </c>
      <c r="C458">
        <f>1/COUNTIF(B:B,pizza_sales[[#This Row],[order_id]])</f>
        <v>1</v>
      </c>
      <c r="D458" t="s">
        <v>42</v>
      </c>
      <c r="E458">
        <v>1</v>
      </c>
      <c r="F458" s="1">
        <v>42339</v>
      </c>
      <c r="G458" s="1" t="str">
        <f>TEXT(pizza_sales[[#This Row],[order_date]],"dddd")</f>
        <v>Tuesday</v>
      </c>
      <c r="H458" s="2">
        <v>0.5292824074074074</v>
      </c>
      <c r="I458">
        <v>12.5</v>
      </c>
      <c r="J458">
        <v>12.5</v>
      </c>
      <c r="K458" t="s">
        <v>59</v>
      </c>
      <c r="L458" t="s">
        <v>13</v>
      </c>
      <c r="M458" t="s">
        <v>26</v>
      </c>
      <c r="N458" t="s">
        <v>27</v>
      </c>
    </row>
    <row r="459" spans="1:14" x14ac:dyDescent="0.25">
      <c r="A459">
        <v>1550</v>
      </c>
      <c r="B459">
        <v>693</v>
      </c>
      <c r="C459">
        <f>1/COUNTIF(B:B,pizza_sales[[#This Row],[order_id]])</f>
        <v>1</v>
      </c>
      <c r="D459" t="s">
        <v>28</v>
      </c>
      <c r="E459">
        <v>1</v>
      </c>
      <c r="F459" s="1">
        <v>42339</v>
      </c>
      <c r="G459" s="1" t="str">
        <f>TEXT(pizza_sales[[#This Row],[order_date]],"dddd")</f>
        <v>Tuesday</v>
      </c>
      <c r="H459" s="2">
        <v>0.54472222222222222</v>
      </c>
      <c r="I459">
        <v>12</v>
      </c>
      <c r="J459">
        <v>12</v>
      </c>
      <c r="K459" t="s">
        <v>60</v>
      </c>
      <c r="L459" t="s">
        <v>13</v>
      </c>
      <c r="M459" t="s">
        <v>29</v>
      </c>
      <c r="N459" t="s">
        <v>30</v>
      </c>
    </row>
    <row r="460" spans="1:14" x14ac:dyDescent="0.25">
      <c r="A460">
        <v>1555</v>
      </c>
      <c r="B460">
        <v>694</v>
      </c>
      <c r="C460">
        <f>1/COUNTIF(B:B,pizza_sales[[#This Row],[order_id]])</f>
        <v>1</v>
      </c>
      <c r="D460" t="s">
        <v>25</v>
      </c>
      <c r="E460">
        <v>1</v>
      </c>
      <c r="F460" s="1">
        <v>42339</v>
      </c>
      <c r="G460" s="1" t="str">
        <f>TEXT(pizza_sales[[#This Row],[order_date]],"dddd")</f>
        <v>Tuesday</v>
      </c>
      <c r="H460" s="2">
        <v>0.56304398148148149</v>
      </c>
      <c r="I460">
        <v>15.25</v>
      </c>
      <c r="J460">
        <v>15.25</v>
      </c>
      <c r="K460" t="s">
        <v>58</v>
      </c>
      <c r="L460" t="s">
        <v>13</v>
      </c>
      <c r="M460" t="s">
        <v>26</v>
      </c>
      <c r="N460" t="s">
        <v>27</v>
      </c>
    </row>
    <row r="461" spans="1:14" x14ac:dyDescent="0.25">
      <c r="A461">
        <v>1561</v>
      </c>
      <c r="B461">
        <v>698</v>
      </c>
      <c r="C461">
        <f>1/COUNTIF(B:B,pizza_sales[[#This Row],[order_id]])</f>
        <v>1</v>
      </c>
      <c r="D461" t="s">
        <v>28</v>
      </c>
      <c r="E461">
        <v>1</v>
      </c>
      <c r="F461" s="1">
        <v>42339</v>
      </c>
      <c r="G461" s="1" t="str">
        <f>TEXT(pizza_sales[[#This Row],[order_date]],"dddd")</f>
        <v>Tuesday</v>
      </c>
      <c r="H461" s="2">
        <v>0.58907407407407408</v>
      </c>
      <c r="I461">
        <v>12</v>
      </c>
      <c r="J461">
        <v>12</v>
      </c>
      <c r="K461" t="s">
        <v>60</v>
      </c>
      <c r="L461" t="s">
        <v>13</v>
      </c>
      <c r="M461" t="s">
        <v>29</v>
      </c>
      <c r="N461" t="s">
        <v>30</v>
      </c>
    </row>
    <row r="462" spans="1:14" x14ac:dyDescent="0.25">
      <c r="A462">
        <v>1564</v>
      </c>
      <c r="B462">
        <v>699</v>
      </c>
      <c r="C462">
        <f>1/COUNTIF(B:B,pizza_sales[[#This Row],[order_id]])</f>
        <v>1</v>
      </c>
      <c r="D462" t="s">
        <v>44</v>
      </c>
      <c r="E462">
        <v>1</v>
      </c>
      <c r="F462" s="1">
        <v>42339</v>
      </c>
      <c r="G462" s="1" t="str">
        <f>TEXT(pizza_sales[[#This Row],[order_date]],"dddd")</f>
        <v>Tuesday</v>
      </c>
      <c r="H462" s="2">
        <v>0.60211805555555553</v>
      </c>
      <c r="I462">
        <v>9.75</v>
      </c>
      <c r="J462">
        <v>9.75</v>
      </c>
      <c r="K462" t="s">
        <v>60</v>
      </c>
      <c r="L462" t="s">
        <v>13</v>
      </c>
      <c r="M462" t="s">
        <v>26</v>
      </c>
      <c r="N462" t="s">
        <v>27</v>
      </c>
    </row>
    <row r="463" spans="1:14" x14ac:dyDescent="0.25">
      <c r="A463">
        <v>1565</v>
      </c>
      <c r="B463">
        <v>700</v>
      </c>
      <c r="C463">
        <f>1/COUNTIF(B:B,pizza_sales[[#This Row],[order_id]])</f>
        <v>0.5</v>
      </c>
      <c r="D463" t="s">
        <v>51</v>
      </c>
      <c r="E463">
        <v>1</v>
      </c>
      <c r="F463" s="1">
        <v>42339</v>
      </c>
      <c r="G463" s="1" t="str">
        <f>TEXT(pizza_sales[[#This Row],[order_date]],"dddd")</f>
        <v>Tuesday</v>
      </c>
      <c r="H463" s="2">
        <v>0.60501157407407402</v>
      </c>
      <c r="I463">
        <v>23.65</v>
      </c>
      <c r="J463">
        <v>23.65</v>
      </c>
      <c r="K463" t="s">
        <v>60</v>
      </c>
      <c r="L463" t="s">
        <v>35</v>
      </c>
      <c r="M463" t="s">
        <v>52</v>
      </c>
      <c r="N463" t="s">
        <v>53</v>
      </c>
    </row>
    <row r="464" spans="1:14" x14ac:dyDescent="0.25">
      <c r="A464">
        <v>1569</v>
      </c>
      <c r="B464">
        <v>700</v>
      </c>
      <c r="C464">
        <f>1/COUNTIF(B:B,pizza_sales[[#This Row],[order_id]])</f>
        <v>0.5</v>
      </c>
      <c r="D464" t="s">
        <v>48</v>
      </c>
      <c r="E464">
        <v>1</v>
      </c>
      <c r="F464" s="1">
        <v>42339</v>
      </c>
      <c r="G464" s="1" t="str">
        <f>TEXT(pizza_sales[[#This Row],[order_date]],"dddd")</f>
        <v>Tuesday</v>
      </c>
      <c r="H464" s="2">
        <v>0.60501157407407402</v>
      </c>
      <c r="I464">
        <v>12.25</v>
      </c>
      <c r="J464">
        <v>12.25</v>
      </c>
      <c r="K464" t="s">
        <v>60</v>
      </c>
      <c r="L464" t="s">
        <v>35</v>
      </c>
      <c r="M464" t="s">
        <v>40</v>
      </c>
      <c r="N464" t="s">
        <v>41</v>
      </c>
    </row>
    <row r="465" spans="1:14" x14ac:dyDescent="0.25">
      <c r="A465">
        <v>1570</v>
      </c>
      <c r="B465">
        <v>701</v>
      </c>
      <c r="C465">
        <f>1/COUNTIF(B:B,pizza_sales[[#This Row],[order_id]])</f>
        <v>1</v>
      </c>
      <c r="D465" t="s">
        <v>45</v>
      </c>
      <c r="E465">
        <v>1</v>
      </c>
      <c r="F465" s="1">
        <v>42339</v>
      </c>
      <c r="G465" s="1" t="str">
        <f>TEXT(pizza_sales[[#This Row],[order_date]],"dddd")</f>
        <v>Tuesday</v>
      </c>
      <c r="H465" s="2">
        <v>0.60670138888888892</v>
      </c>
      <c r="I465">
        <v>10.5</v>
      </c>
      <c r="J465">
        <v>10.5</v>
      </c>
      <c r="K465" t="s">
        <v>60</v>
      </c>
      <c r="L465" t="s">
        <v>13</v>
      </c>
      <c r="M465" t="s">
        <v>14</v>
      </c>
      <c r="N465" t="s">
        <v>15</v>
      </c>
    </row>
    <row r="466" spans="1:14" x14ac:dyDescent="0.25">
      <c r="A466">
        <v>1573</v>
      </c>
      <c r="B466">
        <v>702</v>
      </c>
      <c r="C466">
        <f>1/COUNTIF(B:B,pizza_sales[[#This Row],[order_id]])</f>
        <v>1</v>
      </c>
      <c r="D466" t="s">
        <v>48</v>
      </c>
      <c r="E466">
        <v>1</v>
      </c>
      <c r="F466" s="1">
        <v>42339</v>
      </c>
      <c r="G466" s="1" t="str">
        <f>TEXT(pizza_sales[[#This Row],[order_date]],"dddd")</f>
        <v>Tuesday</v>
      </c>
      <c r="H466" s="2">
        <v>0.61012731481481486</v>
      </c>
      <c r="I466">
        <v>12.25</v>
      </c>
      <c r="J466">
        <v>12.25</v>
      </c>
      <c r="K466" t="s">
        <v>60</v>
      </c>
      <c r="L466" t="s">
        <v>35</v>
      </c>
      <c r="M466" t="s">
        <v>40</v>
      </c>
      <c r="N466" t="s">
        <v>41</v>
      </c>
    </row>
    <row r="467" spans="1:14" x14ac:dyDescent="0.25">
      <c r="A467">
        <v>1575</v>
      </c>
      <c r="B467">
        <v>704</v>
      </c>
      <c r="C467">
        <f>1/COUNTIF(B:B,pizza_sales[[#This Row],[order_id]])</f>
        <v>1</v>
      </c>
      <c r="D467" t="s">
        <v>34</v>
      </c>
      <c r="E467">
        <v>1</v>
      </c>
      <c r="F467" s="1">
        <v>42339</v>
      </c>
      <c r="G467" s="1" t="str">
        <f>TEXT(pizza_sales[[#This Row],[order_date]],"dddd")</f>
        <v>Tuesday</v>
      </c>
      <c r="H467" s="2">
        <v>0.64473379629629635</v>
      </c>
      <c r="I467">
        <v>16.25</v>
      </c>
      <c r="J467">
        <v>16.25</v>
      </c>
      <c r="K467" t="s">
        <v>59</v>
      </c>
      <c r="L467" t="s">
        <v>35</v>
      </c>
      <c r="M467" t="s">
        <v>36</v>
      </c>
      <c r="N467" t="s">
        <v>37</v>
      </c>
    </row>
    <row r="468" spans="1:14" x14ac:dyDescent="0.25">
      <c r="A468">
        <v>1581</v>
      </c>
      <c r="B468">
        <v>706</v>
      </c>
      <c r="C468">
        <f>1/COUNTIF(B:B,pizza_sales[[#This Row],[order_id]])</f>
        <v>1</v>
      </c>
      <c r="D468" t="s">
        <v>38</v>
      </c>
      <c r="E468">
        <v>1</v>
      </c>
      <c r="F468" s="1">
        <v>42339</v>
      </c>
      <c r="G468" s="1" t="str">
        <f>TEXT(pizza_sales[[#This Row],[order_date]],"dddd")</f>
        <v>Tuesday</v>
      </c>
      <c r="H468" s="2">
        <v>0.65212962962962961</v>
      </c>
      <c r="I468">
        <v>20.5</v>
      </c>
      <c r="J468">
        <v>20.5</v>
      </c>
      <c r="K468" t="s">
        <v>58</v>
      </c>
      <c r="L468" t="s">
        <v>13</v>
      </c>
      <c r="M468" t="s">
        <v>32</v>
      </c>
      <c r="N468" t="s">
        <v>33</v>
      </c>
    </row>
    <row r="469" spans="1:14" x14ac:dyDescent="0.25">
      <c r="A469">
        <v>1587</v>
      </c>
      <c r="B469">
        <v>710</v>
      </c>
      <c r="C469">
        <f>1/COUNTIF(B:B,pizza_sales[[#This Row],[order_id]])</f>
        <v>0.33333333333333331</v>
      </c>
      <c r="D469" t="s">
        <v>47</v>
      </c>
      <c r="E469">
        <v>1</v>
      </c>
      <c r="F469" s="1">
        <v>42339</v>
      </c>
      <c r="G469" s="1" t="str">
        <f>TEXT(pizza_sales[[#This Row],[order_date]],"dddd")</f>
        <v>Tuesday</v>
      </c>
      <c r="H469" s="2">
        <v>0.6665740740740741</v>
      </c>
      <c r="I469">
        <v>16.5</v>
      </c>
      <c r="J469">
        <v>16.5</v>
      </c>
      <c r="K469" t="s">
        <v>58</v>
      </c>
      <c r="L469" t="s">
        <v>13</v>
      </c>
      <c r="M469" t="s">
        <v>14</v>
      </c>
      <c r="N469" t="s">
        <v>15</v>
      </c>
    </row>
    <row r="470" spans="1:14" x14ac:dyDescent="0.25">
      <c r="A470">
        <v>1589</v>
      </c>
      <c r="B470">
        <v>710</v>
      </c>
      <c r="C470">
        <f>1/COUNTIF(B:B,pizza_sales[[#This Row],[order_id]])</f>
        <v>0.33333333333333331</v>
      </c>
      <c r="D470" t="s">
        <v>20</v>
      </c>
      <c r="E470">
        <v>1</v>
      </c>
      <c r="F470" s="1">
        <v>42339</v>
      </c>
      <c r="G470" s="1" t="str">
        <f>TEXT(pizza_sales[[#This Row],[order_date]],"dddd")</f>
        <v>Tuesday</v>
      </c>
      <c r="H470" s="2">
        <v>0.6665740740740741</v>
      </c>
      <c r="I470">
        <v>12</v>
      </c>
      <c r="J470">
        <v>12</v>
      </c>
      <c r="K470" t="s">
        <v>60</v>
      </c>
      <c r="L470" t="s">
        <v>13</v>
      </c>
      <c r="M470" t="s">
        <v>21</v>
      </c>
      <c r="N470" t="s">
        <v>22</v>
      </c>
    </row>
    <row r="471" spans="1:14" x14ac:dyDescent="0.25">
      <c r="A471">
        <v>1590</v>
      </c>
      <c r="B471">
        <v>710</v>
      </c>
      <c r="C471">
        <f>1/COUNTIF(B:B,pizza_sales[[#This Row],[order_id]])</f>
        <v>0.33333333333333331</v>
      </c>
      <c r="D471" t="s">
        <v>46</v>
      </c>
      <c r="E471">
        <v>1</v>
      </c>
      <c r="F471" s="1">
        <v>42339</v>
      </c>
      <c r="G471" s="1" t="str">
        <f>TEXT(pizza_sales[[#This Row],[order_date]],"dddd")</f>
        <v>Tuesday</v>
      </c>
      <c r="H471" s="2">
        <v>0.6665740740740741</v>
      </c>
      <c r="I471">
        <v>25.5</v>
      </c>
      <c r="J471">
        <v>25.5</v>
      </c>
      <c r="K471" t="s">
        <v>61</v>
      </c>
      <c r="L471" t="s">
        <v>13</v>
      </c>
      <c r="M471" t="s">
        <v>21</v>
      </c>
      <c r="N471" t="s">
        <v>22</v>
      </c>
    </row>
    <row r="472" spans="1:14" x14ac:dyDescent="0.25">
      <c r="A472">
        <v>1592</v>
      </c>
      <c r="B472">
        <v>711</v>
      </c>
      <c r="C472">
        <f>1/COUNTIF(B:B,pizza_sales[[#This Row],[order_id]])</f>
        <v>0.5</v>
      </c>
      <c r="D472" t="s">
        <v>24</v>
      </c>
      <c r="E472">
        <v>1</v>
      </c>
      <c r="F472" s="1">
        <v>42339</v>
      </c>
      <c r="G472" s="1" t="str">
        <f>TEXT(pizza_sales[[#This Row],[order_date]],"dddd")</f>
        <v>Tuesday</v>
      </c>
      <c r="H472" s="2">
        <v>0.68136574074074074</v>
      </c>
      <c r="I472">
        <v>20.25</v>
      </c>
      <c r="J472">
        <v>20.25</v>
      </c>
      <c r="K472" t="s">
        <v>58</v>
      </c>
      <c r="L472" t="s">
        <v>17</v>
      </c>
      <c r="M472" t="s">
        <v>18</v>
      </c>
      <c r="N472" t="s">
        <v>19</v>
      </c>
    </row>
    <row r="473" spans="1:14" x14ac:dyDescent="0.25">
      <c r="A473">
        <v>1594</v>
      </c>
      <c r="B473">
        <v>711</v>
      </c>
      <c r="C473">
        <f>1/COUNTIF(B:B,pizza_sales[[#This Row],[order_id]])</f>
        <v>0.5</v>
      </c>
      <c r="D473" t="s">
        <v>39</v>
      </c>
      <c r="E473">
        <v>1</v>
      </c>
      <c r="F473" s="1">
        <v>42339</v>
      </c>
      <c r="G473" s="1" t="str">
        <f>TEXT(pizza_sales[[#This Row],[order_date]],"dddd")</f>
        <v>Tuesday</v>
      </c>
      <c r="H473" s="2">
        <v>0.68136574074074074</v>
      </c>
      <c r="I473">
        <v>20.25</v>
      </c>
      <c r="J473">
        <v>20.25</v>
      </c>
      <c r="K473" t="s">
        <v>58</v>
      </c>
      <c r="L473" t="s">
        <v>35</v>
      </c>
      <c r="M473" t="s">
        <v>40</v>
      </c>
      <c r="N473" t="s">
        <v>41</v>
      </c>
    </row>
    <row r="474" spans="1:14" x14ac:dyDescent="0.25">
      <c r="A474">
        <v>1599</v>
      </c>
      <c r="B474">
        <v>714</v>
      </c>
      <c r="C474">
        <f>1/COUNTIF(B:B,pizza_sales[[#This Row],[order_id]])</f>
        <v>0.5</v>
      </c>
      <c r="D474" t="s">
        <v>47</v>
      </c>
      <c r="E474">
        <v>1</v>
      </c>
      <c r="F474" s="1">
        <v>42339</v>
      </c>
      <c r="G474" s="1" t="str">
        <f>TEXT(pizza_sales[[#This Row],[order_date]],"dddd")</f>
        <v>Tuesday</v>
      </c>
      <c r="H474" s="2">
        <v>0.70495370370370369</v>
      </c>
      <c r="I474">
        <v>16.5</v>
      </c>
      <c r="J474">
        <v>16.5</v>
      </c>
      <c r="K474" t="s">
        <v>58</v>
      </c>
      <c r="L474" t="s">
        <v>13</v>
      </c>
      <c r="M474" t="s">
        <v>14</v>
      </c>
      <c r="N474" t="s">
        <v>15</v>
      </c>
    </row>
    <row r="475" spans="1:14" x14ac:dyDescent="0.25">
      <c r="A475">
        <v>1600</v>
      </c>
      <c r="B475">
        <v>714</v>
      </c>
      <c r="C475">
        <f>1/COUNTIF(B:B,pizza_sales[[#This Row],[order_id]])</f>
        <v>0.5</v>
      </c>
      <c r="D475" t="s">
        <v>45</v>
      </c>
      <c r="E475">
        <v>1</v>
      </c>
      <c r="F475" s="1">
        <v>42339</v>
      </c>
      <c r="G475" s="1" t="str">
        <f>TEXT(pizza_sales[[#This Row],[order_date]],"dddd")</f>
        <v>Tuesday</v>
      </c>
      <c r="H475" s="2">
        <v>0.70495370370370369</v>
      </c>
      <c r="I475">
        <v>10.5</v>
      </c>
      <c r="J475">
        <v>10.5</v>
      </c>
      <c r="K475" t="s">
        <v>60</v>
      </c>
      <c r="L475" t="s">
        <v>13</v>
      </c>
      <c r="M475" t="s">
        <v>14</v>
      </c>
      <c r="N475" t="s">
        <v>15</v>
      </c>
    </row>
    <row r="476" spans="1:14" x14ac:dyDescent="0.25">
      <c r="A476">
        <v>1602</v>
      </c>
      <c r="B476">
        <v>715</v>
      </c>
      <c r="C476">
        <f>1/COUNTIF(B:B,pizza_sales[[#This Row],[order_id]])</f>
        <v>1</v>
      </c>
      <c r="D476" t="s">
        <v>42</v>
      </c>
      <c r="E476">
        <v>1</v>
      </c>
      <c r="F476" s="1">
        <v>42339</v>
      </c>
      <c r="G476" s="1" t="str">
        <f>TEXT(pizza_sales[[#This Row],[order_date]],"dddd")</f>
        <v>Tuesday</v>
      </c>
      <c r="H476" s="2">
        <v>0.71218749999999997</v>
      </c>
      <c r="I476">
        <v>12.5</v>
      </c>
      <c r="J476">
        <v>12.5</v>
      </c>
      <c r="K476" t="s">
        <v>59</v>
      </c>
      <c r="L476" t="s">
        <v>13</v>
      </c>
      <c r="M476" t="s">
        <v>26</v>
      </c>
      <c r="N476" t="s">
        <v>27</v>
      </c>
    </row>
    <row r="477" spans="1:14" x14ac:dyDescent="0.25">
      <c r="A477">
        <v>1605</v>
      </c>
      <c r="B477">
        <v>716</v>
      </c>
      <c r="C477">
        <f>1/COUNTIF(B:B,pizza_sales[[#This Row],[order_id]])</f>
        <v>1</v>
      </c>
      <c r="D477" t="s">
        <v>28</v>
      </c>
      <c r="E477">
        <v>1</v>
      </c>
      <c r="F477" s="1">
        <v>42339</v>
      </c>
      <c r="G477" s="1" t="str">
        <f>TEXT(pizza_sales[[#This Row],[order_date]],"dddd")</f>
        <v>Tuesday</v>
      </c>
      <c r="H477" s="2">
        <v>0.71255787037037033</v>
      </c>
      <c r="I477">
        <v>12</v>
      </c>
      <c r="J477">
        <v>12</v>
      </c>
      <c r="K477" t="s">
        <v>60</v>
      </c>
      <c r="L477" t="s">
        <v>13</v>
      </c>
      <c r="M477" t="s">
        <v>29</v>
      </c>
      <c r="N477" t="s">
        <v>30</v>
      </c>
    </row>
    <row r="478" spans="1:14" x14ac:dyDescent="0.25">
      <c r="A478">
        <v>1611</v>
      </c>
      <c r="B478">
        <v>719</v>
      </c>
      <c r="C478">
        <f>1/COUNTIF(B:B,pizza_sales[[#This Row],[order_id]])</f>
        <v>1</v>
      </c>
      <c r="D478" t="s">
        <v>23</v>
      </c>
      <c r="E478">
        <v>1</v>
      </c>
      <c r="F478" s="1">
        <v>42339</v>
      </c>
      <c r="G478" s="1" t="str">
        <f>TEXT(pizza_sales[[#This Row],[order_date]],"dddd")</f>
        <v>Tuesday</v>
      </c>
      <c r="H478" s="2">
        <v>0.7447569444444444</v>
      </c>
      <c r="I478">
        <v>12</v>
      </c>
      <c r="J478">
        <v>12</v>
      </c>
      <c r="K478" t="s">
        <v>60</v>
      </c>
      <c r="L478" t="s">
        <v>17</v>
      </c>
      <c r="M478" t="s">
        <v>18</v>
      </c>
      <c r="N478" t="s">
        <v>19</v>
      </c>
    </row>
    <row r="479" spans="1:14" x14ac:dyDescent="0.25">
      <c r="A479">
        <v>1613</v>
      </c>
      <c r="B479">
        <v>720</v>
      </c>
      <c r="C479">
        <f>1/COUNTIF(B:B,pizza_sales[[#This Row],[order_id]])</f>
        <v>0.5</v>
      </c>
      <c r="D479" t="s">
        <v>38</v>
      </c>
      <c r="E479">
        <v>1</v>
      </c>
      <c r="F479" s="1">
        <v>42339</v>
      </c>
      <c r="G479" s="1" t="str">
        <f>TEXT(pizza_sales[[#This Row],[order_date]],"dddd")</f>
        <v>Tuesday</v>
      </c>
      <c r="H479" s="2">
        <v>0.74582175925925931</v>
      </c>
      <c r="I479">
        <v>20.5</v>
      </c>
      <c r="J479">
        <v>20.5</v>
      </c>
      <c r="K479" t="s">
        <v>58</v>
      </c>
      <c r="L479" t="s">
        <v>13</v>
      </c>
      <c r="M479" t="s">
        <v>32</v>
      </c>
      <c r="N479" t="s">
        <v>33</v>
      </c>
    </row>
    <row r="480" spans="1:14" x14ac:dyDescent="0.25">
      <c r="A480">
        <v>1615</v>
      </c>
      <c r="B480">
        <v>720</v>
      </c>
      <c r="C480">
        <f>1/COUNTIF(B:B,pizza_sales[[#This Row],[order_id]])</f>
        <v>0.5</v>
      </c>
      <c r="D480" t="s">
        <v>43</v>
      </c>
      <c r="E480">
        <v>1</v>
      </c>
      <c r="F480" s="1">
        <v>42339</v>
      </c>
      <c r="G480" s="1" t="str">
        <f>TEXT(pizza_sales[[#This Row],[order_date]],"dddd")</f>
        <v>Tuesday</v>
      </c>
      <c r="H480" s="2">
        <v>0.74582175925925931</v>
      </c>
      <c r="I480">
        <v>16.25</v>
      </c>
      <c r="J480">
        <v>16.25</v>
      </c>
      <c r="K480" t="s">
        <v>59</v>
      </c>
      <c r="L480" t="s">
        <v>35</v>
      </c>
      <c r="M480" t="s">
        <v>40</v>
      </c>
      <c r="N480" t="s">
        <v>41</v>
      </c>
    </row>
    <row r="481" spans="1:14" x14ac:dyDescent="0.25">
      <c r="A481">
        <v>1618</v>
      </c>
      <c r="B481">
        <v>722</v>
      </c>
      <c r="C481">
        <f>1/COUNTIF(B:B,pizza_sales[[#This Row],[order_id]])</f>
        <v>1</v>
      </c>
      <c r="D481" t="s">
        <v>38</v>
      </c>
      <c r="E481">
        <v>1</v>
      </c>
      <c r="F481" s="1">
        <v>42339</v>
      </c>
      <c r="G481" s="1" t="str">
        <f>TEXT(pizza_sales[[#This Row],[order_date]],"dddd")</f>
        <v>Tuesday</v>
      </c>
      <c r="H481" s="2">
        <v>0.7645601851851852</v>
      </c>
      <c r="I481">
        <v>20.5</v>
      </c>
      <c r="J481">
        <v>20.5</v>
      </c>
      <c r="K481" t="s">
        <v>58</v>
      </c>
      <c r="L481" t="s">
        <v>13</v>
      </c>
      <c r="M481" t="s">
        <v>32</v>
      </c>
      <c r="N481" t="s">
        <v>33</v>
      </c>
    </row>
    <row r="482" spans="1:14" x14ac:dyDescent="0.25">
      <c r="A482">
        <v>1621</v>
      </c>
      <c r="B482">
        <v>723</v>
      </c>
      <c r="C482">
        <f>1/COUNTIF(B:B,pizza_sales[[#This Row],[order_id]])</f>
        <v>1</v>
      </c>
      <c r="D482" t="s">
        <v>44</v>
      </c>
      <c r="E482">
        <v>1</v>
      </c>
      <c r="F482" s="1">
        <v>42339</v>
      </c>
      <c r="G482" s="1" t="str">
        <f>TEXT(pizza_sales[[#This Row],[order_date]],"dddd")</f>
        <v>Tuesday</v>
      </c>
      <c r="H482" s="2">
        <v>0.76462962962962966</v>
      </c>
      <c r="I482">
        <v>9.75</v>
      </c>
      <c r="J482">
        <v>9.75</v>
      </c>
      <c r="K482" t="s">
        <v>60</v>
      </c>
      <c r="L482" t="s">
        <v>13</v>
      </c>
      <c r="M482" t="s">
        <v>26</v>
      </c>
      <c r="N482" t="s">
        <v>27</v>
      </c>
    </row>
    <row r="483" spans="1:14" x14ac:dyDescent="0.25">
      <c r="A483">
        <v>1622</v>
      </c>
      <c r="B483">
        <v>724</v>
      </c>
      <c r="C483">
        <f>1/COUNTIF(B:B,pizza_sales[[#This Row],[order_id]])</f>
        <v>1</v>
      </c>
      <c r="D483" t="s">
        <v>28</v>
      </c>
      <c r="E483">
        <v>1</v>
      </c>
      <c r="F483" s="1">
        <v>42339</v>
      </c>
      <c r="G483" s="1" t="str">
        <f>TEXT(pizza_sales[[#This Row],[order_date]],"dddd")</f>
        <v>Tuesday</v>
      </c>
      <c r="H483" s="2">
        <v>0.7672106481481481</v>
      </c>
      <c r="I483">
        <v>12</v>
      </c>
      <c r="J483">
        <v>12</v>
      </c>
      <c r="K483" t="s">
        <v>60</v>
      </c>
      <c r="L483" t="s">
        <v>13</v>
      </c>
      <c r="M483" t="s">
        <v>29</v>
      </c>
      <c r="N483" t="s">
        <v>30</v>
      </c>
    </row>
    <row r="484" spans="1:14" x14ac:dyDescent="0.25">
      <c r="A484">
        <v>1625</v>
      </c>
      <c r="B484">
        <v>725</v>
      </c>
      <c r="C484">
        <f>1/COUNTIF(B:B,pizza_sales[[#This Row],[order_id]])</f>
        <v>0.33333333333333331</v>
      </c>
      <c r="D484" t="s">
        <v>28</v>
      </c>
      <c r="E484">
        <v>1</v>
      </c>
      <c r="F484" s="1">
        <v>42339</v>
      </c>
      <c r="G484" s="1" t="str">
        <f>TEXT(pizza_sales[[#This Row],[order_date]],"dddd")</f>
        <v>Tuesday</v>
      </c>
      <c r="H484" s="2">
        <v>0.77307870370370368</v>
      </c>
      <c r="I484">
        <v>12</v>
      </c>
      <c r="J484">
        <v>12</v>
      </c>
      <c r="K484" t="s">
        <v>60</v>
      </c>
      <c r="L484" t="s">
        <v>13</v>
      </c>
      <c r="M484" t="s">
        <v>29</v>
      </c>
      <c r="N484" t="s">
        <v>30</v>
      </c>
    </row>
    <row r="485" spans="1:14" x14ac:dyDescent="0.25">
      <c r="A485">
        <v>1626</v>
      </c>
      <c r="B485">
        <v>725</v>
      </c>
      <c r="C485">
        <f>1/COUNTIF(B:B,pizza_sales[[#This Row],[order_id]])</f>
        <v>0.33333333333333331</v>
      </c>
      <c r="D485" t="s">
        <v>23</v>
      </c>
      <c r="E485">
        <v>1</v>
      </c>
      <c r="F485" s="1">
        <v>42339</v>
      </c>
      <c r="G485" s="1" t="str">
        <f>TEXT(pizza_sales[[#This Row],[order_date]],"dddd")</f>
        <v>Tuesday</v>
      </c>
      <c r="H485" s="2">
        <v>0.77307870370370368</v>
      </c>
      <c r="I485">
        <v>12</v>
      </c>
      <c r="J485">
        <v>12</v>
      </c>
      <c r="K485" t="s">
        <v>60</v>
      </c>
      <c r="L485" t="s">
        <v>17</v>
      </c>
      <c r="M485" t="s">
        <v>18</v>
      </c>
      <c r="N485" t="s">
        <v>19</v>
      </c>
    </row>
    <row r="486" spans="1:14" x14ac:dyDescent="0.25">
      <c r="A486">
        <v>1628</v>
      </c>
      <c r="B486">
        <v>725</v>
      </c>
      <c r="C486">
        <f>1/COUNTIF(B:B,pizza_sales[[#This Row],[order_id]])</f>
        <v>0.33333333333333331</v>
      </c>
      <c r="D486" t="s">
        <v>46</v>
      </c>
      <c r="E486">
        <v>1</v>
      </c>
      <c r="F486" s="1">
        <v>42339</v>
      </c>
      <c r="G486" s="1" t="str">
        <f>TEXT(pizza_sales[[#This Row],[order_date]],"dddd")</f>
        <v>Tuesday</v>
      </c>
      <c r="H486" s="2">
        <v>0.77307870370370368</v>
      </c>
      <c r="I486">
        <v>25.5</v>
      </c>
      <c r="J486">
        <v>25.5</v>
      </c>
      <c r="K486" t="s">
        <v>61</v>
      </c>
      <c r="L486" t="s">
        <v>13</v>
      </c>
      <c r="M486" t="s">
        <v>21</v>
      </c>
      <c r="N486" t="s">
        <v>22</v>
      </c>
    </row>
    <row r="487" spans="1:14" x14ac:dyDescent="0.25">
      <c r="A487">
        <v>1629</v>
      </c>
      <c r="B487">
        <v>726</v>
      </c>
      <c r="C487">
        <f>1/COUNTIF(B:B,pizza_sales[[#This Row],[order_id]])</f>
        <v>1</v>
      </c>
      <c r="D487" t="s">
        <v>48</v>
      </c>
      <c r="E487">
        <v>1</v>
      </c>
      <c r="F487" s="1">
        <v>42339</v>
      </c>
      <c r="G487" s="1" t="str">
        <f>TEXT(pizza_sales[[#This Row],[order_date]],"dddd")</f>
        <v>Tuesday</v>
      </c>
      <c r="H487" s="2">
        <v>0.773900462962963</v>
      </c>
      <c r="I487">
        <v>12.25</v>
      </c>
      <c r="J487">
        <v>12.25</v>
      </c>
      <c r="K487" t="s">
        <v>60</v>
      </c>
      <c r="L487" t="s">
        <v>35</v>
      </c>
      <c r="M487" t="s">
        <v>40</v>
      </c>
      <c r="N487" t="s">
        <v>41</v>
      </c>
    </row>
    <row r="488" spans="1:14" x14ac:dyDescent="0.25">
      <c r="A488">
        <v>1630</v>
      </c>
      <c r="B488">
        <v>727</v>
      </c>
      <c r="C488">
        <f>1/COUNTIF(B:B,pizza_sales[[#This Row],[order_id]])</f>
        <v>1</v>
      </c>
      <c r="D488" t="s">
        <v>48</v>
      </c>
      <c r="E488">
        <v>1</v>
      </c>
      <c r="F488" s="1">
        <v>42339</v>
      </c>
      <c r="G488" s="1" t="str">
        <f>TEXT(pizza_sales[[#This Row],[order_date]],"dddd")</f>
        <v>Tuesday</v>
      </c>
      <c r="H488" s="2">
        <v>0.78121527777777777</v>
      </c>
      <c r="I488">
        <v>12.25</v>
      </c>
      <c r="J488">
        <v>12.25</v>
      </c>
      <c r="K488" t="s">
        <v>60</v>
      </c>
      <c r="L488" t="s">
        <v>35</v>
      </c>
      <c r="M488" t="s">
        <v>40</v>
      </c>
      <c r="N488" t="s">
        <v>41</v>
      </c>
    </row>
    <row r="489" spans="1:14" x14ac:dyDescent="0.25">
      <c r="A489">
        <v>1633</v>
      </c>
      <c r="B489">
        <v>728</v>
      </c>
      <c r="C489">
        <f>1/COUNTIF(B:B,pizza_sales[[#This Row],[order_id]])</f>
        <v>1</v>
      </c>
      <c r="D489" t="s">
        <v>49</v>
      </c>
      <c r="E489">
        <v>1</v>
      </c>
      <c r="F489" s="1">
        <v>42339</v>
      </c>
      <c r="G489" s="1" t="str">
        <f>TEXT(pizza_sales[[#This Row],[order_date]],"dddd")</f>
        <v>Tuesday</v>
      </c>
      <c r="H489" s="2">
        <v>0.78700231481481486</v>
      </c>
      <c r="I489">
        <v>16</v>
      </c>
      <c r="J489">
        <v>16</v>
      </c>
      <c r="K489" t="s">
        <v>59</v>
      </c>
      <c r="L489" t="s">
        <v>13</v>
      </c>
      <c r="M489" t="s">
        <v>21</v>
      </c>
      <c r="N489" t="s">
        <v>22</v>
      </c>
    </row>
    <row r="490" spans="1:14" x14ac:dyDescent="0.25">
      <c r="A490">
        <v>1635</v>
      </c>
      <c r="B490">
        <v>729</v>
      </c>
      <c r="C490">
        <f>1/COUNTIF(B:B,pizza_sales[[#This Row],[order_id]])</f>
        <v>0.5</v>
      </c>
      <c r="D490" t="s">
        <v>47</v>
      </c>
      <c r="E490">
        <v>1</v>
      </c>
      <c r="F490" s="1">
        <v>42339</v>
      </c>
      <c r="G490" s="1" t="str">
        <f>TEXT(pizza_sales[[#This Row],[order_date]],"dddd")</f>
        <v>Tuesday</v>
      </c>
      <c r="H490" s="2">
        <v>0.80603009259259262</v>
      </c>
      <c r="I490">
        <v>16.5</v>
      </c>
      <c r="J490">
        <v>16.5</v>
      </c>
      <c r="K490" t="s">
        <v>58</v>
      </c>
      <c r="L490" t="s">
        <v>13</v>
      </c>
      <c r="M490" t="s">
        <v>14</v>
      </c>
      <c r="N490" t="s">
        <v>15</v>
      </c>
    </row>
    <row r="491" spans="1:14" x14ac:dyDescent="0.25">
      <c r="A491">
        <v>1636</v>
      </c>
      <c r="B491">
        <v>729</v>
      </c>
      <c r="C491">
        <f>1/COUNTIF(B:B,pizza_sales[[#This Row],[order_id]])</f>
        <v>0.5</v>
      </c>
      <c r="D491" t="s">
        <v>48</v>
      </c>
      <c r="E491">
        <v>1</v>
      </c>
      <c r="F491" s="1">
        <v>42339</v>
      </c>
      <c r="G491" s="1" t="str">
        <f>TEXT(pizza_sales[[#This Row],[order_date]],"dddd")</f>
        <v>Tuesday</v>
      </c>
      <c r="H491" s="2">
        <v>0.80603009259259262</v>
      </c>
      <c r="I491">
        <v>12.25</v>
      </c>
      <c r="J491">
        <v>12.25</v>
      </c>
      <c r="K491" t="s">
        <v>60</v>
      </c>
      <c r="L491" t="s">
        <v>35</v>
      </c>
      <c r="M491" t="s">
        <v>40</v>
      </c>
      <c r="N491" t="s">
        <v>41</v>
      </c>
    </row>
    <row r="492" spans="1:14" x14ac:dyDescent="0.25">
      <c r="A492">
        <v>1638</v>
      </c>
      <c r="B492">
        <v>731</v>
      </c>
      <c r="C492">
        <f>1/COUNTIF(B:B,pizza_sales[[#This Row],[order_id]])</f>
        <v>1</v>
      </c>
      <c r="D492" t="s">
        <v>43</v>
      </c>
      <c r="E492">
        <v>1</v>
      </c>
      <c r="F492" s="1">
        <v>42339</v>
      </c>
      <c r="G492" s="1" t="str">
        <f>TEXT(pizza_sales[[#This Row],[order_date]],"dddd")</f>
        <v>Tuesday</v>
      </c>
      <c r="H492" s="2">
        <v>0.81096064814814817</v>
      </c>
      <c r="I492">
        <v>16.25</v>
      </c>
      <c r="J492">
        <v>16.25</v>
      </c>
      <c r="K492" t="s">
        <v>59</v>
      </c>
      <c r="L492" t="s">
        <v>35</v>
      </c>
      <c r="M492" t="s">
        <v>40</v>
      </c>
      <c r="N492" t="s">
        <v>41</v>
      </c>
    </row>
    <row r="493" spans="1:14" x14ac:dyDescent="0.25">
      <c r="A493">
        <v>1643</v>
      </c>
      <c r="B493">
        <v>733</v>
      </c>
      <c r="C493">
        <f>1/COUNTIF(B:B,pizza_sales[[#This Row],[order_id]])</f>
        <v>1</v>
      </c>
      <c r="D493" t="s">
        <v>44</v>
      </c>
      <c r="E493">
        <v>1</v>
      </c>
      <c r="F493" s="1">
        <v>42339</v>
      </c>
      <c r="G493" s="1" t="str">
        <f>TEXT(pizza_sales[[#This Row],[order_date]],"dddd")</f>
        <v>Tuesday</v>
      </c>
      <c r="H493" s="2">
        <v>0.83166666666666667</v>
      </c>
      <c r="I493">
        <v>9.75</v>
      </c>
      <c r="J493">
        <v>9.75</v>
      </c>
      <c r="K493" t="s">
        <v>60</v>
      </c>
      <c r="L493" t="s">
        <v>13</v>
      </c>
      <c r="M493" t="s">
        <v>26</v>
      </c>
      <c r="N493" t="s">
        <v>27</v>
      </c>
    </row>
    <row r="494" spans="1:14" x14ac:dyDescent="0.25">
      <c r="A494">
        <v>1645</v>
      </c>
      <c r="B494">
        <v>734</v>
      </c>
      <c r="C494">
        <f>1/COUNTIF(B:B,pizza_sales[[#This Row],[order_id]])</f>
        <v>1</v>
      </c>
      <c r="D494" t="s">
        <v>44</v>
      </c>
      <c r="E494">
        <v>1</v>
      </c>
      <c r="F494" s="1">
        <v>42339</v>
      </c>
      <c r="G494" s="1" t="str">
        <f>TEXT(pizza_sales[[#This Row],[order_date]],"dddd")</f>
        <v>Tuesday</v>
      </c>
      <c r="H494" s="2">
        <v>0.83368055555555554</v>
      </c>
      <c r="I494">
        <v>9.75</v>
      </c>
      <c r="J494">
        <v>9.75</v>
      </c>
      <c r="K494" t="s">
        <v>60</v>
      </c>
      <c r="L494" t="s">
        <v>13</v>
      </c>
      <c r="M494" t="s">
        <v>26</v>
      </c>
      <c r="N494" t="s">
        <v>27</v>
      </c>
    </row>
    <row r="495" spans="1:14" x14ac:dyDescent="0.25">
      <c r="A495">
        <v>4157</v>
      </c>
      <c r="B495">
        <v>1846</v>
      </c>
      <c r="C495">
        <f>1/COUNTIF(B:B,pizza_sales[[#This Row],[order_id]])</f>
        <v>1</v>
      </c>
      <c r="D495" t="s">
        <v>28</v>
      </c>
      <c r="E495">
        <v>1</v>
      </c>
      <c r="F495" s="1">
        <v>42006</v>
      </c>
      <c r="G495" s="1" t="str">
        <f>TEXT(pizza_sales[[#This Row],[order_date]],"dddd")</f>
        <v>Friday</v>
      </c>
      <c r="H495" s="2">
        <v>0.48063657407407406</v>
      </c>
      <c r="I495">
        <v>12</v>
      </c>
      <c r="J495">
        <v>12</v>
      </c>
      <c r="K495" t="s">
        <v>60</v>
      </c>
      <c r="L495" t="s">
        <v>13</v>
      </c>
      <c r="M495" t="s">
        <v>29</v>
      </c>
      <c r="N495" t="s">
        <v>30</v>
      </c>
    </row>
    <row r="496" spans="1:14" x14ac:dyDescent="0.25">
      <c r="A496">
        <v>4163</v>
      </c>
      <c r="B496">
        <v>1849</v>
      </c>
      <c r="C496">
        <f>1/COUNTIF(B:B,pizza_sales[[#This Row],[order_id]])</f>
        <v>1</v>
      </c>
      <c r="D496" t="s">
        <v>48</v>
      </c>
      <c r="E496">
        <v>1</v>
      </c>
      <c r="F496" s="1">
        <v>42006</v>
      </c>
      <c r="G496" s="1" t="str">
        <f>TEXT(pizza_sales[[#This Row],[order_date]],"dddd")</f>
        <v>Friday</v>
      </c>
      <c r="H496" s="2">
        <v>0.4866550925925926</v>
      </c>
      <c r="I496">
        <v>12.25</v>
      </c>
      <c r="J496">
        <v>12.25</v>
      </c>
      <c r="K496" t="s">
        <v>60</v>
      </c>
      <c r="L496" t="s">
        <v>35</v>
      </c>
      <c r="M496" t="s">
        <v>40</v>
      </c>
      <c r="N496" t="s">
        <v>41</v>
      </c>
    </row>
    <row r="497" spans="1:14" x14ac:dyDescent="0.25">
      <c r="A497">
        <v>4164</v>
      </c>
      <c r="B497">
        <v>1850</v>
      </c>
      <c r="C497">
        <f>1/COUNTIF(B:B,pizza_sales[[#This Row],[order_id]])</f>
        <v>0.5</v>
      </c>
      <c r="D497" t="s">
        <v>45</v>
      </c>
      <c r="E497">
        <v>1</v>
      </c>
      <c r="F497" s="1">
        <v>42006</v>
      </c>
      <c r="G497" s="1" t="str">
        <f>TEXT(pizza_sales[[#This Row],[order_date]],"dddd")</f>
        <v>Friday</v>
      </c>
      <c r="H497" s="2">
        <v>0.48902777777777778</v>
      </c>
      <c r="I497">
        <v>10.5</v>
      </c>
      <c r="J497">
        <v>10.5</v>
      </c>
      <c r="K497" t="s">
        <v>60</v>
      </c>
      <c r="L497" t="s">
        <v>13</v>
      </c>
      <c r="M497" t="s">
        <v>14</v>
      </c>
      <c r="N497" t="s">
        <v>15</v>
      </c>
    </row>
    <row r="498" spans="1:14" x14ac:dyDescent="0.25">
      <c r="A498">
        <v>4165</v>
      </c>
      <c r="B498">
        <v>1850</v>
      </c>
      <c r="C498">
        <f>1/COUNTIF(B:B,pizza_sales[[#This Row],[order_id]])</f>
        <v>0.5</v>
      </c>
      <c r="D498" t="s">
        <v>23</v>
      </c>
      <c r="E498">
        <v>1</v>
      </c>
      <c r="F498" s="1">
        <v>42006</v>
      </c>
      <c r="G498" s="1" t="str">
        <f>TEXT(pizza_sales[[#This Row],[order_date]],"dddd")</f>
        <v>Friday</v>
      </c>
      <c r="H498" s="2">
        <v>0.48902777777777778</v>
      </c>
      <c r="I498">
        <v>12</v>
      </c>
      <c r="J498">
        <v>12</v>
      </c>
      <c r="K498" t="s">
        <v>60</v>
      </c>
      <c r="L498" t="s">
        <v>17</v>
      </c>
      <c r="M498" t="s">
        <v>18</v>
      </c>
      <c r="N498" t="s">
        <v>19</v>
      </c>
    </row>
    <row r="499" spans="1:14" x14ac:dyDescent="0.25">
      <c r="A499">
        <v>4166</v>
      </c>
      <c r="B499">
        <v>1851</v>
      </c>
      <c r="C499">
        <f>1/COUNTIF(B:B,pizza_sales[[#This Row],[order_id]])</f>
        <v>0.33333333333333331</v>
      </c>
      <c r="D499" t="s">
        <v>28</v>
      </c>
      <c r="E499">
        <v>2</v>
      </c>
      <c r="F499" s="1">
        <v>42006</v>
      </c>
      <c r="G499" s="1" t="str">
        <f>TEXT(pizza_sales[[#This Row],[order_date]],"dddd")</f>
        <v>Friday</v>
      </c>
      <c r="H499" s="2">
        <v>0.49237268518518518</v>
      </c>
      <c r="I499">
        <v>12</v>
      </c>
      <c r="J499">
        <v>24</v>
      </c>
      <c r="K499" t="s">
        <v>60</v>
      </c>
      <c r="L499" t="s">
        <v>13</v>
      </c>
      <c r="M499" t="s">
        <v>29</v>
      </c>
      <c r="N499" t="s">
        <v>30</v>
      </c>
    </row>
    <row r="500" spans="1:14" x14ac:dyDescent="0.25">
      <c r="A500">
        <v>4170</v>
      </c>
      <c r="B500">
        <v>1851</v>
      </c>
      <c r="C500">
        <f>1/COUNTIF(B:B,pizza_sales[[#This Row],[order_id]])</f>
        <v>0.33333333333333331</v>
      </c>
      <c r="D500" t="s">
        <v>50</v>
      </c>
      <c r="E500">
        <v>1</v>
      </c>
      <c r="F500" s="1">
        <v>42006</v>
      </c>
      <c r="G500" s="1" t="str">
        <f>TEXT(pizza_sales[[#This Row],[order_date]],"dddd")</f>
        <v>Friday</v>
      </c>
      <c r="H500" s="2">
        <v>0.49237268518518518</v>
      </c>
      <c r="I500">
        <v>16</v>
      </c>
      <c r="J500">
        <v>16</v>
      </c>
      <c r="K500" t="s">
        <v>59</v>
      </c>
      <c r="L500" t="s">
        <v>13</v>
      </c>
      <c r="M500" t="s">
        <v>32</v>
      </c>
      <c r="N500" t="s">
        <v>33</v>
      </c>
    </row>
    <row r="501" spans="1:14" x14ac:dyDescent="0.25">
      <c r="A501">
        <v>4171</v>
      </c>
      <c r="B501">
        <v>1851</v>
      </c>
      <c r="C501">
        <f>1/COUNTIF(B:B,pizza_sales[[#This Row],[order_id]])</f>
        <v>0.33333333333333331</v>
      </c>
      <c r="D501" t="s">
        <v>44</v>
      </c>
      <c r="E501">
        <v>1</v>
      </c>
      <c r="F501" s="1">
        <v>42006</v>
      </c>
      <c r="G501" s="1" t="str">
        <f>TEXT(pizza_sales[[#This Row],[order_date]],"dddd")</f>
        <v>Friday</v>
      </c>
      <c r="H501" s="2">
        <v>0.49237268518518518</v>
      </c>
      <c r="I501">
        <v>9.75</v>
      </c>
      <c r="J501">
        <v>9.75</v>
      </c>
      <c r="K501" t="s">
        <v>60</v>
      </c>
      <c r="L501" t="s">
        <v>13</v>
      </c>
      <c r="M501" t="s">
        <v>26</v>
      </c>
      <c r="N501" t="s">
        <v>27</v>
      </c>
    </row>
    <row r="502" spans="1:14" x14ac:dyDescent="0.25">
      <c r="A502">
        <v>4178</v>
      </c>
      <c r="B502">
        <v>1852</v>
      </c>
      <c r="C502">
        <f>1/COUNTIF(B:B,pizza_sales[[#This Row],[order_id]])</f>
        <v>1</v>
      </c>
      <c r="D502" t="s">
        <v>34</v>
      </c>
      <c r="E502">
        <v>1</v>
      </c>
      <c r="F502" s="1">
        <v>42006</v>
      </c>
      <c r="G502" s="1" t="str">
        <f>TEXT(pizza_sales[[#This Row],[order_date]],"dddd")</f>
        <v>Friday</v>
      </c>
      <c r="H502" s="2">
        <v>0.49625000000000002</v>
      </c>
      <c r="I502">
        <v>16.25</v>
      </c>
      <c r="J502">
        <v>16.25</v>
      </c>
      <c r="K502" t="s">
        <v>59</v>
      </c>
      <c r="L502" t="s">
        <v>35</v>
      </c>
      <c r="M502" t="s">
        <v>36</v>
      </c>
      <c r="N502" t="s">
        <v>37</v>
      </c>
    </row>
    <row r="503" spans="1:14" x14ac:dyDescent="0.25">
      <c r="A503">
        <v>4181</v>
      </c>
      <c r="B503">
        <v>1853</v>
      </c>
      <c r="C503">
        <f>1/COUNTIF(B:B,pizza_sales[[#This Row],[order_id]])</f>
        <v>1</v>
      </c>
      <c r="D503" t="s">
        <v>50</v>
      </c>
      <c r="E503">
        <v>1</v>
      </c>
      <c r="F503" s="1">
        <v>42006</v>
      </c>
      <c r="G503" s="1" t="str">
        <f>TEXT(pizza_sales[[#This Row],[order_date]],"dddd")</f>
        <v>Friday</v>
      </c>
      <c r="H503" s="2">
        <v>0.50901620370370371</v>
      </c>
      <c r="I503">
        <v>16</v>
      </c>
      <c r="J503">
        <v>16</v>
      </c>
      <c r="K503" t="s">
        <v>59</v>
      </c>
      <c r="L503" t="s">
        <v>13</v>
      </c>
      <c r="M503" t="s">
        <v>32</v>
      </c>
      <c r="N503" t="s">
        <v>33</v>
      </c>
    </row>
    <row r="504" spans="1:14" x14ac:dyDescent="0.25">
      <c r="A504">
        <v>4182</v>
      </c>
      <c r="B504">
        <v>1854</v>
      </c>
      <c r="C504">
        <f>1/COUNTIF(B:B,pizza_sales[[#This Row],[order_id]])</f>
        <v>1</v>
      </c>
      <c r="D504" t="s">
        <v>28</v>
      </c>
      <c r="E504">
        <v>1</v>
      </c>
      <c r="F504" s="1">
        <v>42006</v>
      </c>
      <c r="G504" s="1" t="str">
        <f>TEXT(pizza_sales[[#This Row],[order_date]],"dddd")</f>
        <v>Friday</v>
      </c>
      <c r="H504" s="2">
        <v>0.51894675925925926</v>
      </c>
      <c r="I504">
        <v>12</v>
      </c>
      <c r="J504">
        <v>12</v>
      </c>
      <c r="K504" t="s">
        <v>60</v>
      </c>
      <c r="L504" t="s">
        <v>13</v>
      </c>
      <c r="M504" t="s">
        <v>29</v>
      </c>
      <c r="N504" t="s">
        <v>30</v>
      </c>
    </row>
    <row r="505" spans="1:14" x14ac:dyDescent="0.25">
      <c r="A505">
        <v>4187</v>
      </c>
      <c r="B505">
        <v>1856</v>
      </c>
      <c r="C505">
        <f>1/COUNTIF(B:B,pizza_sales[[#This Row],[order_id]])</f>
        <v>1</v>
      </c>
      <c r="D505" t="s">
        <v>43</v>
      </c>
      <c r="E505">
        <v>1</v>
      </c>
      <c r="F505" s="1">
        <v>42006</v>
      </c>
      <c r="G505" s="1" t="str">
        <f>TEXT(pizza_sales[[#This Row],[order_date]],"dddd")</f>
        <v>Friday</v>
      </c>
      <c r="H505" s="2">
        <v>0.52277777777777779</v>
      </c>
      <c r="I505">
        <v>16.25</v>
      </c>
      <c r="J505">
        <v>16.25</v>
      </c>
      <c r="K505" t="s">
        <v>59</v>
      </c>
      <c r="L505" t="s">
        <v>35</v>
      </c>
      <c r="M505" t="s">
        <v>40</v>
      </c>
      <c r="N505" t="s">
        <v>41</v>
      </c>
    </row>
    <row r="506" spans="1:14" x14ac:dyDescent="0.25">
      <c r="A506">
        <v>4188</v>
      </c>
      <c r="B506">
        <v>1857</v>
      </c>
      <c r="C506">
        <f>1/COUNTIF(B:B,pizza_sales[[#This Row],[order_id]])</f>
        <v>1</v>
      </c>
      <c r="D506" t="s">
        <v>56</v>
      </c>
      <c r="E506">
        <v>1</v>
      </c>
      <c r="F506" s="1">
        <v>42006</v>
      </c>
      <c r="G506" s="1" t="str">
        <f>TEXT(pizza_sales[[#This Row],[order_date]],"dddd")</f>
        <v>Friday</v>
      </c>
      <c r="H506" s="2">
        <v>0.52361111111111114</v>
      </c>
      <c r="I506">
        <v>20.25</v>
      </c>
      <c r="J506">
        <v>20.25</v>
      </c>
      <c r="K506" t="s">
        <v>58</v>
      </c>
      <c r="L506" t="s">
        <v>35</v>
      </c>
      <c r="M506" t="s">
        <v>36</v>
      </c>
      <c r="N506" t="s">
        <v>37</v>
      </c>
    </row>
    <row r="507" spans="1:14" x14ac:dyDescent="0.25">
      <c r="A507">
        <v>4194</v>
      </c>
      <c r="B507">
        <v>1862</v>
      </c>
      <c r="C507">
        <f>1/COUNTIF(B:B,pizza_sales[[#This Row],[order_id]])</f>
        <v>1</v>
      </c>
      <c r="D507" t="s">
        <v>24</v>
      </c>
      <c r="E507">
        <v>1</v>
      </c>
      <c r="F507" s="1">
        <v>42006</v>
      </c>
      <c r="G507" s="1" t="str">
        <f>TEXT(pizza_sales[[#This Row],[order_date]],"dddd")</f>
        <v>Friday</v>
      </c>
      <c r="H507" s="2">
        <v>0.56043981481481486</v>
      </c>
      <c r="I507">
        <v>20.25</v>
      </c>
      <c r="J507">
        <v>20.25</v>
      </c>
      <c r="K507" t="s">
        <v>58</v>
      </c>
      <c r="L507" t="s">
        <v>17</v>
      </c>
      <c r="M507" t="s">
        <v>18</v>
      </c>
      <c r="N507" t="s">
        <v>19</v>
      </c>
    </row>
    <row r="508" spans="1:14" x14ac:dyDescent="0.25">
      <c r="A508">
        <v>4195</v>
      </c>
      <c r="B508">
        <v>1863</v>
      </c>
      <c r="C508">
        <f>1/COUNTIF(B:B,pizza_sales[[#This Row],[order_id]])</f>
        <v>1</v>
      </c>
      <c r="D508" t="s">
        <v>51</v>
      </c>
      <c r="E508">
        <v>1</v>
      </c>
      <c r="F508" s="1">
        <v>42006</v>
      </c>
      <c r="G508" s="1" t="str">
        <f>TEXT(pizza_sales[[#This Row],[order_date]],"dddd")</f>
        <v>Friday</v>
      </c>
      <c r="H508" s="2">
        <v>0.56927083333333328</v>
      </c>
      <c r="I508">
        <v>23.65</v>
      </c>
      <c r="J508">
        <v>23.65</v>
      </c>
      <c r="K508" t="s">
        <v>60</v>
      </c>
      <c r="L508" t="s">
        <v>35</v>
      </c>
      <c r="M508" t="s">
        <v>52</v>
      </c>
      <c r="N508" t="s">
        <v>53</v>
      </c>
    </row>
    <row r="509" spans="1:14" x14ac:dyDescent="0.25">
      <c r="A509">
        <v>4201</v>
      </c>
      <c r="B509">
        <v>1866</v>
      </c>
      <c r="C509">
        <f>1/COUNTIF(B:B,pizza_sales[[#This Row],[order_id]])</f>
        <v>1</v>
      </c>
      <c r="D509" t="s">
        <v>51</v>
      </c>
      <c r="E509">
        <v>1</v>
      </c>
      <c r="F509" s="1">
        <v>42006</v>
      </c>
      <c r="G509" s="1" t="str">
        <f>TEXT(pizza_sales[[#This Row],[order_date]],"dddd")</f>
        <v>Friday</v>
      </c>
      <c r="H509" s="2">
        <v>0.5964814814814815</v>
      </c>
      <c r="I509">
        <v>23.65</v>
      </c>
      <c r="J509">
        <v>23.65</v>
      </c>
      <c r="K509" t="s">
        <v>60</v>
      </c>
      <c r="L509" t="s">
        <v>35</v>
      </c>
      <c r="M509" t="s">
        <v>52</v>
      </c>
      <c r="N509" t="s">
        <v>53</v>
      </c>
    </row>
    <row r="510" spans="1:14" x14ac:dyDescent="0.25">
      <c r="A510">
        <v>4211</v>
      </c>
      <c r="B510">
        <v>1869</v>
      </c>
      <c r="C510">
        <f>1/COUNTIF(B:B,pizza_sales[[#This Row],[order_id]])</f>
        <v>1</v>
      </c>
      <c r="D510" t="s">
        <v>42</v>
      </c>
      <c r="E510">
        <v>1</v>
      </c>
      <c r="F510" s="1">
        <v>42006</v>
      </c>
      <c r="G510" s="1" t="str">
        <f>TEXT(pizza_sales[[#This Row],[order_date]],"dddd")</f>
        <v>Friday</v>
      </c>
      <c r="H510" s="2">
        <v>0.60946759259259264</v>
      </c>
      <c r="I510">
        <v>12.5</v>
      </c>
      <c r="J510">
        <v>12.5</v>
      </c>
      <c r="K510" t="s">
        <v>59</v>
      </c>
      <c r="L510" t="s">
        <v>13</v>
      </c>
      <c r="M510" t="s">
        <v>26</v>
      </c>
      <c r="N510" t="s">
        <v>27</v>
      </c>
    </row>
    <row r="511" spans="1:14" x14ac:dyDescent="0.25">
      <c r="A511">
        <v>4214</v>
      </c>
      <c r="B511">
        <v>1870</v>
      </c>
      <c r="C511">
        <f>1/COUNTIF(B:B,pizza_sales[[#This Row],[order_id]])</f>
        <v>1</v>
      </c>
      <c r="D511" t="s">
        <v>28</v>
      </c>
      <c r="E511">
        <v>1</v>
      </c>
      <c r="F511" s="1">
        <v>42006</v>
      </c>
      <c r="G511" s="1" t="str">
        <f>TEXT(pizza_sales[[#This Row],[order_date]],"dddd")</f>
        <v>Friday</v>
      </c>
      <c r="H511" s="2">
        <v>0.61510416666666667</v>
      </c>
      <c r="I511">
        <v>12</v>
      </c>
      <c r="J511">
        <v>12</v>
      </c>
      <c r="K511" t="s">
        <v>60</v>
      </c>
      <c r="L511" t="s">
        <v>13</v>
      </c>
      <c r="M511" t="s">
        <v>29</v>
      </c>
      <c r="N511" t="s">
        <v>30</v>
      </c>
    </row>
    <row r="512" spans="1:14" x14ac:dyDescent="0.25">
      <c r="A512">
        <v>4217</v>
      </c>
      <c r="B512">
        <v>1872</v>
      </c>
      <c r="C512">
        <f>1/COUNTIF(B:B,pizza_sales[[#This Row],[order_id]])</f>
        <v>1</v>
      </c>
      <c r="D512" t="s">
        <v>24</v>
      </c>
      <c r="E512">
        <v>1</v>
      </c>
      <c r="F512" s="1">
        <v>42006</v>
      </c>
      <c r="G512" s="1" t="str">
        <f>TEXT(pizza_sales[[#This Row],[order_date]],"dddd")</f>
        <v>Friday</v>
      </c>
      <c r="H512" s="2">
        <v>0.63018518518518518</v>
      </c>
      <c r="I512">
        <v>20.25</v>
      </c>
      <c r="J512">
        <v>20.25</v>
      </c>
      <c r="K512" t="s">
        <v>58</v>
      </c>
      <c r="L512" t="s">
        <v>17</v>
      </c>
      <c r="M512" t="s">
        <v>18</v>
      </c>
      <c r="N512" t="s">
        <v>19</v>
      </c>
    </row>
    <row r="513" spans="1:14" x14ac:dyDescent="0.25">
      <c r="A513">
        <v>4221</v>
      </c>
      <c r="B513">
        <v>1873</v>
      </c>
      <c r="C513">
        <f>1/COUNTIF(B:B,pizza_sales[[#This Row],[order_id]])</f>
        <v>1</v>
      </c>
      <c r="D513" t="s">
        <v>39</v>
      </c>
      <c r="E513">
        <v>1</v>
      </c>
      <c r="F513" s="1">
        <v>42006</v>
      </c>
      <c r="G513" s="1" t="str">
        <f>TEXT(pizza_sales[[#This Row],[order_date]],"dddd")</f>
        <v>Friday</v>
      </c>
      <c r="H513" s="2">
        <v>0.63148148148148153</v>
      </c>
      <c r="I513">
        <v>20.25</v>
      </c>
      <c r="J513">
        <v>20.25</v>
      </c>
      <c r="K513" t="s">
        <v>58</v>
      </c>
      <c r="L513" t="s">
        <v>35</v>
      </c>
      <c r="M513" t="s">
        <v>40</v>
      </c>
      <c r="N513" t="s">
        <v>41</v>
      </c>
    </row>
    <row r="514" spans="1:14" x14ac:dyDescent="0.25">
      <c r="A514">
        <v>4222</v>
      </c>
      <c r="B514">
        <v>1874</v>
      </c>
      <c r="C514">
        <f>1/COUNTIF(B:B,pizza_sales[[#This Row],[order_id]])</f>
        <v>1</v>
      </c>
      <c r="D514" t="s">
        <v>39</v>
      </c>
      <c r="E514">
        <v>1</v>
      </c>
      <c r="F514" s="1">
        <v>42006</v>
      </c>
      <c r="G514" s="1" t="str">
        <f>TEXT(pizza_sales[[#This Row],[order_date]],"dddd")</f>
        <v>Friday</v>
      </c>
      <c r="H514" s="2">
        <v>0.63859953703703709</v>
      </c>
      <c r="I514">
        <v>20.25</v>
      </c>
      <c r="J514">
        <v>20.25</v>
      </c>
      <c r="K514" t="s">
        <v>58</v>
      </c>
      <c r="L514" t="s">
        <v>35</v>
      </c>
      <c r="M514" t="s">
        <v>40</v>
      </c>
      <c r="N514" t="s">
        <v>41</v>
      </c>
    </row>
    <row r="515" spans="1:14" x14ac:dyDescent="0.25">
      <c r="A515">
        <v>4223</v>
      </c>
      <c r="B515">
        <v>1875</v>
      </c>
      <c r="C515">
        <f>1/COUNTIF(B:B,pizza_sales[[#This Row],[order_id]])</f>
        <v>1</v>
      </c>
      <c r="D515" t="s">
        <v>42</v>
      </c>
      <c r="E515">
        <v>1</v>
      </c>
      <c r="F515" s="1">
        <v>42006</v>
      </c>
      <c r="G515" s="1" t="str">
        <f>TEXT(pizza_sales[[#This Row],[order_date]],"dddd")</f>
        <v>Friday</v>
      </c>
      <c r="H515" s="2">
        <v>0.66141203703703699</v>
      </c>
      <c r="I515">
        <v>12.5</v>
      </c>
      <c r="J515">
        <v>12.5</v>
      </c>
      <c r="K515" t="s">
        <v>59</v>
      </c>
      <c r="L515" t="s">
        <v>13</v>
      </c>
      <c r="M515" t="s">
        <v>26</v>
      </c>
      <c r="N515" t="s">
        <v>27</v>
      </c>
    </row>
    <row r="516" spans="1:14" x14ac:dyDescent="0.25">
      <c r="A516">
        <v>4226</v>
      </c>
      <c r="B516">
        <v>1876</v>
      </c>
      <c r="C516">
        <f>1/COUNTIF(B:B,pizza_sales[[#This Row],[order_id]])</f>
        <v>1</v>
      </c>
      <c r="D516" t="s">
        <v>34</v>
      </c>
      <c r="E516">
        <v>1</v>
      </c>
      <c r="F516" s="1">
        <v>42006</v>
      </c>
      <c r="G516" s="1" t="str">
        <f>TEXT(pizza_sales[[#This Row],[order_date]],"dddd")</f>
        <v>Friday</v>
      </c>
      <c r="H516" s="2">
        <v>0.66413194444444446</v>
      </c>
      <c r="I516">
        <v>16.25</v>
      </c>
      <c r="J516">
        <v>16.25</v>
      </c>
      <c r="K516" t="s">
        <v>59</v>
      </c>
      <c r="L516" t="s">
        <v>35</v>
      </c>
      <c r="M516" t="s">
        <v>36</v>
      </c>
      <c r="N516" t="s">
        <v>37</v>
      </c>
    </row>
    <row r="517" spans="1:14" x14ac:dyDescent="0.25">
      <c r="A517">
        <v>4232</v>
      </c>
      <c r="B517">
        <v>1878</v>
      </c>
      <c r="C517">
        <f>1/COUNTIF(B:B,pizza_sales[[#This Row],[order_id]])</f>
        <v>1</v>
      </c>
      <c r="D517" t="s">
        <v>38</v>
      </c>
      <c r="E517">
        <v>1</v>
      </c>
      <c r="F517" s="1">
        <v>42006</v>
      </c>
      <c r="G517" s="1" t="str">
        <f>TEXT(pizza_sales[[#This Row],[order_date]],"dddd")</f>
        <v>Friday</v>
      </c>
      <c r="H517" s="2">
        <v>0.67178240740740736</v>
      </c>
      <c r="I517">
        <v>20.5</v>
      </c>
      <c r="J517">
        <v>20.5</v>
      </c>
      <c r="K517" t="s">
        <v>58</v>
      </c>
      <c r="L517" t="s">
        <v>13</v>
      </c>
      <c r="M517" t="s">
        <v>32</v>
      </c>
      <c r="N517" t="s">
        <v>33</v>
      </c>
    </row>
    <row r="518" spans="1:14" x14ac:dyDescent="0.25">
      <c r="A518">
        <v>4233</v>
      </c>
      <c r="B518">
        <v>1879</v>
      </c>
      <c r="C518">
        <f>1/COUNTIF(B:B,pizza_sales[[#This Row],[order_id]])</f>
        <v>1</v>
      </c>
      <c r="D518" t="s">
        <v>28</v>
      </c>
      <c r="E518">
        <v>2</v>
      </c>
      <c r="F518" s="1">
        <v>42006</v>
      </c>
      <c r="G518" s="1" t="str">
        <f>TEXT(pizza_sales[[#This Row],[order_date]],"dddd")</f>
        <v>Friday</v>
      </c>
      <c r="H518" s="2">
        <v>0.67670138888888887</v>
      </c>
      <c r="I518">
        <v>12</v>
      </c>
      <c r="J518">
        <v>24</v>
      </c>
      <c r="K518" t="s">
        <v>60</v>
      </c>
      <c r="L518" t="s">
        <v>13</v>
      </c>
      <c r="M518" t="s">
        <v>29</v>
      </c>
      <c r="N518" t="s">
        <v>30</v>
      </c>
    </row>
    <row r="519" spans="1:14" x14ac:dyDescent="0.25">
      <c r="A519">
        <v>4236</v>
      </c>
      <c r="B519">
        <v>1880</v>
      </c>
      <c r="C519">
        <f>1/COUNTIF(B:B,pizza_sales[[#This Row],[order_id]])</f>
        <v>1</v>
      </c>
      <c r="D519" t="s">
        <v>16</v>
      </c>
      <c r="E519">
        <v>1</v>
      </c>
      <c r="F519" s="1">
        <v>42006</v>
      </c>
      <c r="G519" s="1" t="str">
        <f>TEXT(pizza_sales[[#This Row],[order_date]],"dddd")</f>
        <v>Friday</v>
      </c>
      <c r="H519" s="2">
        <v>0.67754629629629626</v>
      </c>
      <c r="I519">
        <v>16</v>
      </c>
      <c r="J519">
        <v>16</v>
      </c>
      <c r="K519" t="s">
        <v>59</v>
      </c>
      <c r="L519" t="s">
        <v>17</v>
      </c>
      <c r="M519" t="s">
        <v>18</v>
      </c>
      <c r="N519" t="s">
        <v>19</v>
      </c>
    </row>
    <row r="520" spans="1:14" x14ac:dyDescent="0.25">
      <c r="A520">
        <v>4237</v>
      </c>
      <c r="B520">
        <v>1881</v>
      </c>
      <c r="C520">
        <f>1/COUNTIF(B:B,pizza_sales[[#This Row],[order_id]])</f>
        <v>0.5</v>
      </c>
      <c r="D520" t="s">
        <v>50</v>
      </c>
      <c r="E520">
        <v>1</v>
      </c>
      <c r="F520" s="1">
        <v>42006</v>
      </c>
      <c r="G520" s="1" t="str">
        <f>TEXT(pizza_sales[[#This Row],[order_date]],"dddd")</f>
        <v>Friday</v>
      </c>
      <c r="H520" s="2">
        <v>0.67796296296296299</v>
      </c>
      <c r="I520">
        <v>16</v>
      </c>
      <c r="J520">
        <v>16</v>
      </c>
      <c r="K520" t="s">
        <v>59</v>
      </c>
      <c r="L520" t="s">
        <v>13</v>
      </c>
      <c r="M520" t="s">
        <v>32</v>
      </c>
      <c r="N520" t="s">
        <v>33</v>
      </c>
    </row>
    <row r="521" spans="1:14" x14ac:dyDescent="0.25">
      <c r="A521">
        <v>4238</v>
      </c>
      <c r="B521">
        <v>1881</v>
      </c>
      <c r="C521">
        <f>1/COUNTIF(B:B,pizza_sales[[#This Row],[order_id]])</f>
        <v>0.5</v>
      </c>
      <c r="D521" t="s">
        <v>44</v>
      </c>
      <c r="E521">
        <v>1</v>
      </c>
      <c r="F521" s="1">
        <v>42006</v>
      </c>
      <c r="G521" s="1" t="str">
        <f>TEXT(pizza_sales[[#This Row],[order_date]],"dddd")</f>
        <v>Friday</v>
      </c>
      <c r="H521" s="2">
        <v>0.67796296296296299</v>
      </c>
      <c r="I521">
        <v>9.75</v>
      </c>
      <c r="J521">
        <v>9.75</v>
      </c>
      <c r="K521" t="s">
        <v>60</v>
      </c>
      <c r="L521" t="s">
        <v>13</v>
      </c>
      <c r="M521" t="s">
        <v>26</v>
      </c>
      <c r="N521" t="s">
        <v>27</v>
      </c>
    </row>
    <row r="522" spans="1:14" x14ac:dyDescent="0.25">
      <c r="A522">
        <v>4241</v>
      </c>
      <c r="B522">
        <v>1883</v>
      </c>
      <c r="C522">
        <f>1/COUNTIF(B:B,pizza_sales[[#This Row],[order_id]])</f>
        <v>1</v>
      </c>
      <c r="D522" t="s">
        <v>45</v>
      </c>
      <c r="E522">
        <v>2</v>
      </c>
      <c r="F522" s="1">
        <v>42006</v>
      </c>
      <c r="G522" s="1" t="str">
        <f>TEXT(pizza_sales[[#This Row],[order_date]],"dddd")</f>
        <v>Friday</v>
      </c>
      <c r="H522" s="2">
        <v>0.68447916666666664</v>
      </c>
      <c r="I522">
        <v>10.5</v>
      </c>
      <c r="J522">
        <v>21</v>
      </c>
      <c r="K522" t="s">
        <v>60</v>
      </c>
      <c r="L522" t="s">
        <v>13</v>
      </c>
      <c r="M522" t="s">
        <v>14</v>
      </c>
      <c r="N522" t="s">
        <v>15</v>
      </c>
    </row>
    <row r="523" spans="1:14" x14ac:dyDescent="0.25">
      <c r="A523">
        <v>4244</v>
      </c>
      <c r="B523">
        <v>1884</v>
      </c>
      <c r="C523">
        <f>1/COUNTIF(B:B,pizza_sales[[#This Row],[order_id]])</f>
        <v>1</v>
      </c>
      <c r="D523" t="s">
        <v>12</v>
      </c>
      <c r="E523">
        <v>1</v>
      </c>
      <c r="F523" s="1">
        <v>42006</v>
      </c>
      <c r="G523" s="1" t="str">
        <f>TEXT(pizza_sales[[#This Row],[order_date]],"dddd")</f>
        <v>Friday</v>
      </c>
      <c r="H523" s="2">
        <v>0.69045138888888891</v>
      </c>
      <c r="I523">
        <v>13.25</v>
      </c>
      <c r="J523">
        <v>13.25</v>
      </c>
      <c r="K523" t="s">
        <v>59</v>
      </c>
      <c r="L523" t="s">
        <v>13</v>
      </c>
      <c r="M523" t="s">
        <v>14</v>
      </c>
      <c r="N523" t="s">
        <v>15</v>
      </c>
    </row>
    <row r="524" spans="1:14" x14ac:dyDescent="0.25">
      <c r="A524">
        <v>4250</v>
      </c>
      <c r="B524">
        <v>1886</v>
      </c>
      <c r="C524">
        <f>1/COUNTIF(B:B,pizza_sales[[#This Row],[order_id]])</f>
        <v>1</v>
      </c>
      <c r="D524" t="s">
        <v>24</v>
      </c>
      <c r="E524">
        <v>1</v>
      </c>
      <c r="F524" s="1">
        <v>42006</v>
      </c>
      <c r="G524" s="1" t="str">
        <f>TEXT(pizza_sales[[#This Row],[order_date]],"dddd")</f>
        <v>Friday</v>
      </c>
      <c r="H524" s="2">
        <v>0.69715277777777773</v>
      </c>
      <c r="I524">
        <v>20.25</v>
      </c>
      <c r="J524">
        <v>20.25</v>
      </c>
      <c r="K524" t="s">
        <v>58</v>
      </c>
      <c r="L524" t="s">
        <v>17</v>
      </c>
      <c r="M524" t="s">
        <v>18</v>
      </c>
      <c r="N524" t="s">
        <v>19</v>
      </c>
    </row>
    <row r="525" spans="1:14" x14ac:dyDescent="0.25">
      <c r="A525">
        <v>4254</v>
      </c>
      <c r="B525">
        <v>1887</v>
      </c>
      <c r="C525">
        <f>1/COUNTIF(B:B,pizza_sales[[#This Row],[order_id]])</f>
        <v>1</v>
      </c>
      <c r="D525" t="s">
        <v>44</v>
      </c>
      <c r="E525">
        <v>1</v>
      </c>
      <c r="F525" s="1">
        <v>42006</v>
      </c>
      <c r="G525" s="1" t="str">
        <f>TEXT(pizza_sales[[#This Row],[order_date]],"dddd")</f>
        <v>Friday</v>
      </c>
      <c r="H525" s="2">
        <v>0.70006944444444441</v>
      </c>
      <c r="I525">
        <v>9.75</v>
      </c>
      <c r="J525">
        <v>9.75</v>
      </c>
      <c r="K525" t="s">
        <v>60</v>
      </c>
      <c r="L525" t="s">
        <v>13</v>
      </c>
      <c r="M525" t="s">
        <v>26</v>
      </c>
      <c r="N525" t="s">
        <v>27</v>
      </c>
    </row>
    <row r="526" spans="1:14" x14ac:dyDescent="0.25">
      <c r="A526">
        <v>4256</v>
      </c>
      <c r="B526">
        <v>1888</v>
      </c>
      <c r="C526">
        <f>1/COUNTIF(B:B,pizza_sales[[#This Row],[order_id]])</f>
        <v>0.5</v>
      </c>
      <c r="D526" t="s">
        <v>34</v>
      </c>
      <c r="E526">
        <v>1</v>
      </c>
      <c r="F526" s="1">
        <v>42006</v>
      </c>
      <c r="G526" s="1" t="str">
        <f>TEXT(pizza_sales[[#This Row],[order_date]],"dddd")</f>
        <v>Friday</v>
      </c>
      <c r="H526" s="2">
        <v>0.70953703703703708</v>
      </c>
      <c r="I526">
        <v>16.25</v>
      </c>
      <c r="J526">
        <v>16.25</v>
      </c>
      <c r="K526" t="s">
        <v>59</v>
      </c>
      <c r="L526" t="s">
        <v>35</v>
      </c>
      <c r="M526" t="s">
        <v>36</v>
      </c>
      <c r="N526" t="s">
        <v>37</v>
      </c>
    </row>
    <row r="527" spans="1:14" x14ac:dyDescent="0.25">
      <c r="A527">
        <v>4257</v>
      </c>
      <c r="B527">
        <v>1888</v>
      </c>
      <c r="C527">
        <f>1/COUNTIF(B:B,pizza_sales[[#This Row],[order_id]])</f>
        <v>0.5</v>
      </c>
      <c r="D527" t="s">
        <v>31</v>
      </c>
      <c r="E527">
        <v>1</v>
      </c>
      <c r="F527" s="1">
        <v>42006</v>
      </c>
      <c r="G527" s="1" t="str">
        <f>TEXT(pizza_sales[[#This Row],[order_date]],"dddd")</f>
        <v>Friday</v>
      </c>
      <c r="H527" s="2">
        <v>0.70953703703703708</v>
      </c>
      <c r="I527">
        <v>12</v>
      </c>
      <c r="J527">
        <v>12</v>
      </c>
      <c r="K527" t="s">
        <v>60</v>
      </c>
      <c r="L527" t="s">
        <v>13</v>
      </c>
      <c r="M527" t="s">
        <v>32</v>
      </c>
      <c r="N527" t="s">
        <v>33</v>
      </c>
    </row>
    <row r="528" spans="1:14" x14ac:dyDescent="0.25">
      <c r="A528">
        <v>4262</v>
      </c>
      <c r="B528">
        <v>1891</v>
      </c>
      <c r="C528">
        <f>1/COUNTIF(B:B,pizza_sales[[#This Row],[order_id]])</f>
        <v>0.5</v>
      </c>
      <c r="D528" t="s">
        <v>56</v>
      </c>
      <c r="E528">
        <v>1</v>
      </c>
      <c r="F528" s="1">
        <v>42006</v>
      </c>
      <c r="G528" s="1" t="str">
        <f>TEXT(pizza_sales[[#This Row],[order_date]],"dddd")</f>
        <v>Friday</v>
      </c>
      <c r="H528" s="2">
        <v>0.71605324074074073</v>
      </c>
      <c r="I528">
        <v>20.25</v>
      </c>
      <c r="J528">
        <v>20.25</v>
      </c>
      <c r="K528" t="s">
        <v>58</v>
      </c>
      <c r="L528" t="s">
        <v>35</v>
      </c>
      <c r="M528" t="s">
        <v>36</v>
      </c>
      <c r="N528" t="s">
        <v>37</v>
      </c>
    </row>
    <row r="529" spans="1:14" x14ac:dyDescent="0.25">
      <c r="A529">
        <v>4265</v>
      </c>
      <c r="B529">
        <v>1891</v>
      </c>
      <c r="C529">
        <f>1/COUNTIF(B:B,pizza_sales[[#This Row],[order_id]])</f>
        <v>0.5</v>
      </c>
      <c r="D529" t="s">
        <v>55</v>
      </c>
      <c r="E529">
        <v>1</v>
      </c>
      <c r="F529" s="1">
        <v>42006</v>
      </c>
      <c r="G529" s="1" t="str">
        <f>TEXT(pizza_sales[[#This Row],[order_date]],"dddd")</f>
        <v>Friday</v>
      </c>
      <c r="H529" s="2">
        <v>0.71605324074074073</v>
      </c>
      <c r="I529">
        <v>20.5</v>
      </c>
      <c r="J529">
        <v>20.5</v>
      </c>
      <c r="K529" t="s">
        <v>58</v>
      </c>
      <c r="L529" t="s">
        <v>13</v>
      </c>
      <c r="M529" t="s">
        <v>21</v>
      </c>
      <c r="N529" t="s">
        <v>22</v>
      </c>
    </row>
    <row r="530" spans="1:14" x14ac:dyDescent="0.25">
      <c r="A530">
        <v>4267</v>
      </c>
      <c r="B530">
        <v>1892</v>
      </c>
      <c r="C530">
        <f>1/COUNTIF(B:B,pizza_sales[[#This Row],[order_id]])</f>
        <v>0.5</v>
      </c>
      <c r="D530" t="s">
        <v>45</v>
      </c>
      <c r="E530">
        <v>1</v>
      </c>
      <c r="F530" s="1">
        <v>42006</v>
      </c>
      <c r="G530" s="1" t="str">
        <f>TEXT(pizza_sales[[#This Row],[order_date]],"dddd")</f>
        <v>Friday</v>
      </c>
      <c r="H530" s="2">
        <v>0.71629629629629632</v>
      </c>
      <c r="I530">
        <v>10.5</v>
      </c>
      <c r="J530">
        <v>10.5</v>
      </c>
      <c r="K530" t="s">
        <v>60</v>
      </c>
      <c r="L530" t="s">
        <v>13</v>
      </c>
      <c r="M530" t="s">
        <v>14</v>
      </c>
      <c r="N530" t="s">
        <v>15</v>
      </c>
    </row>
    <row r="531" spans="1:14" x14ac:dyDescent="0.25">
      <c r="A531">
        <v>4268</v>
      </c>
      <c r="B531">
        <v>1892</v>
      </c>
      <c r="C531">
        <f>1/COUNTIF(B:B,pizza_sales[[#This Row],[order_id]])</f>
        <v>0.5</v>
      </c>
      <c r="D531" t="s">
        <v>39</v>
      </c>
      <c r="E531">
        <v>1</v>
      </c>
      <c r="F531" s="1">
        <v>42006</v>
      </c>
      <c r="G531" s="1" t="str">
        <f>TEXT(pizza_sales[[#This Row],[order_date]],"dddd")</f>
        <v>Friday</v>
      </c>
      <c r="H531" s="2">
        <v>0.71629629629629632</v>
      </c>
      <c r="I531">
        <v>20.25</v>
      </c>
      <c r="J531">
        <v>20.25</v>
      </c>
      <c r="K531" t="s">
        <v>58</v>
      </c>
      <c r="L531" t="s">
        <v>35</v>
      </c>
      <c r="M531" t="s">
        <v>40</v>
      </c>
      <c r="N531" t="s">
        <v>41</v>
      </c>
    </row>
    <row r="532" spans="1:14" x14ac:dyDescent="0.25">
      <c r="A532">
        <v>4271</v>
      </c>
      <c r="B532">
        <v>1894</v>
      </c>
      <c r="C532">
        <f>1/COUNTIF(B:B,pizza_sales[[#This Row],[order_id]])</f>
        <v>1</v>
      </c>
      <c r="D532" t="s">
        <v>46</v>
      </c>
      <c r="E532">
        <v>1</v>
      </c>
      <c r="F532" s="1">
        <v>42006</v>
      </c>
      <c r="G532" s="1" t="str">
        <f>TEXT(pizza_sales[[#This Row],[order_date]],"dddd")</f>
        <v>Friday</v>
      </c>
      <c r="H532" s="2">
        <v>0.71802083333333333</v>
      </c>
      <c r="I532">
        <v>25.5</v>
      </c>
      <c r="J532">
        <v>25.5</v>
      </c>
      <c r="K532" t="s">
        <v>61</v>
      </c>
      <c r="L532" t="s">
        <v>13</v>
      </c>
      <c r="M532" t="s">
        <v>21</v>
      </c>
      <c r="N532" t="s">
        <v>22</v>
      </c>
    </row>
    <row r="533" spans="1:14" x14ac:dyDescent="0.25">
      <c r="A533">
        <v>4272</v>
      </c>
      <c r="B533">
        <v>1895</v>
      </c>
      <c r="C533">
        <f>1/COUNTIF(B:B,pizza_sales[[#This Row],[order_id]])</f>
        <v>1</v>
      </c>
      <c r="D533" t="s">
        <v>34</v>
      </c>
      <c r="E533">
        <v>1</v>
      </c>
      <c r="F533" s="1">
        <v>42006</v>
      </c>
      <c r="G533" s="1" t="str">
        <f>TEXT(pizza_sales[[#This Row],[order_date]],"dddd")</f>
        <v>Friday</v>
      </c>
      <c r="H533" s="2">
        <v>0.7255787037037037</v>
      </c>
      <c r="I533">
        <v>16.25</v>
      </c>
      <c r="J533">
        <v>16.25</v>
      </c>
      <c r="K533" t="s">
        <v>59</v>
      </c>
      <c r="L533" t="s">
        <v>35</v>
      </c>
      <c r="M533" t="s">
        <v>36</v>
      </c>
      <c r="N533" t="s">
        <v>37</v>
      </c>
    </row>
    <row r="534" spans="1:14" x14ac:dyDescent="0.25">
      <c r="A534">
        <v>4283</v>
      </c>
      <c r="B534">
        <v>1900</v>
      </c>
      <c r="C534">
        <f>1/COUNTIF(B:B,pizza_sales[[#This Row],[order_id]])</f>
        <v>1</v>
      </c>
      <c r="D534" t="s">
        <v>47</v>
      </c>
      <c r="E534">
        <v>1</v>
      </c>
      <c r="F534" s="1">
        <v>42006</v>
      </c>
      <c r="G534" s="1" t="str">
        <f>TEXT(pizza_sales[[#This Row],[order_date]],"dddd")</f>
        <v>Friday</v>
      </c>
      <c r="H534" s="2">
        <v>0.73806712962962961</v>
      </c>
      <c r="I534">
        <v>16.5</v>
      </c>
      <c r="J534">
        <v>16.5</v>
      </c>
      <c r="K534" t="s">
        <v>58</v>
      </c>
      <c r="L534" t="s">
        <v>13</v>
      </c>
      <c r="M534" t="s">
        <v>14</v>
      </c>
      <c r="N534" t="s">
        <v>15</v>
      </c>
    </row>
    <row r="535" spans="1:14" x14ac:dyDescent="0.25">
      <c r="A535">
        <v>4289</v>
      </c>
      <c r="B535">
        <v>1904</v>
      </c>
      <c r="C535">
        <f>1/COUNTIF(B:B,pizza_sales[[#This Row],[order_id]])</f>
        <v>0.5</v>
      </c>
      <c r="D535" t="s">
        <v>28</v>
      </c>
      <c r="E535">
        <v>1</v>
      </c>
      <c r="F535" s="1">
        <v>42006</v>
      </c>
      <c r="G535" s="1" t="str">
        <f>TEXT(pizza_sales[[#This Row],[order_date]],"dddd")</f>
        <v>Friday</v>
      </c>
      <c r="H535" s="2">
        <v>0.75922453703703707</v>
      </c>
      <c r="I535">
        <v>12</v>
      </c>
      <c r="J535">
        <v>12</v>
      </c>
      <c r="K535" t="s">
        <v>60</v>
      </c>
      <c r="L535" t="s">
        <v>13</v>
      </c>
      <c r="M535" t="s">
        <v>29</v>
      </c>
      <c r="N535" t="s">
        <v>30</v>
      </c>
    </row>
    <row r="536" spans="1:14" x14ac:dyDescent="0.25">
      <c r="A536">
        <v>4292</v>
      </c>
      <c r="B536">
        <v>1904</v>
      </c>
      <c r="C536">
        <f>1/COUNTIF(B:B,pizza_sales[[#This Row],[order_id]])</f>
        <v>0.5</v>
      </c>
      <c r="D536" t="s">
        <v>44</v>
      </c>
      <c r="E536">
        <v>1</v>
      </c>
      <c r="F536" s="1">
        <v>42006</v>
      </c>
      <c r="G536" s="1" t="str">
        <f>TEXT(pizza_sales[[#This Row],[order_date]],"dddd")</f>
        <v>Friday</v>
      </c>
      <c r="H536" s="2">
        <v>0.75922453703703707</v>
      </c>
      <c r="I536">
        <v>9.75</v>
      </c>
      <c r="J536">
        <v>9.75</v>
      </c>
      <c r="K536" t="s">
        <v>60</v>
      </c>
      <c r="L536" t="s">
        <v>13</v>
      </c>
      <c r="M536" t="s">
        <v>26</v>
      </c>
      <c r="N536" t="s">
        <v>27</v>
      </c>
    </row>
    <row r="537" spans="1:14" x14ac:dyDescent="0.25">
      <c r="A537">
        <v>4305</v>
      </c>
      <c r="B537">
        <v>1914</v>
      </c>
      <c r="C537">
        <f>1/COUNTIF(B:B,pizza_sales[[#This Row],[order_id]])</f>
        <v>1</v>
      </c>
      <c r="D537" t="s">
        <v>44</v>
      </c>
      <c r="E537">
        <v>1</v>
      </c>
      <c r="F537" s="1">
        <v>42006</v>
      </c>
      <c r="G537" s="1" t="str">
        <f>TEXT(pizza_sales[[#This Row],[order_date]],"dddd")</f>
        <v>Friday</v>
      </c>
      <c r="H537" s="2">
        <v>0.80836805555555558</v>
      </c>
      <c r="I537">
        <v>9.75</v>
      </c>
      <c r="J537">
        <v>9.75</v>
      </c>
      <c r="K537" t="s">
        <v>60</v>
      </c>
      <c r="L537" t="s">
        <v>13</v>
      </c>
      <c r="M537" t="s">
        <v>26</v>
      </c>
      <c r="N537" t="s">
        <v>27</v>
      </c>
    </row>
    <row r="538" spans="1:14" x14ac:dyDescent="0.25">
      <c r="A538">
        <v>4306</v>
      </c>
      <c r="B538">
        <v>1915</v>
      </c>
      <c r="C538">
        <f>1/COUNTIF(B:B,pizza_sales[[#This Row],[order_id]])</f>
        <v>1</v>
      </c>
      <c r="D538" t="s">
        <v>42</v>
      </c>
      <c r="E538">
        <v>1</v>
      </c>
      <c r="F538" s="1">
        <v>42006</v>
      </c>
      <c r="G538" s="1" t="str">
        <f>TEXT(pizza_sales[[#This Row],[order_date]],"dddd")</f>
        <v>Friday</v>
      </c>
      <c r="H538" s="2">
        <v>0.80863425925925925</v>
      </c>
      <c r="I538">
        <v>12.5</v>
      </c>
      <c r="J538">
        <v>12.5</v>
      </c>
      <c r="K538" t="s">
        <v>59</v>
      </c>
      <c r="L538" t="s">
        <v>13</v>
      </c>
      <c r="M538" t="s">
        <v>26</v>
      </c>
      <c r="N538" t="s">
        <v>27</v>
      </c>
    </row>
    <row r="539" spans="1:14" x14ac:dyDescent="0.25">
      <c r="A539">
        <v>4309</v>
      </c>
      <c r="B539">
        <v>1916</v>
      </c>
      <c r="C539">
        <f>1/COUNTIF(B:B,pizza_sales[[#This Row],[order_id]])</f>
        <v>1</v>
      </c>
      <c r="D539" t="s">
        <v>50</v>
      </c>
      <c r="E539">
        <v>1</v>
      </c>
      <c r="F539" s="1">
        <v>42006</v>
      </c>
      <c r="G539" s="1" t="str">
        <f>TEXT(pizza_sales[[#This Row],[order_date]],"dddd")</f>
        <v>Friday</v>
      </c>
      <c r="H539" s="2">
        <v>0.81109953703703708</v>
      </c>
      <c r="I539">
        <v>16</v>
      </c>
      <c r="J539">
        <v>16</v>
      </c>
      <c r="K539" t="s">
        <v>59</v>
      </c>
      <c r="L539" t="s">
        <v>13</v>
      </c>
      <c r="M539" t="s">
        <v>32</v>
      </c>
      <c r="N539" t="s">
        <v>33</v>
      </c>
    </row>
    <row r="540" spans="1:14" x14ac:dyDescent="0.25">
      <c r="A540">
        <v>4310</v>
      </c>
      <c r="B540">
        <v>1917</v>
      </c>
      <c r="C540">
        <f>1/COUNTIF(B:B,pizza_sales[[#This Row],[order_id]])</f>
        <v>0.33333333333333331</v>
      </c>
      <c r="D540" t="s">
        <v>51</v>
      </c>
      <c r="E540">
        <v>1</v>
      </c>
      <c r="F540" s="1">
        <v>42006</v>
      </c>
      <c r="G540" s="1" t="str">
        <f>TEXT(pizza_sales[[#This Row],[order_date]],"dddd")</f>
        <v>Friday</v>
      </c>
      <c r="H540" s="2">
        <v>0.82559027777777783</v>
      </c>
      <c r="I540">
        <v>23.65</v>
      </c>
      <c r="J540">
        <v>23.65</v>
      </c>
      <c r="K540" t="s">
        <v>60</v>
      </c>
      <c r="L540" t="s">
        <v>35</v>
      </c>
      <c r="M540" t="s">
        <v>52</v>
      </c>
      <c r="N540" t="s">
        <v>53</v>
      </c>
    </row>
    <row r="541" spans="1:14" x14ac:dyDescent="0.25">
      <c r="A541">
        <v>4311</v>
      </c>
      <c r="B541">
        <v>1917</v>
      </c>
      <c r="C541">
        <f>1/COUNTIF(B:B,pizza_sales[[#This Row],[order_id]])</f>
        <v>0.33333333333333331</v>
      </c>
      <c r="D541" t="s">
        <v>24</v>
      </c>
      <c r="E541">
        <v>1</v>
      </c>
      <c r="F541" s="1">
        <v>42006</v>
      </c>
      <c r="G541" s="1" t="str">
        <f>TEXT(pizza_sales[[#This Row],[order_date]],"dddd")</f>
        <v>Friday</v>
      </c>
      <c r="H541" s="2">
        <v>0.82559027777777783</v>
      </c>
      <c r="I541">
        <v>20.25</v>
      </c>
      <c r="J541">
        <v>20.25</v>
      </c>
      <c r="K541" t="s">
        <v>58</v>
      </c>
      <c r="L541" t="s">
        <v>17</v>
      </c>
      <c r="M541" t="s">
        <v>18</v>
      </c>
      <c r="N541" t="s">
        <v>19</v>
      </c>
    </row>
    <row r="542" spans="1:14" x14ac:dyDescent="0.25">
      <c r="A542">
        <v>4313</v>
      </c>
      <c r="B542">
        <v>1917</v>
      </c>
      <c r="C542">
        <f>1/COUNTIF(B:B,pizza_sales[[#This Row],[order_id]])</f>
        <v>0.33333333333333331</v>
      </c>
      <c r="D542" t="s">
        <v>49</v>
      </c>
      <c r="E542">
        <v>1</v>
      </c>
      <c r="F542" s="1">
        <v>42006</v>
      </c>
      <c r="G542" s="1" t="str">
        <f>TEXT(pizza_sales[[#This Row],[order_date]],"dddd")</f>
        <v>Friday</v>
      </c>
      <c r="H542" s="2">
        <v>0.82559027777777783</v>
      </c>
      <c r="I542">
        <v>16</v>
      </c>
      <c r="J542">
        <v>16</v>
      </c>
      <c r="K542" t="s">
        <v>59</v>
      </c>
      <c r="L542" t="s">
        <v>13</v>
      </c>
      <c r="M542" t="s">
        <v>21</v>
      </c>
      <c r="N542" t="s">
        <v>22</v>
      </c>
    </row>
    <row r="543" spans="1:14" x14ac:dyDescent="0.25">
      <c r="A543">
        <v>4321</v>
      </c>
      <c r="B543">
        <v>1922</v>
      </c>
      <c r="C543">
        <f>1/COUNTIF(B:B,pizza_sales[[#This Row],[order_id]])</f>
        <v>1</v>
      </c>
      <c r="D543" t="s">
        <v>46</v>
      </c>
      <c r="E543">
        <v>1</v>
      </c>
      <c r="F543" s="1">
        <v>42006</v>
      </c>
      <c r="G543" s="1" t="str">
        <f>TEXT(pizza_sales[[#This Row],[order_date]],"dddd")</f>
        <v>Friday</v>
      </c>
      <c r="H543" s="2">
        <v>0.83981481481481479</v>
      </c>
      <c r="I543">
        <v>25.5</v>
      </c>
      <c r="J543">
        <v>25.5</v>
      </c>
      <c r="K543" t="s">
        <v>61</v>
      </c>
      <c r="L543" t="s">
        <v>13</v>
      </c>
      <c r="M543" t="s">
        <v>21</v>
      </c>
      <c r="N543" t="s">
        <v>22</v>
      </c>
    </row>
    <row r="544" spans="1:14" x14ac:dyDescent="0.25">
      <c r="A544">
        <v>4329</v>
      </c>
      <c r="B544">
        <v>1925</v>
      </c>
      <c r="C544">
        <f>1/COUNTIF(B:B,pizza_sales[[#This Row],[order_id]])</f>
        <v>1</v>
      </c>
      <c r="D544" t="s">
        <v>44</v>
      </c>
      <c r="E544">
        <v>1</v>
      </c>
      <c r="F544" s="1">
        <v>42006</v>
      </c>
      <c r="G544" s="1" t="str">
        <f>TEXT(pizza_sales[[#This Row],[order_date]],"dddd")</f>
        <v>Friday</v>
      </c>
      <c r="H544" s="2">
        <v>0.86384259259259255</v>
      </c>
      <c r="I544">
        <v>9.75</v>
      </c>
      <c r="J544">
        <v>9.75</v>
      </c>
      <c r="K544" t="s">
        <v>60</v>
      </c>
      <c r="L544" t="s">
        <v>13</v>
      </c>
      <c r="M544" t="s">
        <v>26</v>
      </c>
      <c r="N544" t="s">
        <v>27</v>
      </c>
    </row>
    <row r="545" spans="1:14" x14ac:dyDescent="0.25">
      <c r="A545">
        <v>4331</v>
      </c>
      <c r="B545">
        <v>1926</v>
      </c>
      <c r="C545">
        <f>1/COUNTIF(B:B,pizza_sales[[#This Row],[order_id]])</f>
        <v>1</v>
      </c>
      <c r="D545" t="s">
        <v>44</v>
      </c>
      <c r="E545">
        <v>1</v>
      </c>
      <c r="F545" s="1">
        <v>42006</v>
      </c>
      <c r="G545" s="1" t="str">
        <f>TEXT(pizza_sales[[#This Row],[order_date]],"dddd")</f>
        <v>Friday</v>
      </c>
      <c r="H545" s="2">
        <v>0.88366898148148143</v>
      </c>
      <c r="I545">
        <v>9.75</v>
      </c>
      <c r="J545">
        <v>9.75</v>
      </c>
      <c r="K545" t="s">
        <v>60</v>
      </c>
      <c r="L545" t="s">
        <v>13</v>
      </c>
      <c r="M545" t="s">
        <v>26</v>
      </c>
      <c r="N545" t="s">
        <v>27</v>
      </c>
    </row>
    <row r="546" spans="1:14" x14ac:dyDescent="0.25">
      <c r="A546">
        <v>4338</v>
      </c>
      <c r="B546">
        <v>1929</v>
      </c>
      <c r="C546">
        <f>1/COUNTIF(B:B,pizza_sales[[#This Row],[order_id]])</f>
        <v>0.5</v>
      </c>
      <c r="D546" t="s">
        <v>47</v>
      </c>
      <c r="E546">
        <v>1</v>
      </c>
      <c r="F546" s="1">
        <v>42006</v>
      </c>
      <c r="G546" s="1" t="str">
        <f>TEXT(pizza_sales[[#This Row],[order_date]],"dddd")</f>
        <v>Friday</v>
      </c>
      <c r="H546" s="2">
        <v>0.92223379629629632</v>
      </c>
      <c r="I546">
        <v>16.5</v>
      </c>
      <c r="J546">
        <v>16.5</v>
      </c>
      <c r="K546" t="s">
        <v>58</v>
      </c>
      <c r="L546" t="s">
        <v>13</v>
      </c>
      <c r="M546" t="s">
        <v>14</v>
      </c>
      <c r="N546" t="s">
        <v>15</v>
      </c>
    </row>
    <row r="547" spans="1:14" x14ac:dyDescent="0.25">
      <c r="A547">
        <v>4339</v>
      </c>
      <c r="B547">
        <v>1929</v>
      </c>
      <c r="C547">
        <f>1/COUNTIF(B:B,pizza_sales[[#This Row],[order_id]])</f>
        <v>0.5</v>
      </c>
      <c r="D547" t="s">
        <v>38</v>
      </c>
      <c r="E547">
        <v>1</v>
      </c>
      <c r="F547" s="1">
        <v>42006</v>
      </c>
      <c r="G547" s="1" t="str">
        <f>TEXT(pizza_sales[[#This Row],[order_date]],"dddd")</f>
        <v>Friday</v>
      </c>
      <c r="H547" s="2">
        <v>0.92223379629629632</v>
      </c>
      <c r="I547">
        <v>20.5</v>
      </c>
      <c r="J547">
        <v>20.5</v>
      </c>
      <c r="K547" t="s">
        <v>58</v>
      </c>
      <c r="L547" t="s">
        <v>13</v>
      </c>
      <c r="M547" t="s">
        <v>32</v>
      </c>
      <c r="N547" t="s">
        <v>33</v>
      </c>
    </row>
    <row r="548" spans="1:14" x14ac:dyDescent="0.25">
      <c r="A548">
        <v>4340</v>
      </c>
      <c r="B548">
        <v>1930</v>
      </c>
      <c r="C548">
        <f>1/COUNTIF(B:B,pizza_sales[[#This Row],[order_id]])</f>
        <v>1</v>
      </c>
      <c r="D548" t="s">
        <v>34</v>
      </c>
      <c r="E548">
        <v>1</v>
      </c>
      <c r="F548" s="1">
        <v>42006</v>
      </c>
      <c r="G548" s="1" t="str">
        <f>TEXT(pizza_sales[[#This Row],[order_date]],"dddd")</f>
        <v>Friday</v>
      </c>
      <c r="H548" s="2">
        <v>0.92432870370370368</v>
      </c>
      <c r="I548">
        <v>16.25</v>
      </c>
      <c r="J548">
        <v>16.25</v>
      </c>
      <c r="K548" t="s">
        <v>59</v>
      </c>
      <c r="L548" t="s">
        <v>35</v>
      </c>
      <c r="M548" t="s">
        <v>36</v>
      </c>
      <c r="N548" t="s">
        <v>37</v>
      </c>
    </row>
    <row r="549" spans="1:14" x14ac:dyDescent="0.25">
      <c r="A549">
        <v>4341</v>
      </c>
      <c r="B549">
        <v>1931</v>
      </c>
      <c r="C549">
        <f>1/COUNTIF(B:B,pizza_sales[[#This Row],[order_id]])</f>
        <v>1</v>
      </c>
      <c r="D549" t="s">
        <v>28</v>
      </c>
      <c r="E549">
        <v>1</v>
      </c>
      <c r="F549" s="1">
        <v>42006</v>
      </c>
      <c r="G549" s="1" t="str">
        <f>TEXT(pizza_sales[[#This Row],[order_date]],"dddd")</f>
        <v>Friday</v>
      </c>
      <c r="H549" s="2">
        <v>0.92758101851851849</v>
      </c>
      <c r="I549">
        <v>12</v>
      </c>
      <c r="J549">
        <v>12</v>
      </c>
      <c r="K549" t="s">
        <v>60</v>
      </c>
      <c r="L549" t="s">
        <v>13</v>
      </c>
      <c r="M549" t="s">
        <v>29</v>
      </c>
      <c r="N549" t="s">
        <v>30</v>
      </c>
    </row>
    <row r="550" spans="1:14" x14ac:dyDescent="0.25">
      <c r="A550">
        <v>4352</v>
      </c>
      <c r="B550">
        <v>1936</v>
      </c>
      <c r="C550">
        <f>1/COUNTIF(B:B,pizza_sales[[#This Row],[order_id]])</f>
        <v>1</v>
      </c>
      <c r="D550" t="s">
        <v>47</v>
      </c>
      <c r="E550">
        <v>1</v>
      </c>
      <c r="F550" s="1">
        <v>42037</v>
      </c>
      <c r="G550" s="1" t="str">
        <f>TEXT(pizza_sales[[#This Row],[order_date]],"dddd")</f>
        <v>Monday</v>
      </c>
      <c r="H550" s="2">
        <v>0.48252314814814817</v>
      </c>
      <c r="I550">
        <v>16.5</v>
      </c>
      <c r="J550">
        <v>16.5</v>
      </c>
      <c r="K550" t="s">
        <v>58</v>
      </c>
      <c r="L550" t="s">
        <v>13</v>
      </c>
      <c r="M550" t="s">
        <v>14</v>
      </c>
      <c r="N550" t="s">
        <v>15</v>
      </c>
    </row>
    <row r="551" spans="1:14" x14ac:dyDescent="0.25">
      <c r="A551">
        <v>4354</v>
      </c>
      <c r="B551">
        <v>1937</v>
      </c>
      <c r="C551">
        <f>1/COUNTIF(B:B,pizza_sales[[#This Row],[order_id]])</f>
        <v>1</v>
      </c>
      <c r="D551" t="s">
        <v>43</v>
      </c>
      <c r="E551">
        <v>1</v>
      </c>
      <c r="F551" s="1">
        <v>42037</v>
      </c>
      <c r="G551" s="1" t="str">
        <f>TEXT(pizza_sales[[#This Row],[order_date]],"dddd")</f>
        <v>Monday</v>
      </c>
      <c r="H551" s="2">
        <v>0.48873842592592592</v>
      </c>
      <c r="I551">
        <v>16.25</v>
      </c>
      <c r="J551">
        <v>16.25</v>
      </c>
      <c r="K551" t="s">
        <v>59</v>
      </c>
      <c r="L551" t="s">
        <v>35</v>
      </c>
      <c r="M551" t="s">
        <v>40</v>
      </c>
      <c r="N551" t="s">
        <v>41</v>
      </c>
    </row>
    <row r="552" spans="1:14" x14ac:dyDescent="0.25">
      <c r="A552">
        <v>4355</v>
      </c>
      <c r="B552">
        <v>1938</v>
      </c>
      <c r="C552">
        <f>1/COUNTIF(B:B,pizza_sales[[#This Row],[order_id]])</f>
        <v>1</v>
      </c>
      <c r="D552" t="s">
        <v>25</v>
      </c>
      <c r="E552">
        <v>1</v>
      </c>
      <c r="F552" s="1">
        <v>42037</v>
      </c>
      <c r="G552" s="1" t="str">
        <f>TEXT(pizza_sales[[#This Row],[order_date]],"dddd")</f>
        <v>Monday</v>
      </c>
      <c r="H552" s="2">
        <v>0.49048611111111112</v>
      </c>
      <c r="I552">
        <v>15.25</v>
      </c>
      <c r="J552">
        <v>15.25</v>
      </c>
      <c r="K552" t="s">
        <v>58</v>
      </c>
      <c r="L552" t="s">
        <v>13</v>
      </c>
      <c r="M552" t="s">
        <v>26</v>
      </c>
      <c r="N552" t="s">
        <v>27</v>
      </c>
    </row>
    <row r="553" spans="1:14" x14ac:dyDescent="0.25">
      <c r="A553">
        <v>4356</v>
      </c>
      <c r="B553">
        <v>1939</v>
      </c>
      <c r="C553">
        <f>1/COUNTIF(B:B,pizza_sales[[#This Row],[order_id]])</f>
        <v>1</v>
      </c>
      <c r="D553" t="s">
        <v>44</v>
      </c>
      <c r="E553">
        <v>1</v>
      </c>
      <c r="F553" s="1">
        <v>42037</v>
      </c>
      <c r="G553" s="1" t="str">
        <f>TEXT(pizza_sales[[#This Row],[order_date]],"dddd")</f>
        <v>Monday</v>
      </c>
      <c r="H553" s="2">
        <v>0.52064814814814819</v>
      </c>
      <c r="I553">
        <v>9.75</v>
      </c>
      <c r="J553">
        <v>9.75</v>
      </c>
      <c r="K553" t="s">
        <v>60</v>
      </c>
      <c r="L553" t="s">
        <v>13</v>
      </c>
      <c r="M553" t="s">
        <v>26</v>
      </c>
      <c r="N553" t="s">
        <v>27</v>
      </c>
    </row>
    <row r="554" spans="1:14" x14ac:dyDescent="0.25">
      <c r="A554">
        <v>4358</v>
      </c>
      <c r="B554">
        <v>1941</v>
      </c>
      <c r="C554">
        <f>1/COUNTIF(B:B,pizza_sales[[#This Row],[order_id]])</f>
        <v>1</v>
      </c>
      <c r="D554" t="s">
        <v>44</v>
      </c>
      <c r="E554">
        <v>1</v>
      </c>
      <c r="F554" s="1">
        <v>42037</v>
      </c>
      <c r="G554" s="1" t="str">
        <f>TEXT(pizza_sales[[#This Row],[order_date]],"dddd")</f>
        <v>Monday</v>
      </c>
      <c r="H554" s="2">
        <v>0.52315972222222218</v>
      </c>
      <c r="I554">
        <v>9.75</v>
      </c>
      <c r="J554">
        <v>9.75</v>
      </c>
      <c r="K554" t="s">
        <v>60</v>
      </c>
      <c r="L554" t="s">
        <v>13</v>
      </c>
      <c r="M554" t="s">
        <v>26</v>
      </c>
      <c r="N554" t="s">
        <v>27</v>
      </c>
    </row>
    <row r="555" spans="1:14" x14ac:dyDescent="0.25">
      <c r="A555">
        <v>4362</v>
      </c>
      <c r="B555">
        <v>1943</v>
      </c>
      <c r="C555">
        <f>1/COUNTIF(B:B,pizza_sales[[#This Row],[order_id]])</f>
        <v>1</v>
      </c>
      <c r="D555" t="s">
        <v>47</v>
      </c>
      <c r="E555">
        <v>1</v>
      </c>
      <c r="F555" s="1">
        <v>42037</v>
      </c>
      <c r="G555" s="1" t="str">
        <f>TEXT(pizza_sales[[#This Row],[order_date]],"dddd")</f>
        <v>Monday</v>
      </c>
      <c r="H555" s="2">
        <v>0.52818287037037037</v>
      </c>
      <c r="I555">
        <v>16.5</v>
      </c>
      <c r="J555">
        <v>16.5</v>
      </c>
      <c r="K555" t="s">
        <v>58</v>
      </c>
      <c r="L555" t="s">
        <v>13</v>
      </c>
      <c r="M555" t="s">
        <v>14</v>
      </c>
      <c r="N555" t="s">
        <v>15</v>
      </c>
    </row>
    <row r="556" spans="1:14" x14ac:dyDescent="0.25">
      <c r="A556">
        <v>4371</v>
      </c>
      <c r="B556">
        <v>1946</v>
      </c>
      <c r="C556">
        <f>1/COUNTIF(B:B,pizza_sales[[#This Row],[order_id]])</f>
        <v>0.5</v>
      </c>
      <c r="D556" t="s">
        <v>16</v>
      </c>
      <c r="E556">
        <v>2</v>
      </c>
      <c r="F556" s="1">
        <v>42037</v>
      </c>
      <c r="G556" s="1" t="str">
        <f>TEXT(pizza_sales[[#This Row],[order_date]],"dddd")</f>
        <v>Monday</v>
      </c>
      <c r="H556" s="2">
        <v>0.54292824074074075</v>
      </c>
      <c r="I556">
        <v>16</v>
      </c>
      <c r="J556">
        <v>32</v>
      </c>
      <c r="K556" t="s">
        <v>59</v>
      </c>
      <c r="L556" t="s">
        <v>17</v>
      </c>
      <c r="M556" t="s">
        <v>18</v>
      </c>
      <c r="N556" t="s">
        <v>19</v>
      </c>
    </row>
    <row r="557" spans="1:14" x14ac:dyDescent="0.25">
      <c r="A557">
        <v>4372</v>
      </c>
      <c r="B557">
        <v>1946</v>
      </c>
      <c r="C557">
        <f>1/COUNTIF(B:B,pizza_sales[[#This Row],[order_id]])</f>
        <v>0.5</v>
      </c>
      <c r="D557" t="s">
        <v>48</v>
      </c>
      <c r="E557">
        <v>1</v>
      </c>
      <c r="F557" s="1">
        <v>42037</v>
      </c>
      <c r="G557" s="1" t="str">
        <f>TEXT(pizza_sales[[#This Row],[order_date]],"dddd")</f>
        <v>Monday</v>
      </c>
      <c r="H557" s="2">
        <v>0.54292824074074075</v>
      </c>
      <c r="I557">
        <v>12.25</v>
      </c>
      <c r="J557">
        <v>12.25</v>
      </c>
      <c r="K557" t="s">
        <v>60</v>
      </c>
      <c r="L557" t="s">
        <v>35</v>
      </c>
      <c r="M557" t="s">
        <v>40</v>
      </c>
      <c r="N557" t="s">
        <v>41</v>
      </c>
    </row>
    <row r="558" spans="1:14" x14ac:dyDescent="0.25">
      <c r="A558">
        <v>4377</v>
      </c>
      <c r="B558">
        <v>1948</v>
      </c>
      <c r="C558">
        <f>1/COUNTIF(B:B,pizza_sales[[#This Row],[order_id]])</f>
        <v>1</v>
      </c>
      <c r="D558" t="s">
        <v>24</v>
      </c>
      <c r="E558">
        <v>1</v>
      </c>
      <c r="F558" s="1">
        <v>42037</v>
      </c>
      <c r="G558" s="1" t="str">
        <f>TEXT(pizza_sales[[#This Row],[order_date]],"dddd")</f>
        <v>Monday</v>
      </c>
      <c r="H558" s="2">
        <v>0.55101851851851846</v>
      </c>
      <c r="I558">
        <v>20.25</v>
      </c>
      <c r="J558">
        <v>20.25</v>
      </c>
      <c r="K558" t="s">
        <v>58</v>
      </c>
      <c r="L558" t="s">
        <v>17</v>
      </c>
      <c r="M558" t="s">
        <v>18</v>
      </c>
      <c r="N558" t="s">
        <v>19</v>
      </c>
    </row>
    <row r="559" spans="1:14" x14ac:dyDescent="0.25">
      <c r="A559">
        <v>4381</v>
      </c>
      <c r="B559">
        <v>1951</v>
      </c>
      <c r="C559">
        <f>1/COUNTIF(B:B,pizza_sales[[#This Row],[order_id]])</f>
        <v>1</v>
      </c>
      <c r="D559" t="s">
        <v>25</v>
      </c>
      <c r="E559">
        <v>1</v>
      </c>
      <c r="F559" s="1">
        <v>42037</v>
      </c>
      <c r="G559" s="1" t="str">
        <f>TEXT(pizza_sales[[#This Row],[order_date]],"dddd")</f>
        <v>Monday</v>
      </c>
      <c r="H559" s="2">
        <v>0.56884259259259262</v>
      </c>
      <c r="I559">
        <v>15.25</v>
      </c>
      <c r="J559">
        <v>15.25</v>
      </c>
      <c r="K559" t="s">
        <v>58</v>
      </c>
      <c r="L559" t="s">
        <v>13</v>
      </c>
      <c r="M559" t="s">
        <v>26</v>
      </c>
      <c r="N559" t="s">
        <v>27</v>
      </c>
    </row>
    <row r="560" spans="1:14" x14ac:dyDescent="0.25">
      <c r="A560">
        <v>4383</v>
      </c>
      <c r="B560">
        <v>1952</v>
      </c>
      <c r="C560">
        <f>1/COUNTIF(B:B,pizza_sales[[#This Row],[order_id]])</f>
        <v>1</v>
      </c>
      <c r="D560" t="s">
        <v>24</v>
      </c>
      <c r="E560">
        <v>1</v>
      </c>
      <c r="F560" s="1">
        <v>42037</v>
      </c>
      <c r="G560" s="1" t="str">
        <f>TEXT(pizza_sales[[#This Row],[order_date]],"dddd")</f>
        <v>Monday</v>
      </c>
      <c r="H560" s="2">
        <v>0.57067129629629632</v>
      </c>
      <c r="I560">
        <v>20.25</v>
      </c>
      <c r="J560">
        <v>20.25</v>
      </c>
      <c r="K560" t="s">
        <v>58</v>
      </c>
      <c r="L560" t="s">
        <v>17</v>
      </c>
      <c r="M560" t="s">
        <v>18</v>
      </c>
      <c r="N560" t="s">
        <v>19</v>
      </c>
    </row>
    <row r="561" spans="1:14" x14ac:dyDescent="0.25">
      <c r="A561">
        <v>4386</v>
      </c>
      <c r="B561">
        <v>1955</v>
      </c>
      <c r="C561">
        <f>1/COUNTIF(B:B,pizza_sales[[#This Row],[order_id]])</f>
        <v>1</v>
      </c>
      <c r="D561" t="s">
        <v>20</v>
      </c>
      <c r="E561">
        <v>1</v>
      </c>
      <c r="F561" s="1">
        <v>42037</v>
      </c>
      <c r="G561" s="1" t="str">
        <f>TEXT(pizza_sales[[#This Row],[order_date]],"dddd")</f>
        <v>Monday</v>
      </c>
      <c r="H561" s="2">
        <v>0.60305555555555557</v>
      </c>
      <c r="I561">
        <v>12</v>
      </c>
      <c r="J561">
        <v>12</v>
      </c>
      <c r="K561" t="s">
        <v>60</v>
      </c>
      <c r="L561" t="s">
        <v>13</v>
      </c>
      <c r="M561" t="s">
        <v>21</v>
      </c>
      <c r="N561" t="s">
        <v>22</v>
      </c>
    </row>
    <row r="562" spans="1:14" x14ac:dyDescent="0.25">
      <c r="A562">
        <v>4387</v>
      </c>
      <c r="B562">
        <v>1956</v>
      </c>
      <c r="C562">
        <f>1/COUNTIF(B:B,pizza_sales[[#This Row],[order_id]])</f>
        <v>1</v>
      </c>
      <c r="D562" t="s">
        <v>34</v>
      </c>
      <c r="E562">
        <v>1</v>
      </c>
      <c r="F562" s="1">
        <v>42037</v>
      </c>
      <c r="G562" s="1" t="str">
        <f>TEXT(pizza_sales[[#This Row],[order_date]],"dddd")</f>
        <v>Monday</v>
      </c>
      <c r="H562" s="2">
        <v>0.60841435185185189</v>
      </c>
      <c r="I562">
        <v>16.25</v>
      </c>
      <c r="J562">
        <v>16.25</v>
      </c>
      <c r="K562" t="s">
        <v>59</v>
      </c>
      <c r="L562" t="s">
        <v>35</v>
      </c>
      <c r="M562" t="s">
        <v>36</v>
      </c>
      <c r="N562" t="s">
        <v>37</v>
      </c>
    </row>
    <row r="563" spans="1:14" x14ac:dyDescent="0.25">
      <c r="A563">
        <v>4390</v>
      </c>
      <c r="B563">
        <v>1957</v>
      </c>
      <c r="C563">
        <f>1/COUNTIF(B:B,pizza_sales[[#This Row],[order_id]])</f>
        <v>0.5</v>
      </c>
      <c r="D563" t="s">
        <v>28</v>
      </c>
      <c r="E563">
        <v>1</v>
      </c>
      <c r="F563" s="1">
        <v>42037</v>
      </c>
      <c r="G563" s="1" t="str">
        <f>TEXT(pizza_sales[[#This Row],[order_date]],"dddd")</f>
        <v>Monday</v>
      </c>
      <c r="H563" s="2">
        <v>0.61806712962962962</v>
      </c>
      <c r="I563">
        <v>12</v>
      </c>
      <c r="J563">
        <v>12</v>
      </c>
      <c r="K563" t="s">
        <v>60</v>
      </c>
      <c r="L563" t="s">
        <v>13</v>
      </c>
      <c r="M563" t="s">
        <v>29</v>
      </c>
      <c r="N563" t="s">
        <v>30</v>
      </c>
    </row>
    <row r="564" spans="1:14" x14ac:dyDescent="0.25">
      <c r="A564">
        <v>4396</v>
      </c>
      <c r="B564">
        <v>1957</v>
      </c>
      <c r="C564">
        <f>1/COUNTIF(B:B,pizza_sales[[#This Row],[order_id]])</f>
        <v>0.5</v>
      </c>
      <c r="D564" t="s">
        <v>25</v>
      </c>
      <c r="E564">
        <v>1</v>
      </c>
      <c r="F564" s="1">
        <v>42037</v>
      </c>
      <c r="G564" s="1" t="str">
        <f>TEXT(pizza_sales[[#This Row],[order_date]],"dddd")</f>
        <v>Monday</v>
      </c>
      <c r="H564" s="2">
        <v>0.61806712962962962</v>
      </c>
      <c r="I564">
        <v>15.25</v>
      </c>
      <c r="J564">
        <v>15.25</v>
      </c>
      <c r="K564" t="s">
        <v>58</v>
      </c>
      <c r="L564" t="s">
        <v>13</v>
      </c>
      <c r="M564" t="s">
        <v>26</v>
      </c>
      <c r="N564" t="s">
        <v>27</v>
      </c>
    </row>
    <row r="565" spans="1:14" x14ac:dyDescent="0.25">
      <c r="A565">
        <v>4406</v>
      </c>
      <c r="B565">
        <v>1960</v>
      </c>
      <c r="C565">
        <f>1/COUNTIF(B:B,pizza_sales[[#This Row],[order_id]])</f>
        <v>1</v>
      </c>
      <c r="D565" t="s">
        <v>42</v>
      </c>
      <c r="E565">
        <v>1</v>
      </c>
      <c r="F565" s="1">
        <v>42037</v>
      </c>
      <c r="G565" s="1" t="str">
        <f>TEXT(pizza_sales[[#This Row],[order_date]],"dddd")</f>
        <v>Monday</v>
      </c>
      <c r="H565" s="2">
        <v>0.63560185185185181</v>
      </c>
      <c r="I565">
        <v>12.5</v>
      </c>
      <c r="J565">
        <v>12.5</v>
      </c>
      <c r="K565" t="s">
        <v>59</v>
      </c>
      <c r="L565" t="s">
        <v>13</v>
      </c>
      <c r="M565" t="s">
        <v>26</v>
      </c>
      <c r="N565" t="s">
        <v>27</v>
      </c>
    </row>
    <row r="566" spans="1:14" x14ac:dyDescent="0.25">
      <c r="A566">
        <v>4407</v>
      </c>
      <c r="B566">
        <v>1961</v>
      </c>
      <c r="C566">
        <f>1/COUNTIF(B:B,pizza_sales[[#This Row],[order_id]])</f>
        <v>0.5</v>
      </c>
      <c r="D566" t="s">
        <v>28</v>
      </c>
      <c r="E566">
        <v>1</v>
      </c>
      <c r="F566" s="1">
        <v>42037</v>
      </c>
      <c r="G566" s="1" t="str">
        <f>TEXT(pizza_sales[[#This Row],[order_date]],"dddd")</f>
        <v>Monday</v>
      </c>
      <c r="H566" s="2">
        <v>0.64579861111111114</v>
      </c>
      <c r="I566">
        <v>12</v>
      </c>
      <c r="J566">
        <v>12</v>
      </c>
      <c r="K566" t="s">
        <v>60</v>
      </c>
      <c r="L566" t="s">
        <v>13</v>
      </c>
      <c r="M566" t="s">
        <v>29</v>
      </c>
      <c r="N566" t="s">
        <v>30</v>
      </c>
    </row>
    <row r="567" spans="1:14" x14ac:dyDescent="0.25">
      <c r="A567">
        <v>4408</v>
      </c>
      <c r="B567">
        <v>1961</v>
      </c>
      <c r="C567">
        <f>1/COUNTIF(B:B,pizza_sales[[#This Row],[order_id]])</f>
        <v>0.5</v>
      </c>
      <c r="D567" t="s">
        <v>24</v>
      </c>
      <c r="E567">
        <v>1</v>
      </c>
      <c r="F567" s="1">
        <v>42037</v>
      </c>
      <c r="G567" s="1" t="str">
        <f>TEXT(pizza_sales[[#This Row],[order_date]],"dddd")</f>
        <v>Monday</v>
      </c>
      <c r="H567" s="2">
        <v>0.64579861111111114</v>
      </c>
      <c r="I567">
        <v>20.25</v>
      </c>
      <c r="J567">
        <v>20.25</v>
      </c>
      <c r="K567" t="s">
        <v>58</v>
      </c>
      <c r="L567" t="s">
        <v>17</v>
      </c>
      <c r="M567" t="s">
        <v>18</v>
      </c>
      <c r="N567" t="s">
        <v>19</v>
      </c>
    </row>
    <row r="568" spans="1:14" x14ac:dyDescent="0.25">
      <c r="A568">
        <v>4410</v>
      </c>
      <c r="B568">
        <v>1963</v>
      </c>
      <c r="C568">
        <f>1/COUNTIF(B:B,pizza_sales[[#This Row],[order_id]])</f>
        <v>1</v>
      </c>
      <c r="D568" t="s">
        <v>28</v>
      </c>
      <c r="E568">
        <v>1</v>
      </c>
      <c r="F568" s="1">
        <v>42037</v>
      </c>
      <c r="G568" s="1" t="str">
        <f>TEXT(pizza_sales[[#This Row],[order_date]],"dddd")</f>
        <v>Monday</v>
      </c>
      <c r="H568" s="2">
        <v>0.66606481481481483</v>
      </c>
      <c r="I568">
        <v>12</v>
      </c>
      <c r="J568">
        <v>12</v>
      </c>
      <c r="K568" t="s">
        <v>60</v>
      </c>
      <c r="L568" t="s">
        <v>13</v>
      </c>
      <c r="M568" t="s">
        <v>29</v>
      </c>
      <c r="N568" t="s">
        <v>30</v>
      </c>
    </row>
    <row r="569" spans="1:14" x14ac:dyDescent="0.25">
      <c r="A569">
        <v>4413</v>
      </c>
      <c r="B569">
        <v>1964</v>
      </c>
      <c r="C569">
        <f>1/COUNTIF(B:B,pizza_sales[[#This Row],[order_id]])</f>
        <v>1</v>
      </c>
      <c r="D569" t="s">
        <v>48</v>
      </c>
      <c r="E569">
        <v>1</v>
      </c>
      <c r="F569" s="1">
        <v>42037</v>
      </c>
      <c r="G569" s="1" t="str">
        <f>TEXT(pizza_sales[[#This Row],[order_date]],"dddd")</f>
        <v>Monday</v>
      </c>
      <c r="H569" s="2">
        <v>0.67340277777777779</v>
      </c>
      <c r="I569">
        <v>12.25</v>
      </c>
      <c r="J569">
        <v>12.25</v>
      </c>
      <c r="K569" t="s">
        <v>60</v>
      </c>
      <c r="L569" t="s">
        <v>35</v>
      </c>
      <c r="M569" t="s">
        <v>40</v>
      </c>
      <c r="N569" t="s">
        <v>41</v>
      </c>
    </row>
    <row r="570" spans="1:14" x14ac:dyDescent="0.25">
      <c r="A570">
        <v>4418</v>
      </c>
      <c r="B570">
        <v>1965</v>
      </c>
      <c r="C570">
        <f>1/COUNTIF(B:B,pizza_sales[[#This Row],[order_id]])</f>
        <v>1</v>
      </c>
      <c r="D570" t="s">
        <v>47</v>
      </c>
      <c r="E570">
        <v>1</v>
      </c>
      <c r="F570" s="1">
        <v>42037</v>
      </c>
      <c r="G570" s="1" t="str">
        <f>TEXT(pizza_sales[[#This Row],[order_date]],"dddd")</f>
        <v>Monday</v>
      </c>
      <c r="H570" s="2">
        <v>0.67365740740740743</v>
      </c>
      <c r="I570">
        <v>16.5</v>
      </c>
      <c r="J570">
        <v>16.5</v>
      </c>
      <c r="K570" t="s">
        <v>58</v>
      </c>
      <c r="L570" t="s">
        <v>13</v>
      </c>
      <c r="M570" t="s">
        <v>14</v>
      </c>
      <c r="N570" t="s">
        <v>15</v>
      </c>
    </row>
    <row r="571" spans="1:14" x14ac:dyDescent="0.25">
      <c r="A571">
        <v>4420</v>
      </c>
      <c r="B571">
        <v>1966</v>
      </c>
      <c r="C571">
        <f>1/COUNTIF(B:B,pizza_sales[[#This Row],[order_id]])</f>
        <v>1</v>
      </c>
      <c r="D571" t="s">
        <v>43</v>
      </c>
      <c r="E571">
        <v>1</v>
      </c>
      <c r="F571" s="1">
        <v>42037</v>
      </c>
      <c r="G571" s="1" t="str">
        <f>TEXT(pizza_sales[[#This Row],[order_date]],"dddd")</f>
        <v>Monday</v>
      </c>
      <c r="H571" s="2">
        <v>0.67655092592592592</v>
      </c>
      <c r="I571">
        <v>16.25</v>
      </c>
      <c r="J571">
        <v>16.25</v>
      </c>
      <c r="K571" t="s">
        <v>59</v>
      </c>
      <c r="L571" t="s">
        <v>35</v>
      </c>
      <c r="M571" t="s">
        <v>40</v>
      </c>
      <c r="N571" t="s">
        <v>41</v>
      </c>
    </row>
    <row r="572" spans="1:14" x14ac:dyDescent="0.25">
      <c r="A572">
        <v>4424</v>
      </c>
      <c r="B572">
        <v>1967</v>
      </c>
      <c r="C572">
        <f>1/COUNTIF(B:B,pizza_sales[[#This Row],[order_id]])</f>
        <v>1</v>
      </c>
      <c r="D572" t="s">
        <v>45</v>
      </c>
      <c r="E572">
        <v>1</v>
      </c>
      <c r="F572" s="1">
        <v>42037</v>
      </c>
      <c r="G572" s="1" t="str">
        <f>TEXT(pizza_sales[[#This Row],[order_date]],"dddd")</f>
        <v>Monday</v>
      </c>
      <c r="H572" s="2">
        <v>0.69563657407407409</v>
      </c>
      <c r="I572">
        <v>10.5</v>
      </c>
      <c r="J572">
        <v>10.5</v>
      </c>
      <c r="K572" t="s">
        <v>60</v>
      </c>
      <c r="L572" t="s">
        <v>13</v>
      </c>
      <c r="M572" t="s">
        <v>14</v>
      </c>
      <c r="N572" t="s">
        <v>15</v>
      </c>
    </row>
    <row r="573" spans="1:14" x14ac:dyDescent="0.25">
      <c r="A573">
        <v>4428</v>
      </c>
      <c r="B573">
        <v>1968</v>
      </c>
      <c r="C573">
        <f>1/COUNTIF(B:B,pizza_sales[[#This Row],[order_id]])</f>
        <v>0.5</v>
      </c>
      <c r="D573" t="s">
        <v>28</v>
      </c>
      <c r="E573">
        <v>1</v>
      </c>
      <c r="F573" s="1">
        <v>42037</v>
      </c>
      <c r="G573" s="1" t="str">
        <f>TEXT(pizza_sales[[#This Row],[order_date]],"dddd")</f>
        <v>Monday</v>
      </c>
      <c r="H573" s="2">
        <v>0.70741898148148152</v>
      </c>
      <c r="I573">
        <v>12</v>
      </c>
      <c r="J573">
        <v>12</v>
      </c>
      <c r="K573" t="s">
        <v>60</v>
      </c>
      <c r="L573" t="s">
        <v>13</v>
      </c>
      <c r="M573" t="s">
        <v>29</v>
      </c>
      <c r="N573" t="s">
        <v>30</v>
      </c>
    </row>
    <row r="574" spans="1:14" x14ac:dyDescent="0.25">
      <c r="A574">
        <v>4429</v>
      </c>
      <c r="B574">
        <v>1968</v>
      </c>
      <c r="C574">
        <f>1/COUNTIF(B:B,pizza_sales[[#This Row],[order_id]])</f>
        <v>0.5</v>
      </c>
      <c r="D574" t="s">
        <v>51</v>
      </c>
      <c r="E574">
        <v>1</v>
      </c>
      <c r="F574" s="1">
        <v>42037</v>
      </c>
      <c r="G574" s="1" t="str">
        <f>TEXT(pizza_sales[[#This Row],[order_date]],"dddd")</f>
        <v>Monday</v>
      </c>
      <c r="H574" s="2">
        <v>0.70741898148148152</v>
      </c>
      <c r="I574">
        <v>23.65</v>
      </c>
      <c r="J574">
        <v>23.65</v>
      </c>
      <c r="K574" t="s">
        <v>60</v>
      </c>
      <c r="L574" t="s">
        <v>35</v>
      </c>
      <c r="M574" t="s">
        <v>52</v>
      </c>
      <c r="N574" t="s">
        <v>53</v>
      </c>
    </row>
    <row r="575" spans="1:14" x14ac:dyDescent="0.25">
      <c r="A575">
        <v>4431</v>
      </c>
      <c r="B575">
        <v>1969</v>
      </c>
      <c r="C575">
        <f>1/COUNTIF(B:B,pizza_sales[[#This Row],[order_id]])</f>
        <v>1</v>
      </c>
      <c r="D575" t="s">
        <v>45</v>
      </c>
      <c r="E575">
        <v>1</v>
      </c>
      <c r="F575" s="1">
        <v>42037</v>
      </c>
      <c r="G575" s="1" t="str">
        <f>TEXT(pizza_sales[[#This Row],[order_date]],"dddd")</f>
        <v>Monday</v>
      </c>
      <c r="H575" s="2">
        <v>0.71577546296296302</v>
      </c>
      <c r="I575">
        <v>10.5</v>
      </c>
      <c r="J575">
        <v>10.5</v>
      </c>
      <c r="K575" t="s">
        <v>60</v>
      </c>
      <c r="L575" t="s">
        <v>13</v>
      </c>
      <c r="M575" t="s">
        <v>14</v>
      </c>
      <c r="N575" t="s">
        <v>15</v>
      </c>
    </row>
    <row r="576" spans="1:14" x14ac:dyDescent="0.25">
      <c r="A576">
        <v>4435</v>
      </c>
      <c r="B576">
        <v>1972</v>
      </c>
      <c r="C576">
        <f>1/COUNTIF(B:B,pizza_sales[[#This Row],[order_id]])</f>
        <v>0.33333333333333331</v>
      </c>
      <c r="D576" t="s">
        <v>34</v>
      </c>
      <c r="E576">
        <v>1</v>
      </c>
      <c r="F576" s="1">
        <v>42037</v>
      </c>
      <c r="G576" s="1" t="str">
        <f>TEXT(pizza_sales[[#This Row],[order_date]],"dddd")</f>
        <v>Monday</v>
      </c>
      <c r="H576" s="2">
        <v>0.73297453703703708</v>
      </c>
      <c r="I576">
        <v>16.25</v>
      </c>
      <c r="J576">
        <v>16.25</v>
      </c>
      <c r="K576" t="s">
        <v>59</v>
      </c>
      <c r="L576" t="s">
        <v>35</v>
      </c>
      <c r="M576" t="s">
        <v>36</v>
      </c>
      <c r="N576" t="s">
        <v>37</v>
      </c>
    </row>
    <row r="577" spans="1:14" x14ac:dyDescent="0.25">
      <c r="A577">
        <v>4436</v>
      </c>
      <c r="B577">
        <v>1972</v>
      </c>
      <c r="C577">
        <f>1/COUNTIF(B:B,pizza_sales[[#This Row],[order_id]])</f>
        <v>0.33333333333333331</v>
      </c>
      <c r="D577" t="s">
        <v>16</v>
      </c>
      <c r="E577">
        <v>1</v>
      </c>
      <c r="F577" s="1">
        <v>42037</v>
      </c>
      <c r="G577" s="1" t="str">
        <f>TEXT(pizza_sales[[#This Row],[order_date]],"dddd")</f>
        <v>Monday</v>
      </c>
      <c r="H577" s="2">
        <v>0.73297453703703708</v>
      </c>
      <c r="I577">
        <v>16</v>
      </c>
      <c r="J577">
        <v>16</v>
      </c>
      <c r="K577" t="s">
        <v>59</v>
      </c>
      <c r="L577" t="s">
        <v>17</v>
      </c>
      <c r="M577" t="s">
        <v>18</v>
      </c>
      <c r="N577" t="s">
        <v>19</v>
      </c>
    </row>
    <row r="578" spans="1:14" x14ac:dyDescent="0.25">
      <c r="A578">
        <v>4437</v>
      </c>
      <c r="B578">
        <v>1972</v>
      </c>
      <c r="C578">
        <f>1/COUNTIF(B:B,pizza_sales[[#This Row],[order_id]])</f>
        <v>0.33333333333333331</v>
      </c>
      <c r="D578" t="s">
        <v>42</v>
      </c>
      <c r="E578">
        <v>1</v>
      </c>
      <c r="F578" s="1">
        <v>42037</v>
      </c>
      <c r="G578" s="1" t="str">
        <f>TEXT(pizza_sales[[#This Row],[order_date]],"dddd")</f>
        <v>Monday</v>
      </c>
      <c r="H578" s="2">
        <v>0.73297453703703708</v>
      </c>
      <c r="I578">
        <v>12.5</v>
      </c>
      <c r="J578">
        <v>12.5</v>
      </c>
      <c r="K578" t="s">
        <v>59</v>
      </c>
      <c r="L578" t="s">
        <v>13</v>
      </c>
      <c r="M578" t="s">
        <v>26</v>
      </c>
      <c r="N578" t="s">
        <v>27</v>
      </c>
    </row>
    <row r="579" spans="1:14" x14ac:dyDescent="0.25">
      <c r="A579">
        <v>4440</v>
      </c>
      <c r="B579">
        <v>1974</v>
      </c>
      <c r="C579">
        <f>1/COUNTIF(B:B,pizza_sales[[#This Row],[order_id]])</f>
        <v>1</v>
      </c>
      <c r="D579" t="s">
        <v>28</v>
      </c>
      <c r="E579">
        <v>1</v>
      </c>
      <c r="F579" s="1">
        <v>42037</v>
      </c>
      <c r="G579" s="1" t="str">
        <f>TEXT(pizza_sales[[#This Row],[order_date]],"dddd")</f>
        <v>Monday</v>
      </c>
      <c r="H579" s="2">
        <v>0.7427893518518518</v>
      </c>
      <c r="I579">
        <v>12</v>
      </c>
      <c r="J579">
        <v>12</v>
      </c>
      <c r="K579" t="s">
        <v>60</v>
      </c>
      <c r="L579" t="s">
        <v>13</v>
      </c>
      <c r="M579" t="s">
        <v>29</v>
      </c>
      <c r="N579" t="s">
        <v>30</v>
      </c>
    </row>
    <row r="580" spans="1:14" x14ac:dyDescent="0.25">
      <c r="A580">
        <v>4444</v>
      </c>
      <c r="B580">
        <v>1975</v>
      </c>
      <c r="C580">
        <f>1/COUNTIF(B:B,pizza_sales[[#This Row],[order_id]])</f>
        <v>1</v>
      </c>
      <c r="D580" t="s">
        <v>44</v>
      </c>
      <c r="E580">
        <v>1</v>
      </c>
      <c r="F580" s="1">
        <v>42037</v>
      </c>
      <c r="G580" s="1" t="str">
        <f>TEXT(pizza_sales[[#This Row],[order_date]],"dddd")</f>
        <v>Monday</v>
      </c>
      <c r="H580" s="2">
        <v>0.75525462962962964</v>
      </c>
      <c r="I580">
        <v>9.75</v>
      </c>
      <c r="J580">
        <v>9.75</v>
      </c>
      <c r="K580" t="s">
        <v>60</v>
      </c>
      <c r="L580" t="s">
        <v>13</v>
      </c>
      <c r="M580" t="s">
        <v>26</v>
      </c>
      <c r="N580" t="s">
        <v>27</v>
      </c>
    </row>
    <row r="581" spans="1:14" x14ac:dyDescent="0.25">
      <c r="A581">
        <v>4449</v>
      </c>
      <c r="B581">
        <v>1978</v>
      </c>
      <c r="C581">
        <f>1/COUNTIF(B:B,pizza_sales[[#This Row],[order_id]])</f>
        <v>1</v>
      </c>
      <c r="D581" t="s">
        <v>42</v>
      </c>
      <c r="E581">
        <v>1</v>
      </c>
      <c r="F581" s="1">
        <v>42037</v>
      </c>
      <c r="G581" s="1" t="str">
        <f>TEXT(pizza_sales[[#This Row],[order_date]],"dddd")</f>
        <v>Monday</v>
      </c>
      <c r="H581" s="2">
        <v>0.79407407407407404</v>
      </c>
      <c r="I581">
        <v>12.5</v>
      </c>
      <c r="J581">
        <v>12.5</v>
      </c>
      <c r="K581" t="s">
        <v>59</v>
      </c>
      <c r="L581" t="s">
        <v>13</v>
      </c>
      <c r="M581" t="s">
        <v>26</v>
      </c>
      <c r="N581" t="s">
        <v>27</v>
      </c>
    </row>
    <row r="582" spans="1:14" x14ac:dyDescent="0.25">
      <c r="A582">
        <v>4450</v>
      </c>
      <c r="B582">
        <v>1979</v>
      </c>
      <c r="C582">
        <f>1/COUNTIF(B:B,pizza_sales[[#This Row],[order_id]])</f>
        <v>1</v>
      </c>
      <c r="D582" t="s">
        <v>49</v>
      </c>
      <c r="E582">
        <v>1</v>
      </c>
      <c r="F582" s="1">
        <v>42037</v>
      </c>
      <c r="G582" s="1" t="str">
        <f>TEXT(pizza_sales[[#This Row],[order_date]],"dddd")</f>
        <v>Monday</v>
      </c>
      <c r="H582" s="2">
        <v>0.79540509259259262</v>
      </c>
      <c r="I582">
        <v>16</v>
      </c>
      <c r="J582">
        <v>16</v>
      </c>
      <c r="K582" t="s">
        <v>59</v>
      </c>
      <c r="L582" t="s">
        <v>13</v>
      </c>
      <c r="M582" t="s">
        <v>21</v>
      </c>
      <c r="N582" t="s">
        <v>22</v>
      </c>
    </row>
    <row r="583" spans="1:14" x14ac:dyDescent="0.25">
      <c r="A583">
        <v>4453</v>
      </c>
      <c r="B583">
        <v>1981</v>
      </c>
      <c r="C583">
        <f>1/COUNTIF(B:B,pizza_sales[[#This Row],[order_id]])</f>
        <v>1</v>
      </c>
      <c r="D583" t="s">
        <v>47</v>
      </c>
      <c r="E583">
        <v>1</v>
      </c>
      <c r="F583" s="1">
        <v>42037</v>
      </c>
      <c r="G583" s="1" t="str">
        <f>TEXT(pizza_sales[[#This Row],[order_date]],"dddd")</f>
        <v>Monday</v>
      </c>
      <c r="H583" s="2">
        <v>0.79907407407407405</v>
      </c>
      <c r="I583">
        <v>16.5</v>
      </c>
      <c r="J583">
        <v>16.5</v>
      </c>
      <c r="K583" t="s">
        <v>58</v>
      </c>
      <c r="L583" t="s">
        <v>13</v>
      </c>
      <c r="M583" t="s">
        <v>14</v>
      </c>
      <c r="N583" t="s">
        <v>15</v>
      </c>
    </row>
    <row r="584" spans="1:14" x14ac:dyDescent="0.25">
      <c r="A584">
        <v>4456</v>
      </c>
      <c r="B584">
        <v>1982</v>
      </c>
      <c r="C584">
        <f>1/COUNTIF(B:B,pizza_sales[[#This Row],[order_id]])</f>
        <v>1</v>
      </c>
      <c r="D584" t="s">
        <v>42</v>
      </c>
      <c r="E584">
        <v>1</v>
      </c>
      <c r="F584" s="1">
        <v>42037</v>
      </c>
      <c r="G584" s="1" t="str">
        <f>TEXT(pizza_sales[[#This Row],[order_date]],"dddd")</f>
        <v>Monday</v>
      </c>
      <c r="H584" s="2">
        <v>0.81696759259259255</v>
      </c>
      <c r="I584">
        <v>12.5</v>
      </c>
      <c r="J584">
        <v>12.5</v>
      </c>
      <c r="K584" t="s">
        <v>59</v>
      </c>
      <c r="L584" t="s">
        <v>13</v>
      </c>
      <c r="M584" t="s">
        <v>26</v>
      </c>
      <c r="N584" t="s">
        <v>27</v>
      </c>
    </row>
    <row r="585" spans="1:14" x14ac:dyDescent="0.25">
      <c r="A585">
        <v>4458</v>
      </c>
      <c r="B585">
        <v>1984</v>
      </c>
      <c r="C585">
        <f>1/COUNTIF(B:B,pizza_sales[[#This Row],[order_id]])</f>
        <v>1</v>
      </c>
      <c r="D585" t="s">
        <v>28</v>
      </c>
      <c r="E585">
        <v>1</v>
      </c>
      <c r="F585" s="1">
        <v>42037</v>
      </c>
      <c r="G585" s="1" t="str">
        <f>TEXT(pizza_sales[[#This Row],[order_date]],"dddd")</f>
        <v>Monday</v>
      </c>
      <c r="H585" s="2">
        <v>0.8265393518518519</v>
      </c>
      <c r="I585">
        <v>12</v>
      </c>
      <c r="J585">
        <v>12</v>
      </c>
      <c r="K585" t="s">
        <v>60</v>
      </c>
      <c r="L585" t="s">
        <v>13</v>
      </c>
      <c r="M585" t="s">
        <v>29</v>
      </c>
      <c r="N585" t="s">
        <v>30</v>
      </c>
    </row>
    <row r="586" spans="1:14" x14ac:dyDescent="0.25">
      <c r="A586">
        <v>4463</v>
      </c>
      <c r="B586">
        <v>1986</v>
      </c>
      <c r="C586">
        <f>1/COUNTIF(B:B,pizza_sales[[#This Row],[order_id]])</f>
        <v>1</v>
      </c>
      <c r="D586" t="s">
        <v>38</v>
      </c>
      <c r="E586">
        <v>1</v>
      </c>
      <c r="F586" s="1">
        <v>42037</v>
      </c>
      <c r="G586" s="1" t="str">
        <f>TEXT(pizza_sales[[#This Row],[order_date]],"dddd")</f>
        <v>Monday</v>
      </c>
      <c r="H586" s="2">
        <v>0.83839120370370368</v>
      </c>
      <c r="I586">
        <v>20.5</v>
      </c>
      <c r="J586">
        <v>20.5</v>
      </c>
      <c r="K586" t="s">
        <v>58</v>
      </c>
      <c r="L586" t="s">
        <v>13</v>
      </c>
      <c r="M586" t="s">
        <v>32</v>
      </c>
      <c r="N586" t="s">
        <v>33</v>
      </c>
    </row>
    <row r="587" spans="1:14" x14ac:dyDescent="0.25">
      <c r="A587">
        <v>4466</v>
      </c>
      <c r="B587">
        <v>1987</v>
      </c>
      <c r="C587">
        <f>1/COUNTIF(B:B,pizza_sales[[#This Row],[order_id]])</f>
        <v>1</v>
      </c>
      <c r="D587" t="s">
        <v>34</v>
      </c>
      <c r="E587">
        <v>1</v>
      </c>
      <c r="F587" s="1">
        <v>42037</v>
      </c>
      <c r="G587" s="1" t="str">
        <f>TEXT(pizza_sales[[#This Row],[order_date]],"dddd")</f>
        <v>Monday</v>
      </c>
      <c r="H587" s="2">
        <v>0.84020833333333333</v>
      </c>
      <c r="I587">
        <v>16.25</v>
      </c>
      <c r="J587">
        <v>16.25</v>
      </c>
      <c r="K587" t="s">
        <v>59</v>
      </c>
      <c r="L587" t="s">
        <v>35</v>
      </c>
      <c r="M587" t="s">
        <v>36</v>
      </c>
      <c r="N587" t="s">
        <v>37</v>
      </c>
    </row>
    <row r="588" spans="1:14" x14ac:dyDescent="0.25">
      <c r="A588">
        <v>4474</v>
      </c>
      <c r="B588">
        <v>1990</v>
      </c>
      <c r="C588">
        <f>1/COUNTIF(B:B,pizza_sales[[#This Row],[order_id]])</f>
        <v>0.5</v>
      </c>
      <c r="D588" t="s">
        <v>34</v>
      </c>
      <c r="E588">
        <v>1</v>
      </c>
      <c r="F588" s="1">
        <v>42037</v>
      </c>
      <c r="G588" s="1" t="str">
        <f>TEXT(pizza_sales[[#This Row],[order_date]],"dddd")</f>
        <v>Monday</v>
      </c>
      <c r="H588" s="2">
        <v>0.89068287037037042</v>
      </c>
      <c r="I588">
        <v>16.25</v>
      </c>
      <c r="J588">
        <v>16.25</v>
      </c>
      <c r="K588" t="s">
        <v>59</v>
      </c>
      <c r="L588" t="s">
        <v>35</v>
      </c>
      <c r="M588" t="s">
        <v>36</v>
      </c>
      <c r="N588" t="s">
        <v>37</v>
      </c>
    </row>
    <row r="589" spans="1:14" x14ac:dyDescent="0.25">
      <c r="A589">
        <v>4475</v>
      </c>
      <c r="B589">
        <v>1990</v>
      </c>
      <c r="C589">
        <f>1/COUNTIF(B:B,pizza_sales[[#This Row],[order_id]])</f>
        <v>0.5</v>
      </c>
      <c r="D589" t="s">
        <v>47</v>
      </c>
      <c r="E589">
        <v>1</v>
      </c>
      <c r="F589" s="1">
        <v>42037</v>
      </c>
      <c r="G589" s="1" t="str">
        <f>TEXT(pizza_sales[[#This Row],[order_date]],"dddd")</f>
        <v>Monday</v>
      </c>
      <c r="H589" s="2">
        <v>0.89068287037037042</v>
      </c>
      <c r="I589">
        <v>16.5</v>
      </c>
      <c r="J589">
        <v>16.5</v>
      </c>
      <c r="K589" t="s">
        <v>58</v>
      </c>
      <c r="L589" t="s">
        <v>13</v>
      </c>
      <c r="M589" t="s">
        <v>14</v>
      </c>
      <c r="N589" t="s">
        <v>15</v>
      </c>
    </row>
    <row r="590" spans="1:14" x14ac:dyDescent="0.25">
      <c r="A590">
        <v>4481</v>
      </c>
      <c r="B590">
        <v>1994</v>
      </c>
      <c r="C590">
        <f>1/COUNTIF(B:B,pizza_sales[[#This Row],[order_id]])</f>
        <v>1</v>
      </c>
      <c r="D590" t="s">
        <v>45</v>
      </c>
      <c r="E590">
        <v>1</v>
      </c>
      <c r="F590" s="1">
        <v>42037</v>
      </c>
      <c r="G590" s="1" t="str">
        <f>TEXT(pizza_sales[[#This Row],[order_date]],"dddd")</f>
        <v>Monday</v>
      </c>
      <c r="H590" s="2">
        <v>0.922337962962963</v>
      </c>
      <c r="I590">
        <v>10.5</v>
      </c>
      <c r="J590">
        <v>10.5</v>
      </c>
      <c r="K590" t="s">
        <v>60</v>
      </c>
      <c r="L590" t="s">
        <v>13</v>
      </c>
      <c r="M590" t="s">
        <v>14</v>
      </c>
      <c r="N590" t="s">
        <v>15</v>
      </c>
    </row>
    <row r="591" spans="1:14" x14ac:dyDescent="0.25">
      <c r="A591">
        <v>4485</v>
      </c>
      <c r="B591">
        <v>1995</v>
      </c>
      <c r="C591">
        <f>1/COUNTIF(B:B,pizza_sales[[#This Row],[order_id]])</f>
        <v>1</v>
      </c>
      <c r="D591" t="s">
        <v>34</v>
      </c>
      <c r="E591">
        <v>1</v>
      </c>
      <c r="F591" s="1">
        <v>42037</v>
      </c>
      <c r="G591" s="1" t="str">
        <f>TEXT(pizza_sales[[#This Row],[order_date]],"dddd")</f>
        <v>Monday</v>
      </c>
      <c r="H591" s="2">
        <v>0.93024305555555553</v>
      </c>
      <c r="I591">
        <v>16.25</v>
      </c>
      <c r="J591">
        <v>16.25</v>
      </c>
      <c r="K591" t="s">
        <v>59</v>
      </c>
      <c r="L591" t="s">
        <v>35</v>
      </c>
      <c r="M591" t="s">
        <v>36</v>
      </c>
      <c r="N591" t="s">
        <v>37</v>
      </c>
    </row>
    <row r="592" spans="1:14" x14ac:dyDescent="0.25">
      <c r="A592">
        <v>4490</v>
      </c>
      <c r="B592">
        <v>1996</v>
      </c>
      <c r="C592">
        <f>1/COUNTIF(B:B,pizza_sales[[#This Row],[order_id]])</f>
        <v>1</v>
      </c>
      <c r="D592" t="s">
        <v>48</v>
      </c>
      <c r="E592">
        <v>1</v>
      </c>
      <c r="F592" s="1">
        <v>42065</v>
      </c>
      <c r="G592" s="1" t="str">
        <f>TEXT(pizza_sales[[#This Row],[order_date]],"dddd")</f>
        <v>Monday</v>
      </c>
      <c r="H592" s="2">
        <v>0.47598379629629628</v>
      </c>
      <c r="I592">
        <v>12.25</v>
      </c>
      <c r="J592">
        <v>12.25</v>
      </c>
      <c r="K592" t="s">
        <v>60</v>
      </c>
      <c r="L592" t="s">
        <v>35</v>
      </c>
      <c r="M592" t="s">
        <v>40</v>
      </c>
      <c r="N592" t="s">
        <v>41</v>
      </c>
    </row>
    <row r="593" spans="1:14" x14ac:dyDescent="0.25">
      <c r="A593">
        <v>4493</v>
      </c>
      <c r="B593">
        <v>1999</v>
      </c>
      <c r="C593">
        <f>1/COUNTIF(B:B,pizza_sales[[#This Row],[order_id]])</f>
        <v>0.25</v>
      </c>
      <c r="D593" t="s">
        <v>28</v>
      </c>
      <c r="E593">
        <v>1</v>
      </c>
      <c r="F593" s="1">
        <v>42065</v>
      </c>
      <c r="G593" s="1" t="str">
        <f>TEXT(pizza_sales[[#This Row],[order_date]],"dddd")</f>
        <v>Monday</v>
      </c>
      <c r="H593" s="2">
        <v>0.50545138888888885</v>
      </c>
      <c r="I593">
        <v>12</v>
      </c>
      <c r="J593">
        <v>12</v>
      </c>
      <c r="K593" t="s">
        <v>60</v>
      </c>
      <c r="L593" t="s">
        <v>13</v>
      </c>
      <c r="M593" t="s">
        <v>29</v>
      </c>
      <c r="N593" t="s">
        <v>30</v>
      </c>
    </row>
    <row r="594" spans="1:14" x14ac:dyDescent="0.25">
      <c r="A594">
        <v>4494</v>
      </c>
      <c r="B594">
        <v>1999</v>
      </c>
      <c r="C594">
        <f>1/COUNTIF(B:B,pizza_sales[[#This Row],[order_id]])</f>
        <v>0.25</v>
      </c>
      <c r="D594" t="s">
        <v>56</v>
      </c>
      <c r="E594">
        <v>1</v>
      </c>
      <c r="F594" s="1">
        <v>42065</v>
      </c>
      <c r="G594" s="1" t="str">
        <f>TEXT(pizza_sales[[#This Row],[order_date]],"dddd")</f>
        <v>Monday</v>
      </c>
      <c r="H594" s="2">
        <v>0.50545138888888885</v>
      </c>
      <c r="I594">
        <v>20.25</v>
      </c>
      <c r="J594">
        <v>20.25</v>
      </c>
      <c r="K594" t="s">
        <v>58</v>
      </c>
      <c r="L594" t="s">
        <v>35</v>
      </c>
      <c r="M594" t="s">
        <v>36</v>
      </c>
      <c r="N594" t="s">
        <v>37</v>
      </c>
    </row>
    <row r="595" spans="1:14" x14ac:dyDescent="0.25">
      <c r="A595">
        <v>4495</v>
      </c>
      <c r="B595">
        <v>1999</v>
      </c>
      <c r="C595">
        <f>1/COUNTIF(B:B,pizza_sales[[#This Row],[order_id]])</f>
        <v>0.25</v>
      </c>
      <c r="D595" t="s">
        <v>34</v>
      </c>
      <c r="E595">
        <v>1</v>
      </c>
      <c r="F595" s="1">
        <v>42065</v>
      </c>
      <c r="G595" s="1" t="str">
        <f>TEXT(pizza_sales[[#This Row],[order_date]],"dddd")</f>
        <v>Monday</v>
      </c>
      <c r="H595" s="2">
        <v>0.50545138888888885</v>
      </c>
      <c r="I595">
        <v>16.25</v>
      </c>
      <c r="J595">
        <v>16.25</v>
      </c>
      <c r="K595" t="s">
        <v>59</v>
      </c>
      <c r="L595" t="s">
        <v>35</v>
      </c>
      <c r="M595" t="s">
        <v>36</v>
      </c>
      <c r="N595" t="s">
        <v>37</v>
      </c>
    </row>
    <row r="596" spans="1:14" x14ac:dyDescent="0.25">
      <c r="A596">
        <v>4499</v>
      </c>
      <c r="B596">
        <v>1999</v>
      </c>
      <c r="C596">
        <f>1/COUNTIF(B:B,pizza_sales[[#This Row],[order_id]])</f>
        <v>0.25</v>
      </c>
      <c r="D596" t="s">
        <v>38</v>
      </c>
      <c r="E596">
        <v>1</v>
      </c>
      <c r="F596" s="1">
        <v>42065</v>
      </c>
      <c r="G596" s="1" t="str">
        <f>TEXT(pizza_sales[[#This Row],[order_date]],"dddd")</f>
        <v>Monday</v>
      </c>
      <c r="H596" s="2">
        <v>0.50545138888888885</v>
      </c>
      <c r="I596">
        <v>20.5</v>
      </c>
      <c r="J596">
        <v>20.5</v>
      </c>
      <c r="K596" t="s">
        <v>58</v>
      </c>
      <c r="L596" t="s">
        <v>13</v>
      </c>
      <c r="M596" t="s">
        <v>32</v>
      </c>
      <c r="N596" t="s">
        <v>33</v>
      </c>
    </row>
    <row r="597" spans="1:14" x14ac:dyDescent="0.25">
      <c r="A597">
        <v>4504</v>
      </c>
      <c r="B597">
        <v>2000</v>
      </c>
      <c r="C597">
        <f>1/COUNTIF(B:B,pizza_sales[[#This Row],[order_id]])</f>
        <v>0.33333333333333331</v>
      </c>
      <c r="D597" t="s">
        <v>28</v>
      </c>
      <c r="E597">
        <v>2</v>
      </c>
      <c r="F597" s="1">
        <v>42065</v>
      </c>
      <c r="G597" s="1" t="str">
        <f>TEXT(pizza_sales[[#This Row],[order_date]],"dddd")</f>
        <v>Monday</v>
      </c>
      <c r="H597" s="2">
        <v>0.51003472222222224</v>
      </c>
      <c r="I597">
        <v>12</v>
      </c>
      <c r="J597">
        <v>24</v>
      </c>
      <c r="K597" t="s">
        <v>60</v>
      </c>
      <c r="L597" t="s">
        <v>13</v>
      </c>
      <c r="M597" t="s">
        <v>29</v>
      </c>
      <c r="N597" t="s">
        <v>30</v>
      </c>
    </row>
    <row r="598" spans="1:14" x14ac:dyDescent="0.25">
      <c r="A598">
        <v>4505</v>
      </c>
      <c r="B598">
        <v>2000</v>
      </c>
      <c r="C598">
        <f>1/COUNTIF(B:B,pizza_sales[[#This Row],[order_id]])</f>
        <v>0.33333333333333331</v>
      </c>
      <c r="D598" t="s">
        <v>34</v>
      </c>
      <c r="E598">
        <v>1</v>
      </c>
      <c r="F598" s="1">
        <v>42065</v>
      </c>
      <c r="G598" s="1" t="str">
        <f>TEXT(pizza_sales[[#This Row],[order_date]],"dddd")</f>
        <v>Monday</v>
      </c>
      <c r="H598" s="2">
        <v>0.51003472222222224</v>
      </c>
      <c r="I598">
        <v>16.25</v>
      </c>
      <c r="J598">
        <v>16.25</v>
      </c>
      <c r="K598" t="s">
        <v>59</v>
      </c>
      <c r="L598" t="s">
        <v>35</v>
      </c>
      <c r="M598" t="s">
        <v>36</v>
      </c>
      <c r="N598" t="s">
        <v>37</v>
      </c>
    </row>
    <row r="599" spans="1:14" x14ac:dyDescent="0.25">
      <c r="A599">
        <v>4508</v>
      </c>
      <c r="B599">
        <v>2000</v>
      </c>
      <c r="C599">
        <f>1/COUNTIF(B:B,pizza_sales[[#This Row],[order_id]])</f>
        <v>0.33333333333333331</v>
      </c>
      <c r="D599" t="s">
        <v>44</v>
      </c>
      <c r="E599">
        <v>2</v>
      </c>
      <c r="F599" s="1">
        <v>42065</v>
      </c>
      <c r="G599" s="1" t="str">
        <f>TEXT(pizza_sales[[#This Row],[order_date]],"dddd")</f>
        <v>Monday</v>
      </c>
      <c r="H599" s="2">
        <v>0.51003472222222224</v>
      </c>
      <c r="I599">
        <v>9.75</v>
      </c>
      <c r="J599">
        <v>19.5</v>
      </c>
      <c r="K599" t="s">
        <v>60</v>
      </c>
      <c r="L599" t="s">
        <v>13</v>
      </c>
      <c r="M599" t="s">
        <v>26</v>
      </c>
      <c r="N599" t="s">
        <v>27</v>
      </c>
    </row>
    <row r="600" spans="1:14" x14ac:dyDescent="0.25">
      <c r="A600">
        <v>4514</v>
      </c>
      <c r="B600">
        <v>2001</v>
      </c>
      <c r="C600">
        <f>1/COUNTIF(B:B,pizza_sales[[#This Row],[order_id]])</f>
        <v>0.5</v>
      </c>
      <c r="D600" t="s">
        <v>34</v>
      </c>
      <c r="E600">
        <v>1</v>
      </c>
      <c r="F600" s="1">
        <v>42065</v>
      </c>
      <c r="G600" s="1" t="str">
        <f>TEXT(pizza_sales[[#This Row],[order_date]],"dddd")</f>
        <v>Monday</v>
      </c>
      <c r="H600" s="2">
        <v>0.51440972222222225</v>
      </c>
      <c r="I600">
        <v>16.25</v>
      </c>
      <c r="J600">
        <v>16.25</v>
      </c>
      <c r="K600" t="s">
        <v>59</v>
      </c>
      <c r="L600" t="s">
        <v>35</v>
      </c>
      <c r="M600" t="s">
        <v>36</v>
      </c>
      <c r="N600" t="s">
        <v>37</v>
      </c>
    </row>
    <row r="601" spans="1:14" x14ac:dyDescent="0.25">
      <c r="A601">
        <v>4515</v>
      </c>
      <c r="B601">
        <v>2001</v>
      </c>
      <c r="C601">
        <f>1/COUNTIF(B:B,pizza_sales[[#This Row],[order_id]])</f>
        <v>0.5</v>
      </c>
      <c r="D601" t="s">
        <v>54</v>
      </c>
      <c r="E601">
        <v>1</v>
      </c>
      <c r="F601" s="1">
        <v>42065</v>
      </c>
      <c r="G601" s="1" t="str">
        <f>TEXT(pizza_sales[[#This Row],[order_date]],"dddd")</f>
        <v>Monday</v>
      </c>
      <c r="H601" s="2">
        <v>0.51440972222222225</v>
      </c>
      <c r="I601">
        <v>12.25</v>
      </c>
      <c r="J601">
        <v>12.25</v>
      </c>
      <c r="K601" t="s">
        <v>60</v>
      </c>
      <c r="L601" t="s">
        <v>35</v>
      </c>
      <c r="M601" t="s">
        <v>36</v>
      </c>
      <c r="N601" t="s">
        <v>37</v>
      </c>
    </row>
    <row r="602" spans="1:14" x14ac:dyDescent="0.25">
      <c r="A602">
        <v>4518</v>
      </c>
      <c r="B602">
        <v>2002</v>
      </c>
      <c r="C602">
        <f>1/COUNTIF(B:B,pizza_sales[[#This Row],[order_id]])</f>
        <v>1</v>
      </c>
      <c r="D602" t="s">
        <v>28</v>
      </c>
      <c r="E602">
        <v>1</v>
      </c>
      <c r="F602" s="1">
        <v>42065</v>
      </c>
      <c r="G602" s="1" t="str">
        <f>TEXT(pizza_sales[[#This Row],[order_date]],"dddd")</f>
        <v>Monday</v>
      </c>
      <c r="H602" s="2">
        <v>0.51469907407407411</v>
      </c>
      <c r="I602">
        <v>12</v>
      </c>
      <c r="J602">
        <v>12</v>
      </c>
      <c r="K602" t="s">
        <v>60</v>
      </c>
      <c r="L602" t="s">
        <v>13</v>
      </c>
      <c r="M602" t="s">
        <v>29</v>
      </c>
      <c r="N602" t="s">
        <v>30</v>
      </c>
    </row>
    <row r="603" spans="1:14" x14ac:dyDescent="0.25">
      <c r="A603">
        <v>4531</v>
      </c>
      <c r="B603">
        <v>2006</v>
      </c>
      <c r="C603">
        <f>1/COUNTIF(B:B,pizza_sales[[#This Row],[order_id]])</f>
        <v>1</v>
      </c>
      <c r="D603" t="s">
        <v>12</v>
      </c>
      <c r="E603">
        <v>1</v>
      </c>
      <c r="F603" s="1">
        <v>42065</v>
      </c>
      <c r="G603" s="1" t="str">
        <f>TEXT(pizza_sales[[#This Row],[order_date]],"dddd")</f>
        <v>Monday</v>
      </c>
      <c r="H603" s="2">
        <v>0.52462962962962967</v>
      </c>
      <c r="I603">
        <v>13.25</v>
      </c>
      <c r="J603">
        <v>13.25</v>
      </c>
      <c r="K603" t="s">
        <v>59</v>
      </c>
      <c r="L603" t="s">
        <v>13</v>
      </c>
      <c r="M603" t="s">
        <v>14</v>
      </c>
      <c r="N603" t="s">
        <v>15</v>
      </c>
    </row>
    <row r="604" spans="1:14" x14ac:dyDescent="0.25">
      <c r="A604">
        <v>4535</v>
      </c>
      <c r="B604">
        <v>2008</v>
      </c>
      <c r="C604">
        <f>1/COUNTIF(B:B,pizza_sales[[#This Row],[order_id]])</f>
        <v>1</v>
      </c>
      <c r="D604" t="s">
        <v>38</v>
      </c>
      <c r="E604">
        <v>1</v>
      </c>
      <c r="F604" s="1">
        <v>42065</v>
      </c>
      <c r="G604" s="1" t="str">
        <f>TEXT(pizza_sales[[#This Row],[order_date]],"dddd")</f>
        <v>Monday</v>
      </c>
      <c r="H604" s="2">
        <v>0.53277777777777779</v>
      </c>
      <c r="I604">
        <v>20.5</v>
      </c>
      <c r="J604">
        <v>20.5</v>
      </c>
      <c r="K604" t="s">
        <v>58</v>
      </c>
      <c r="L604" t="s">
        <v>13</v>
      </c>
      <c r="M604" t="s">
        <v>32</v>
      </c>
      <c r="N604" t="s">
        <v>33</v>
      </c>
    </row>
    <row r="605" spans="1:14" x14ac:dyDescent="0.25">
      <c r="A605">
        <v>4536</v>
      </c>
      <c r="B605">
        <v>2009</v>
      </c>
      <c r="C605">
        <f>1/COUNTIF(B:B,pizza_sales[[#This Row],[order_id]])</f>
        <v>1</v>
      </c>
      <c r="D605" t="s">
        <v>20</v>
      </c>
      <c r="E605">
        <v>1</v>
      </c>
      <c r="F605" s="1">
        <v>42065</v>
      </c>
      <c r="G605" s="1" t="str">
        <f>TEXT(pizza_sales[[#This Row],[order_date]],"dddd")</f>
        <v>Monday</v>
      </c>
      <c r="H605" s="2">
        <v>0.53827546296296291</v>
      </c>
      <c r="I605">
        <v>12</v>
      </c>
      <c r="J605">
        <v>12</v>
      </c>
      <c r="K605" t="s">
        <v>60</v>
      </c>
      <c r="L605" t="s">
        <v>13</v>
      </c>
      <c r="M605" t="s">
        <v>21</v>
      </c>
      <c r="N605" t="s">
        <v>22</v>
      </c>
    </row>
    <row r="606" spans="1:14" x14ac:dyDescent="0.25">
      <c r="A606">
        <v>4537</v>
      </c>
      <c r="B606">
        <v>2010</v>
      </c>
      <c r="C606">
        <f>1/COUNTIF(B:B,pizza_sales[[#This Row],[order_id]])</f>
        <v>0.33333333333333331</v>
      </c>
      <c r="D606" t="s">
        <v>28</v>
      </c>
      <c r="E606">
        <v>1</v>
      </c>
      <c r="F606" s="1">
        <v>42065</v>
      </c>
      <c r="G606" s="1" t="str">
        <f>TEXT(pizza_sales[[#This Row],[order_date]],"dddd")</f>
        <v>Monday</v>
      </c>
      <c r="H606" s="2">
        <v>0.54214120370370367</v>
      </c>
      <c r="I606">
        <v>12</v>
      </c>
      <c r="J606">
        <v>12</v>
      </c>
      <c r="K606" t="s">
        <v>60</v>
      </c>
      <c r="L606" t="s">
        <v>13</v>
      </c>
      <c r="M606" t="s">
        <v>29</v>
      </c>
      <c r="N606" t="s">
        <v>30</v>
      </c>
    </row>
    <row r="607" spans="1:14" x14ac:dyDescent="0.25">
      <c r="A607">
        <v>4538</v>
      </c>
      <c r="B607">
        <v>2010</v>
      </c>
      <c r="C607">
        <f>1/COUNTIF(B:B,pizza_sales[[#This Row],[order_id]])</f>
        <v>0.33333333333333331</v>
      </c>
      <c r="D607" t="s">
        <v>44</v>
      </c>
      <c r="E607">
        <v>1</v>
      </c>
      <c r="F607" s="1">
        <v>42065</v>
      </c>
      <c r="G607" s="1" t="str">
        <f>TEXT(pizza_sales[[#This Row],[order_date]],"dddd")</f>
        <v>Monday</v>
      </c>
      <c r="H607" s="2">
        <v>0.54214120370370367</v>
      </c>
      <c r="I607">
        <v>9.75</v>
      </c>
      <c r="J607">
        <v>9.75</v>
      </c>
      <c r="K607" t="s">
        <v>60</v>
      </c>
      <c r="L607" t="s">
        <v>13</v>
      </c>
      <c r="M607" t="s">
        <v>26</v>
      </c>
      <c r="N607" t="s">
        <v>27</v>
      </c>
    </row>
    <row r="608" spans="1:14" x14ac:dyDescent="0.25">
      <c r="A608">
        <v>4539</v>
      </c>
      <c r="B608">
        <v>2010</v>
      </c>
      <c r="C608">
        <f>1/COUNTIF(B:B,pizza_sales[[#This Row],[order_id]])</f>
        <v>0.33333333333333331</v>
      </c>
      <c r="D608" t="s">
        <v>43</v>
      </c>
      <c r="E608">
        <v>1</v>
      </c>
      <c r="F608" s="1">
        <v>42065</v>
      </c>
      <c r="G608" s="1" t="str">
        <f>TEXT(pizza_sales[[#This Row],[order_date]],"dddd")</f>
        <v>Monday</v>
      </c>
      <c r="H608" s="2">
        <v>0.54214120370370367</v>
      </c>
      <c r="I608">
        <v>16.25</v>
      </c>
      <c r="J608">
        <v>16.25</v>
      </c>
      <c r="K608" t="s">
        <v>59</v>
      </c>
      <c r="L608" t="s">
        <v>35</v>
      </c>
      <c r="M608" t="s">
        <v>40</v>
      </c>
      <c r="N608" t="s">
        <v>41</v>
      </c>
    </row>
    <row r="609" spans="1:14" x14ac:dyDescent="0.25">
      <c r="A609">
        <v>4546</v>
      </c>
      <c r="B609">
        <v>2012</v>
      </c>
      <c r="C609">
        <f>1/COUNTIF(B:B,pizza_sales[[#This Row],[order_id]])</f>
        <v>1</v>
      </c>
      <c r="D609" t="s">
        <v>46</v>
      </c>
      <c r="E609">
        <v>1</v>
      </c>
      <c r="F609" s="1">
        <v>42065</v>
      </c>
      <c r="G609" s="1" t="str">
        <f>TEXT(pizza_sales[[#This Row],[order_date]],"dddd")</f>
        <v>Monday</v>
      </c>
      <c r="H609" s="2">
        <v>0.55486111111111114</v>
      </c>
      <c r="I609">
        <v>25.5</v>
      </c>
      <c r="J609">
        <v>25.5</v>
      </c>
      <c r="K609" t="s">
        <v>61</v>
      </c>
      <c r="L609" t="s">
        <v>13</v>
      </c>
      <c r="M609" t="s">
        <v>21</v>
      </c>
      <c r="N609" t="s">
        <v>22</v>
      </c>
    </row>
    <row r="610" spans="1:14" x14ac:dyDescent="0.25">
      <c r="A610">
        <v>4547</v>
      </c>
      <c r="B610">
        <v>2013</v>
      </c>
      <c r="C610">
        <f>1/COUNTIF(B:B,pizza_sales[[#This Row],[order_id]])</f>
        <v>0.5</v>
      </c>
      <c r="D610" t="s">
        <v>28</v>
      </c>
      <c r="E610">
        <v>2</v>
      </c>
      <c r="F610" s="1">
        <v>42065</v>
      </c>
      <c r="G610" s="1" t="str">
        <f>TEXT(pizza_sales[[#This Row],[order_date]],"dddd")</f>
        <v>Monday</v>
      </c>
      <c r="H610" s="2">
        <v>0.55608796296296292</v>
      </c>
      <c r="I610">
        <v>12</v>
      </c>
      <c r="J610">
        <v>24</v>
      </c>
      <c r="K610" t="s">
        <v>60</v>
      </c>
      <c r="L610" t="s">
        <v>13</v>
      </c>
      <c r="M610" t="s">
        <v>29</v>
      </c>
      <c r="N610" t="s">
        <v>30</v>
      </c>
    </row>
    <row r="611" spans="1:14" x14ac:dyDescent="0.25">
      <c r="A611">
        <v>4548</v>
      </c>
      <c r="B611">
        <v>2013</v>
      </c>
      <c r="C611">
        <f>1/COUNTIF(B:B,pizza_sales[[#This Row],[order_id]])</f>
        <v>0.5</v>
      </c>
      <c r="D611" t="s">
        <v>51</v>
      </c>
      <c r="E611">
        <v>1</v>
      </c>
      <c r="F611" s="1">
        <v>42065</v>
      </c>
      <c r="G611" s="1" t="str">
        <f>TEXT(pizza_sales[[#This Row],[order_date]],"dddd")</f>
        <v>Monday</v>
      </c>
      <c r="H611" s="2">
        <v>0.55608796296296292</v>
      </c>
      <c r="I611">
        <v>23.65</v>
      </c>
      <c r="J611">
        <v>23.65</v>
      </c>
      <c r="K611" t="s">
        <v>60</v>
      </c>
      <c r="L611" t="s">
        <v>35</v>
      </c>
      <c r="M611" t="s">
        <v>52</v>
      </c>
      <c r="N611" t="s">
        <v>53</v>
      </c>
    </row>
    <row r="612" spans="1:14" x14ac:dyDescent="0.25">
      <c r="A612">
        <v>4551</v>
      </c>
      <c r="B612">
        <v>2015</v>
      </c>
      <c r="C612">
        <f>1/COUNTIF(B:B,pizza_sales[[#This Row],[order_id]])</f>
        <v>1</v>
      </c>
      <c r="D612" t="s">
        <v>12</v>
      </c>
      <c r="E612">
        <v>1</v>
      </c>
      <c r="F612" s="1">
        <v>42065</v>
      </c>
      <c r="G612" s="1" t="str">
        <f>TEXT(pizza_sales[[#This Row],[order_date]],"dddd")</f>
        <v>Monday</v>
      </c>
      <c r="H612" s="2">
        <v>0.55820601851851848</v>
      </c>
      <c r="I612">
        <v>13.25</v>
      </c>
      <c r="J612">
        <v>13.25</v>
      </c>
      <c r="K612" t="s">
        <v>59</v>
      </c>
      <c r="L612" t="s">
        <v>13</v>
      </c>
      <c r="M612" t="s">
        <v>14</v>
      </c>
      <c r="N612" t="s">
        <v>15</v>
      </c>
    </row>
    <row r="613" spans="1:14" x14ac:dyDescent="0.25">
      <c r="A613">
        <v>4557</v>
      </c>
      <c r="B613">
        <v>2018</v>
      </c>
      <c r="C613">
        <f>1/COUNTIF(B:B,pizza_sales[[#This Row],[order_id]])</f>
        <v>0.33333333333333331</v>
      </c>
      <c r="D613" t="s">
        <v>44</v>
      </c>
      <c r="E613">
        <v>1</v>
      </c>
      <c r="F613" s="1">
        <v>42065</v>
      </c>
      <c r="G613" s="1" t="str">
        <f>TEXT(pizza_sales[[#This Row],[order_date]],"dddd")</f>
        <v>Monday</v>
      </c>
      <c r="H613" s="2">
        <v>0.58754629629629629</v>
      </c>
      <c r="I613">
        <v>9.75</v>
      </c>
      <c r="J613">
        <v>9.75</v>
      </c>
      <c r="K613" t="s">
        <v>60</v>
      </c>
      <c r="L613" t="s">
        <v>13</v>
      </c>
      <c r="M613" t="s">
        <v>26</v>
      </c>
      <c r="N613" t="s">
        <v>27</v>
      </c>
    </row>
    <row r="614" spans="1:14" x14ac:dyDescent="0.25">
      <c r="A614">
        <v>4559</v>
      </c>
      <c r="B614">
        <v>2018</v>
      </c>
      <c r="C614">
        <f>1/COUNTIF(B:B,pizza_sales[[#This Row],[order_id]])</f>
        <v>0.33333333333333331</v>
      </c>
      <c r="D614" t="s">
        <v>39</v>
      </c>
      <c r="E614">
        <v>1</v>
      </c>
      <c r="F614" s="1">
        <v>42065</v>
      </c>
      <c r="G614" s="1" t="str">
        <f>TEXT(pizza_sales[[#This Row],[order_date]],"dddd")</f>
        <v>Monday</v>
      </c>
      <c r="H614" s="2">
        <v>0.58754629629629629</v>
      </c>
      <c r="I614">
        <v>20.25</v>
      </c>
      <c r="J614">
        <v>20.25</v>
      </c>
      <c r="K614" t="s">
        <v>58</v>
      </c>
      <c r="L614" t="s">
        <v>35</v>
      </c>
      <c r="M614" t="s">
        <v>40</v>
      </c>
      <c r="N614" t="s">
        <v>41</v>
      </c>
    </row>
    <row r="615" spans="1:14" x14ac:dyDescent="0.25">
      <c r="A615">
        <v>4560</v>
      </c>
      <c r="B615">
        <v>2018</v>
      </c>
      <c r="C615">
        <f>1/COUNTIF(B:B,pizza_sales[[#This Row],[order_id]])</f>
        <v>0.33333333333333331</v>
      </c>
      <c r="D615" t="s">
        <v>46</v>
      </c>
      <c r="E615">
        <v>1</v>
      </c>
      <c r="F615" s="1">
        <v>42065</v>
      </c>
      <c r="G615" s="1" t="str">
        <f>TEXT(pizza_sales[[#This Row],[order_date]],"dddd")</f>
        <v>Monday</v>
      </c>
      <c r="H615" s="2">
        <v>0.58754629629629629</v>
      </c>
      <c r="I615">
        <v>25.5</v>
      </c>
      <c r="J615">
        <v>25.5</v>
      </c>
      <c r="K615" t="s">
        <v>61</v>
      </c>
      <c r="L615" t="s">
        <v>13</v>
      </c>
      <c r="M615" t="s">
        <v>21</v>
      </c>
      <c r="N615" t="s">
        <v>22</v>
      </c>
    </row>
    <row r="616" spans="1:14" x14ac:dyDescent="0.25">
      <c r="A616">
        <v>4562</v>
      </c>
      <c r="B616">
        <v>2020</v>
      </c>
      <c r="C616">
        <f>1/COUNTIF(B:B,pizza_sales[[#This Row],[order_id]])</f>
        <v>1</v>
      </c>
      <c r="D616" t="s">
        <v>28</v>
      </c>
      <c r="E616">
        <v>1</v>
      </c>
      <c r="F616" s="1">
        <v>42065</v>
      </c>
      <c r="G616" s="1" t="str">
        <f>TEXT(pizza_sales[[#This Row],[order_date]],"dddd")</f>
        <v>Monday</v>
      </c>
      <c r="H616" s="2">
        <v>0.59311342592592597</v>
      </c>
      <c r="I616">
        <v>12</v>
      </c>
      <c r="J616">
        <v>12</v>
      </c>
      <c r="K616" t="s">
        <v>60</v>
      </c>
      <c r="L616" t="s">
        <v>13</v>
      </c>
      <c r="M616" t="s">
        <v>29</v>
      </c>
      <c r="N616" t="s">
        <v>30</v>
      </c>
    </row>
    <row r="617" spans="1:14" x14ac:dyDescent="0.25">
      <c r="A617">
        <v>4565</v>
      </c>
      <c r="B617">
        <v>2021</v>
      </c>
      <c r="C617">
        <f>1/COUNTIF(B:B,pizza_sales[[#This Row],[order_id]])</f>
        <v>1</v>
      </c>
      <c r="D617" t="s">
        <v>25</v>
      </c>
      <c r="E617">
        <v>1</v>
      </c>
      <c r="F617" s="1">
        <v>42065</v>
      </c>
      <c r="G617" s="1" t="str">
        <f>TEXT(pizza_sales[[#This Row],[order_date]],"dddd")</f>
        <v>Monday</v>
      </c>
      <c r="H617" s="2">
        <v>0.60084490740740737</v>
      </c>
      <c r="I617">
        <v>15.25</v>
      </c>
      <c r="J617">
        <v>15.25</v>
      </c>
      <c r="K617" t="s">
        <v>58</v>
      </c>
      <c r="L617" t="s">
        <v>13</v>
      </c>
      <c r="M617" t="s">
        <v>26</v>
      </c>
      <c r="N617" t="s">
        <v>27</v>
      </c>
    </row>
    <row r="618" spans="1:14" x14ac:dyDescent="0.25">
      <c r="A618">
        <v>4568</v>
      </c>
      <c r="B618">
        <v>2022</v>
      </c>
      <c r="C618">
        <f>1/COUNTIF(B:B,pizza_sales[[#This Row],[order_id]])</f>
        <v>1</v>
      </c>
      <c r="D618" t="s">
        <v>20</v>
      </c>
      <c r="E618">
        <v>1</v>
      </c>
      <c r="F618" s="1">
        <v>42065</v>
      </c>
      <c r="G618" s="1" t="str">
        <f>TEXT(pizza_sales[[#This Row],[order_date]],"dddd")</f>
        <v>Monday</v>
      </c>
      <c r="H618" s="2">
        <v>0.60875000000000001</v>
      </c>
      <c r="I618">
        <v>12</v>
      </c>
      <c r="J618">
        <v>12</v>
      </c>
      <c r="K618" t="s">
        <v>60</v>
      </c>
      <c r="L618" t="s">
        <v>13</v>
      </c>
      <c r="M618" t="s">
        <v>21</v>
      </c>
      <c r="N618" t="s">
        <v>22</v>
      </c>
    </row>
    <row r="619" spans="1:14" x14ac:dyDescent="0.25">
      <c r="A619">
        <v>4575</v>
      </c>
      <c r="B619">
        <v>2026</v>
      </c>
      <c r="C619">
        <f>1/COUNTIF(B:B,pizza_sales[[#This Row],[order_id]])</f>
        <v>1</v>
      </c>
      <c r="D619" t="s">
        <v>24</v>
      </c>
      <c r="E619">
        <v>1</v>
      </c>
      <c r="F619" s="1">
        <v>42065</v>
      </c>
      <c r="G619" s="1" t="str">
        <f>TEXT(pizza_sales[[#This Row],[order_date]],"dddd")</f>
        <v>Monday</v>
      </c>
      <c r="H619" s="2">
        <v>0.67486111111111113</v>
      </c>
      <c r="I619">
        <v>20.25</v>
      </c>
      <c r="J619">
        <v>20.25</v>
      </c>
      <c r="K619" t="s">
        <v>58</v>
      </c>
      <c r="L619" t="s">
        <v>17</v>
      </c>
      <c r="M619" t="s">
        <v>18</v>
      </c>
      <c r="N619" t="s">
        <v>19</v>
      </c>
    </row>
    <row r="620" spans="1:14" x14ac:dyDescent="0.25">
      <c r="A620">
        <v>4584</v>
      </c>
      <c r="B620">
        <v>2031</v>
      </c>
      <c r="C620">
        <f>1/COUNTIF(B:B,pizza_sales[[#This Row],[order_id]])</f>
        <v>1</v>
      </c>
      <c r="D620" t="s">
        <v>42</v>
      </c>
      <c r="E620">
        <v>1</v>
      </c>
      <c r="F620" s="1">
        <v>42065</v>
      </c>
      <c r="G620" s="1" t="str">
        <f>TEXT(pizza_sales[[#This Row],[order_date]],"dddd")</f>
        <v>Monday</v>
      </c>
      <c r="H620" s="2">
        <v>0.7021412037037037</v>
      </c>
      <c r="I620">
        <v>12.5</v>
      </c>
      <c r="J620">
        <v>12.5</v>
      </c>
      <c r="K620" t="s">
        <v>59</v>
      </c>
      <c r="L620" t="s">
        <v>13</v>
      </c>
      <c r="M620" t="s">
        <v>26</v>
      </c>
      <c r="N620" t="s">
        <v>27</v>
      </c>
    </row>
    <row r="621" spans="1:14" x14ac:dyDescent="0.25">
      <c r="A621">
        <v>4586</v>
      </c>
      <c r="B621">
        <v>2032</v>
      </c>
      <c r="C621">
        <f>1/COUNTIF(B:B,pizza_sales[[#This Row],[order_id]])</f>
        <v>1</v>
      </c>
      <c r="D621" t="s">
        <v>49</v>
      </c>
      <c r="E621">
        <v>1</v>
      </c>
      <c r="F621" s="1">
        <v>42065</v>
      </c>
      <c r="G621" s="1" t="str">
        <f>TEXT(pizza_sales[[#This Row],[order_date]],"dddd")</f>
        <v>Monday</v>
      </c>
      <c r="H621" s="2">
        <v>0.71725694444444443</v>
      </c>
      <c r="I621">
        <v>16</v>
      </c>
      <c r="J621">
        <v>16</v>
      </c>
      <c r="K621" t="s">
        <v>59</v>
      </c>
      <c r="L621" t="s">
        <v>13</v>
      </c>
      <c r="M621" t="s">
        <v>21</v>
      </c>
      <c r="N621" t="s">
        <v>22</v>
      </c>
    </row>
    <row r="622" spans="1:14" x14ac:dyDescent="0.25">
      <c r="A622">
        <v>4591</v>
      </c>
      <c r="B622">
        <v>2034</v>
      </c>
      <c r="C622">
        <f>1/COUNTIF(B:B,pizza_sales[[#This Row],[order_id]])</f>
        <v>0.5</v>
      </c>
      <c r="D622" t="s">
        <v>28</v>
      </c>
      <c r="E622">
        <v>1</v>
      </c>
      <c r="F622" s="1">
        <v>42065</v>
      </c>
      <c r="G622" s="1" t="str">
        <f>TEXT(pizza_sales[[#This Row],[order_date]],"dddd")</f>
        <v>Monday</v>
      </c>
      <c r="H622" s="2">
        <v>0.71895833333333337</v>
      </c>
      <c r="I622">
        <v>12</v>
      </c>
      <c r="J622">
        <v>12</v>
      </c>
      <c r="K622" t="s">
        <v>60</v>
      </c>
      <c r="L622" t="s">
        <v>13</v>
      </c>
      <c r="M622" t="s">
        <v>29</v>
      </c>
      <c r="N622" t="s">
        <v>30</v>
      </c>
    </row>
    <row r="623" spans="1:14" x14ac:dyDescent="0.25">
      <c r="A623">
        <v>4592</v>
      </c>
      <c r="B623">
        <v>2034</v>
      </c>
      <c r="C623">
        <f>1/COUNTIF(B:B,pizza_sales[[#This Row],[order_id]])</f>
        <v>0.5</v>
      </c>
      <c r="D623" t="s">
        <v>42</v>
      </c>
      <c r="E623">
        <v>1</v>
      </c>
      <c r="F623" s="1">
        <v>42065</v>
      </c>
      <c r="G623" s="1" t="str">
        <f>TEXT(pizza_sales[[#This Row],[order_date]],"dddd")</f>
        <v>Monday</v>
      </c>
      <c r="H623" s="2">
        <v>0.71895833333333337</v>
      </c>
      <c r="I623">
        <v>12.5</v>
      </c>
      <c r="J623">
        <v>12.5</v>
      </c>
      <c r="K623" t="s">
        <v>59</v>
      </c>
      <c r="L623" t="s">
        <v>13</v>
      </c>
      <c r="M623" t="s">
        <v>26</v>
      </c>
      <c r="N623" t="s">
        <v>27</v>
      </c>
    </row>
    <row r="624" spans="1:14" x14ac:dyDescent="0.25">
      <c r="A624">
        <v>4598</v>
      </c>
      <c r="B624">
        <v>2038</v>
      </c>
      <c r="C624">
        <f>1/COUNTIF(B:B,pizza_sales[[#This Row],[order_id]])</f>
        <v>1</v>
      </c>
      <c r="D624" t="s">
        <v>43</v>
      </c>
      <c r="E624">
        <v>1</v>
      </c>
      <c r="F624" s="1">
        <v>42065</v>
      </c>
      <c r="G624" s="1" t="str">
        <f>TEXT(pizza_sales[[#This Row],[order_date]],"dddd")</f>
        <v>Monday</v>
      </c>
      <c r="H624" s="2">
        <v>0.73026620370370365</v>
      </c>
      <c r="I624">
        <v>16.25</v>
      </c>
      <c r="J624">
        <v>16.25</v>
      </c>
      <c r="K624" t="s">
        <v>59</v>
      </c>
      <c r="L624" t="s">
        <v>35</v>
      </c>
      <c r="M624" t="s">
        <v>40</v>
      </c>
      <c r="N624" t="s">
        <v>41</v>
      </c>
    </row>
    <row r="625" spans="1:14" x14ac:dyDescent="0.25">
      <c r="A625">
        <v>4605</v>
      </c>
      <c r="B625">
        <v>2043</v>
      </c>
      <c r="C625">
        <f>1/COUNTIF(B:B,pizza_sales[[#This Row],[order_id]])</f>
        <v>1</v>
      </c>
      <c r="D625" t="s">
        <v>20</v>
      </c>
      <c r="E625">
        <v>1</v>
      </c>
      <c r="F625" s="1">
        <v>42065</v>
      </c>
      <c r="G625" s="1" t="str">
        <f>TEXT(pizza_sales[[#This Row],[order_date]],"dddd")</f>
        <v>Monday</v>
      </c>
      <c r="H625" s="2">
        <v>0.76612268518518523</v>
      </c>
      <c r="I625">
        <v>12</v>
      </c>
      <c r="J625">
        <v>12</v>
      </c>
      <c r="K625" t="s">
        <v>60</v>
      </c>
      <c r="L625" t="s">
        <v>13</v>
      </c>
      <c r="M625" t="s">
        <v>21</v>
      </c>
      <c r="N625" t="s">
        <v>22</v>
      </c>
    </row>
    <row r="626" spans="1:14" x14ac:dyDescent="0.25">
      <c r="A626">
        <v>4610</v>
      </c>
      <c r="B626">
        <v>2046</v>
      </c>
      <c r="C626">
        <f>1/COUNTIF(B:B,pizza_sales[[#This Row],[order_id]])</f>
        <v>1</v>
      </c>
      <c r="D626" t="s">
        <v>31</v>
      </c>
      <c r="E626">
        <v>1</v>
      </c>
      <c r="F626" s="1">
        <v>42065</v>
      </c>
      <c r="G626" s="1" t="str">
        <f>TEXT(pizza_sales[[#This Row],[order_date]],"dddd")</f>
        <v>Monday</v>
      </c>
      <c r="H626" s="2">
        <v>0.78256944444444443</v>
      </c>
      <c r="I626">
        <v>12</v>
      </c>
      <c r="J626">
        <v>12</v>
      </c>
      <c r="K626" t="s">
        <v>60</v>
      </c>
      <c r="L626" t="s">
        <v>13</v>
      </c>
      <c r="M626" t="s">
        <v>32</v>
      </c>
      <c r="N626" t="s">
        <v>33</v>
      </c>
    </row>
    <row r="627" spans="1:14" x14ac:dyDescent="0.25">
      <c r="A627">
        <v>4611</v>
      </c>
      <c r="B627">
        <v>2047</v>
      </c>
      <c r="C627">
        <f>1/COUNTIF(B:B,pizza_sales[[#This Row],[order_id]])</f>
        <v>1</v>
      </c>
      <c r="D627" t="s">
        <v>42</v>
      </c>
      <c r="E627">
        <v>1</v>
      </c>
      <c r="F627" s="1">
        <v>42065</v>
      </c>
      <c r="G627" s="1" t="str">
        <f>TEXT(pizza_sales[[#This Row],[order_date]],"dddd")</f>
        <v>Monday</v>
      </c>
      <c r="H627" s="2">
        <v>0.78273148148148153</v>
      </c>
      <c r="I627">
        <v>12.5</v>
      </c>
      <c r="J627">
        <v>12.5</v>
      </c>
      <c r="K627" t="s">
        <v>59</v>
      </c>
      <c r="L627" t="s">
        <v>13</v>
      </c>
      <c r="M627" t="s">
        <v>26</v>
      </c>
      <c r="N627" t="s">
        <v>27</v>
      </c>
    </row>
    <row r="628" spans="1:14" x14ac:dyDescent="0.25">
      <c r="A628">
        <v>4622</v>
      </c>
      <c r="B628">
        <v>2051</v>
      </c>
      <c r="C628">
        <f>1/COUNTIF(B:B,pizza_sales[[#This Row],[order_id]])</f>
        <v>0.5</v>
      </c>
      <c r="D628" t="s">
        <v>34</v>
      </c>
      <c r="E628">
        <v>1</v>
      </c>
      <c r="F628" s="1">
        <v>42065</v>
      </c>
      <c r="G628" s="1" t="str">
        <f>TEXT(pizza_sales[[#This Row],[order_date]],"dddd")</f>
        <v>Monday</v>
      </c>
      <c r="H628" s="2">
        <v>0.82708333333333328</v>
      </c>
      <c r="I628">
        <v>16.25</v>
      </c>
      <c r="J628">
        <v>16.25</v>
      </c>
      <c r="K628" t="s">
        <v>59</v>
      </c>
      <c r="L628" t="s">
        <v>35</v>
      </c>
      <c r="M628" t="s">
        <v>36</v>
      </c>
      <c r="N628" t="s">
        <v>37</v>
      </c>
    </row>
    <row r="629" spans="1:14" x14ac:dyDescent="0.25">
      <c r="A629">
        <v>4624</v>
      </c>
      <c r="B629">
        <v>2051</v>
      </c>
      <c r="C629">
        <f>1/COUNTIF(B:B,pizza_sales[[#This Row],[order_id]])</f>
        <v>0.5</v>
      </c>
      <c r="D629" t="s">
        <v>24</v>
      </c>
      <c r="E629">
        <v>1</v>
      </c>
      <c r="F629" s="1">
        <v>42065</v>
      </c>
      <c r="G629" s="1" t="str">
        <f>TEXT(pizza_sales[[#This Row],[order_date]],"dddd")</f>
        <v>Monday</v>
      </c>
      <c r="H629" s="2">
        <v>0.82708333333333328</v>
      </c>
      <c r="I629">
        <v>20.25</v>
      </c>
      <c r="J629">
        <v>20.25</v>
      </c>
      <c r="K629" t="s">
        <v>58</v>
      </c>
      <c r="L629" t="s">
        <v>17</v>
      </c>
      <c r="M629" t="s">
        <v>18</v>
      </c>
      <c r="N629" t="s">
        <v>19</v>
      </c>
    </row>
    <row r="630" spans="1:14" x14ac:dyDescent="0.25">
      <c r="A630">
        <v>4626</v>
      </c>
      <c r="B630">
        <v>2052</v>
      </c>
      <c r="C630">
        <f>1/COUNTIF(B:B,pizza_sales[[#This Row],[order_id]])</f>
        <v>0.5</v>
      </c>
      <c r="D630" t="s">
        <v>51</v>
      </c>
      <c r="E630">
        <v>1</v>
      </c>
      <c r="F630" s="1">
        <v>42065</v>
      </c>
      <c r="G630" s="1" t="str">
        <f>TEXT(pizza_sales[[#This Row],[order_date]],"dddd")</f>
        <v>Monday</v>
      </c>
      <c r="H630" s="2">
        <v>0.82952546296296292</v>
      </c>
      <c r="I630">
        <v>23.65</v>
      </c>
      <c r="J630">
        <v>23.65</v>
      </c>
      <c r="K630" t="s">
        <v>60</v>
      </c>
      <c r="L630" t="s">
        <v>35</v>
      </c>
      <c r="M630" t="s">
        <v>52</v>
      </c>
      <c r="N630" t="s">
        <v>53</v>
      </c>
    </row>
    <row r="631" spans="1:14" x14ac:dyDescent="0.25">
      <c r="A631">
        <v>4629</v>
      </c>
      <c r="B631">
        <v>2052</v>
      </c>
      <c r="C631">
        <f>1/COUNTIF(B:B,pizza_sales[[#This Row],[order_id]])</f>
        <v>0.5</v>
      </c>
      <c r="D631" t="s">
        <v>48</v>
      </c>
      <c r="E631">
        <v>1</v>
      </c>
      <c r="F631" s="1">
        <v>42065</v>
      </c>
      <c r="G631" s="1" t="str">
        <f>TEXT(pizza_sales[[#This Row],[order_date]],"dddd")</f>
        <v>Monday</v>
      </c>
      <c r="H631" s="2">
        <v>0.82952546296296292</v>
      </c>
      <c r="I631">
        <v>12.25</v>
      </c>
      <c r="J631">
        <v>12.25</v>
      </c>
      <c r="K631" t="s">
        <v>60</v>
      </c>
      <c r="L631" t="s">
        <v>35</v>
      </c>
      <c r="M631" t="s">
        <v>40</v>
      </c>
      <c r="N631" t="s">
        <v>41</v>
      </c>
    </row>
    <row r="632" spans="1:14" x14ac:dyDescent="0.25">
      <c r="A632">
        <v>4631</v>
      </c>
      <c r="B632">
        <v>2053</v>
      </c>
      <c r="C632">
        <f>1/COUNTIF(B:B,pizza_sales[[#This Row],[order_id]])</f>
        <v>1</v>
      </c>
      <c r="D632" t="s">
        <v>25</v>
      </c>
      <c r="E632">
        <v>1</v>
      </c>
      <c r="F632" s="1">
        <v>42065</v>
      </c>
      <c r="G632" s="1" t="str">
        <f>TEXT(pizza_sales[[#This Row],[order_date]],"dddd")</f>
        <v>Monday</v>
      </c>
      <c r="H632" s="2">
        <v>0.86299768518518516</v>
      </c>
      <c r="I632">
        <v>15.25</v>
      </c>
      <c r="J632">
        <v>15.25</v>
      </c>
      <c r="K632" t="s">
        <v>58</v>
      </c>
      <c r="L632" t="s">
        <v>13</v>
      </c>
      <c r="M632" t="s">
        <v>26</v>
      </c>
      <c r="N632" t="s">
        <v>27</v>
      </c>
    </row>
    <row r="633" spans="1:14" x14ac:dyDescent="0.25">
      <c r="A633">
        <v>4640</v>
      </c>
      <c r="B633">
        <v>2057</v>
      </c>
      <c r="C633">
        <f>1/COUNTIF(B:B,pizza_sales[[#This Row],[order_id]])</f>
        <v>1</v>
      </c>
      <c r="D633" t="s">
        <v>46</v>
      </c>
      <c r="E633">
        <v>1</v>
      </c>
      <c r="F633" s="1">
        <v>42065</v>
      </c>
      <c r="G633" s="1" t="str">
        <f>TEXT(pizza_sales[[#This Row],[order_date]],"dddd")</f>
        <v>Monday</v>
      </c>
      <c r="H633" s="2">
        <v>0.88293981481481476</v>
      </c>
      <c r="I633">
        <v>25.5</v>
      </c>
      <c r="J633">
        <v>25.5</v>
      </c>
      <c r="K633" t="s">
        <v>61</v>
      </c>
      <c r="L633" t="s">
        <v>13</v>
      </c>
      <c r="M633" t="s">
        <v>21</v>
      </c>
      <c r="N633" t="s">
        <v>22</v>
      </c>
    </row>
    <row r="634" spans="1:14" x14ac:dyDescent="0.25">
      <c r="A634">
        <v>4641</v>
      </c>
      <c r="B634">
        <v>2058</v>
      </c>
      <c r="C634">
        <f>1/COUNTIF(B:B,pizza_sales[[#This Row],[order_id]])</f>
        <v>1</v>
      </c>
      <c r="D634" t="s">
        <v>25</v>
      </c>
      <c r="E634">
        <v>1</v>
      </c>
      <c r="F634" s="1">
        <v>42096</v>
      </c>
      <c r="G634" s="1" t="str">
        <f>TEXT(pizza_sales[[#This Row],[order_date]],"dddd")</f>
        <v>Thursday</v>
      </c>
      <c r="H634" s="2">
        <v>0.47172453703703704</v>
      </c>
      <c r="I634">
        <v>15.25</v>
      </c>
      <c r="J634">
        <v>15.25</v>
      </c>
      <c r="K634" t="s">
        <v>58</v>
      </c>
      <c r="L634" t="s">
        <v>13</v>
      </c>
      <c r="M634" t="s">
        <v>26</v>
      </c>
      <c r="N634" t="s">
        <v>27</v>
      </c>
    </row>
    <row r="635" spans="1:14" x14ac:dyDescent="0.25">
      <c r="A635">
        <v>4651</v>
      </c>
      <c r="B635">
        <v>2063</v>
      </c>
      <c r="C635">
        <f>1/COUNTIF(B:B,pizza_sales[[#This Row],[order_id]])</f>
        <v>1</v>
      </c>
      <c r="D635" t="s">
        <v>28</v>
      </c>
      <c r="E635">
        <v>1</v>
      </c>
      <c r="F635" s="1">
        <v>42096</v>
      </c>
      <c r="G635" s="1" t="str">
        <f>TEXT(pizza_sales[[#This Row],[order_date]],"dddd")</f>
        <v>Thursday</v>
      </c>
      <c r="H635" s="2">
        <v>0.51738425925925924</v>
      </c>
      <c r="I635">
        <v>12</v>
      </c>
      <c r="J635">
        <v>12</v>
      </c>
      <c r="K635" t="s">
        <v>60</v>
      </c>
      <c r="L635" t="s">
        <v>13</v>
      </c>
      <c r="M635" t="s">
        <v>29</v>
      </c>
      <c r="N635" t="s">
        <v>30</v>
      </c>
    </row>
    <row r="636" spans="1:14" x14ac:dyDescent="0.25">
      <c r="A636">
        <v>4655</v>
      </c>
      <c r="B636">
        <v>2064</v>
      </c>
      <c r="C636">
        <f>1/COUNTIF(B:B,pizza_sales[[#This Row],[order_id]])</f>
        <v>1</v>
      </c>
      <c r="D636" t="s">
        <v>24</v>
      </c>
      <c r="E636">
        <v>1</v>
      </c>
      <c r="F636" s="1">
        <v>42096</v>
      </c>
      <c r="G636" s="1" t="str">
        <f>TEXT(pizza_sales[[#This Row],[order_date]],"dddd")</f>
        <v>Thursday</v>
      </c>
      <c r="H636" s="2">
        <v>0.51850694444444445</v>
      </c>
      <c r="I636">
        <v>20.25</v>
      </c>
      <c r="J636">
        <v>20.25</v>
      </c>
      <c r="K636" t="s">
        <v>58</v>
      </c>
      <c r="L636" t="s">
        <v>17</v>
      </c>
      <c r="M636" t="s">
        <v>18</v>
      </c>
      <c r="N636" t="s">
        <v>19</v>
      </c>
    </row>
    <row r="637" spans="1:14" x14ac:dyDescent="0.25">
      <c r="A637">
        <v>4657</v>
      </c>
      <c r="B637">
        <v>2065</v>
      </c>
      <c r="C637">
        <f>1/COUNTIF(B:B,pizza_sales[[#This Row],[order_id]])</f>
        <v>1</v>
      </c>
      <c r="D637" t="s">
        <v>48</v>
      </c>
      <c r="E637">
        <v>1</v>
      </c>
      <c r="F637" s="1">
        <v>42096</v>
      </c>
      <c r="G637" s="1" t="str">
        <f>TEXT(pizza_sales[[#This Row],[order_date]],"dddd")</f>
        <v>Thursday</v>
      </c>
      <c r="H637" s="2">
        <v>0.51899305555555553</v>
      </c>
      <c r="I637">
        <v>12.25</v>
      </c>
      <c r="J637">
        <v>12.25</v>
      </c>
      <c r="K637" t="s">
        <v>60</v>
      </c>
      <c r="L637" t="s">
        <v>35</v>
      </c>
      <c r="M637" t="s">
        <v>40</v>
      </c>
      <c r="N637" t="s">
        <v>41</v>
      </c>
    </row>
    <row r="638" spans="1:14" x14ac:dyDescent="0.25">
      <c r="A638">
        <v>4659</v>
      </c>
      <c r="B638">
        <v>2066</v>
      </c>
      <c r="C638">
        <f>1/COUNTIF(B:B,pizza_sales[[#This Row],[order_id]])</f>
        <v>0.5</v>
      </c>
      <c r="D638" t="s">
        <v>47</v>
      </c>
      <c r="E638">
        <v>1</v>
      </c>
      <c r="F638" s="1">
        <v>42096</v>
      </c>
      <c r="G638" s="1" t="str">
        <f>TEXT(pizza_sales[[#This Row],[order_date]],"dddd")</f>
        <v>Thursday</v>
      </c>
      <c r="H638" s="2">
        <v>0.530787037037037</v>
      </c>
      <c r="I638">
        <v>16.5</v>
      </c>
      <c r="J638">
        <v>16.5</v>
      </c>
      <c r="K638" t="s">
        <v>58</v>
      </c>
      <c r="L638" t="s">
        <v>13</v>
      </c>
      <c r="M638" t="s">
        <v>14</v>
      </c>
      <c r="N638" t="s">
        <v>15</v>
      </c>
    </row>
    <row r="639" spans="1:14" x14ac:dyDescent="0.25">
      <c r="A639">
        <v>4660</v>
      </c>
      <c r="B639">
        <v>2066</v>
      </c>
      <c r="C639">
        <f>1/COUNTIF(B:B,pizza_sales[[#This Row],[order_id]])</f>
        <v>0.5</v>
      </c>
      <c r="D639" t="s">
        <v>45</v>
      </c>
      <c r="E639">
        <v>1</v>
      </c>
      <c r="F639" s="1">
        <v>42096</v>
      </c>
      <c r="G639" s="1" t="str">
        <f>TEXT(pizza_sales[[#This Row],[order_date]],"dddd")</f>
        <v>Thursday</v>
      </c>
      <c r="H639" s="2">
        <v>0.530787037037037</v>
      </c>
      <c r="I639">
        <v>10.5</v>
      </c>
      <c r="J639">
        <v>10.5</v>
      </c>
      <c r="K639" t="s">
        <v>60</v>
      </c>
      <c r="L639" t="s">
        <v>13</v>
      </c>
      <c r="M639" t="s">
        <v>14</v>
      </c>
      <c r="N639" t="s">
        <v>15</v>
      </c>
    </row>
    <row r="640" spans="1:14" x14ac:dyDescent="0.25">
      <c r="A640">
        <v>4662</v>
      </c>
      <c r="B640">
        <v>2068</v>
      </c>
      <c r="C640">
        <f>1/COUNTIF(B:B,pizza_sales[[#This Row],[order_id]])</f>
        <v>0.5</v>
      </c>
      <c r="D640" t="s">
        <v>28</v>
      </c>
      <c r="E640">
        <v>1</v>
      </c>
      <c r="F640" s="1">
        <v>42096</v>
      </c>
      <c r="G640" s="1" t="str">
        <f>TEXT(pizza_sales[[#This Row],[order_date]],"dddd")</f>
        <v>Thursday</v>
      </c>
      <c r="H640" s="2">
        <v>0.5345833333333333</v>
      </c>
      <c r="I640">
        <v>12</v>
      </c>
      <c r="J640">
        <v>12</v>
      </c>
      <c r="K640" t="s">
        <v>60</v>
      </c>
      <c r="L640" t="s">
        <v>13</v>
      </c>
      <c r="M640" t="s">
        <v>29</v>
      </c>
      <c r="N640" t="s">
        <v>30</v>
      </c>
    </row>
    <row r="641" spans="1:14" x14ac:dyDescent="0.25">
      <c r="A641">
        <v>4663</v>
      </c>
      <c r="B641">
        <v>2068</v>
      </c>
      <c r="C641">
        <f>1/COUNTIF(B:B,pizza_sales[[#This Row],[order_id]])</f>
        <v>0.5</v>
      </c>
      <c r="D641" t="s">
        <v>51</v>
      </c>
      <c r="E641">
        <v>1</v>
      </c>
      <c r="F641" s="1">
        <v>42096</v>
      </c>
      <c r="G641" s="1" t="str">
        <f>TEXT(pizza_sales[[#This Row],[order_date]],"dddd")</f>
        <v>Thursday</v>
      </c>
      <c r="H641" s="2">
        <v>0.5345833333333333</v>
      </c>
      <c r="I641">
        <v>23.65</v>
      </c>
      <c r="J641">
        <v>23.65</v>
      </c>
      <c r="K641" t="s">
        <v>60</v>
      </c>
      <c r="L641" t="s">
        <v>35</v>
      </c>
      <c r="M641" t="s">
        <v>52</v>
      </c>
      <c r="N641" t="s">
        <v>53</v>
      </c>
    </row>
    <row r="642" spans="1:14" x14ac:dyDescent="0.25">
      <c r="A642">
        <v>4664</v>
      </c>
      <c r="B642">
        <v>2069</v>
      </c>
      <c r="C642">
        <f>1/COUNTIF(B:B,pizza_sales[[#This Row],[order_id]])</f>
        <v>1</v>
      </c>
      <c r="D642" t="s">
        <v>42</v>
      </c>
      <c r="E642">
        <v>1</v>
      </c>
      <c r="F642" s="1">
        <v>42096</v>
      </c>
      <c r="G642" s="1" t="str">
        <f>TEXT(pizza_sales[[#This Row],[order_date]],"dddd")</f>
        <v>Thursday</v>
      </c>
      <c r="H642" s="2">
        <v>0.5406481481481481</v>
      </c>
      <c r="I642">
        <v>12.5</v>
      </c>
      <c r="J642">
        <v>12.5</v>
      </c>
      <c r="K642" t="s">
        <v>59</v>
      </c>
      <c r="L642" t="s">
        <v>13</v>
      </c>
      <c r="M642" t="s">
        <v>26</v>
      </c>
      <c r="N642" t="s">
        <v>27</v>
      </c>
    </row>
    <row r="643" spans="1:14" x14ac:dyDescent="0.25">
      <c r="A643">
        <v>4666</v>
      </c>
      <c r="B643">
        <v>2070</v>
      </c>
      <c r="C643">
        <f>1/COUNTIF(B:B,pizza_sales[[#This Row],[order_id]])</f>
        <v>1</v>
      </c>
      <c r="D643" t="s">
        <v>39</v>
      </c>
      <c r="E643">
        <v>1</v>
      </c>
      <c r="F643" s="1">
        <v>42096</v>
      </c>
      <c r="G643" s="1" t="str">
        <f>TEXT(pizza_sales[[#This Row],[order_date]],"dddd")</f>
        <v>Thursday</v>
      </c>
      <c r="H643" s="2">
        <v>0.54221064814814812</v>
      </c>
      <c r="I643">
        <v>20.25</v>
      </c>
      <c r="J643">
        <v>20.25</v>
      </c>
      <c r="K643" t="s">
        <v>58</v>
      </c>
      <c r="L643" t="s">
        <v>35</v>
      </c>
      <c r="M643" t="s">
        <v>40</v>
      </c>
      <c r="N643" t="s">
        <v>41</v>
      </c>
    </row>
    <row r="644" spans="1:14" x14ac:dyDescent="0.25">
      <c r="A644">
        <v>4672</v>
      </c>
      <c r="B644">
        <v>2073</v>
      </c>
      <c r="C644">
        <f>1/COUNTIF(B:B,pizza_sales[[#This Row],[order_id]])</f>
        <v>0.5</v>
      </c>
      <c r="D644" t="s">
        <v>47</v>
      </c>
      <c r="E644">
        <v>1</v>
      </c>
      <c r="F644" s="1">
        <v>42096</v>
      </c>
      <c r="G644" s="1" t="str">
        <f>TEXT(pizza_sales[[#This Row],[order_date]],"dddd")</f>
        <v>Thursday</v>
      </c>
      <c r="H644" s="2">
        <v>0.56656249999999997</v>
      </c>
      <c r="I644">
        <v>16.5</v>
      </c>
      <c r="J644">
        <v>16.5</v>
      </c>
      <c r="K644" t="s">
        <v>58</v>
      </c>
      <c r="L644" t="s">
        <v>13</v>
      </c>
      <c r="M644" t="s">
        <v>14</v>
      </c>
      <c r="N644" t="s">
        <v>15</v>
      </c>
    </row>
    <row r="645" spans="1:14" x14ac:dyDescent="0.25">
      <c r="A645">
        <v>4673</v>
      </c>
      <c r="B645">
        <v>2073</v>
      </c>
      <c r="C645">
        <f>1/COUNTIF(B:B,pizza_sales[[#This Row],[order_id]])</f>
        <v>0.5</v>
      </c>
      <c r="D645" t="s">
        <v>45</v>
      </c>
      <c r="E645">
        <v>1</v>
      </c>
      <c r="F645" s="1">
        <v>42096</v>
      </c>
      <c r="G645" s="1" t="str">
        <f>TEXT(pizza_sales[[#This Row],[order_date]],"dddd")</f>
        <v>Thursday</v>
      </c>
      <c r="H645" s="2">
        <v>0.56656249999999997</v>
      </c>
      <c r="I645">
        <v>10.5</v>
      </c>
      <c r="J645">
        <v>10.5</v>
      </c>
      <c r="K645" t="s">
        <v>60</v>
      </c>
      <c r="L645" t="s">
        <v>13</v>
      </c>
      <c r="M645" t="s">
        <v>14</v>
      </c>
      <c r="N645" t="s">
        <v>15</v>
      </c>
    </row>
    <row r="646" spans="1:14" x14ac:dyDescent="0.25">
      <c r="A646">
        <v>4680</v>
      </c>
      <c r="B646">
        <v>2074</v>
      </c>
      <c r="C646">
        <f>1/COUNTIF(B:B,pizza_sales[[#This Row],[order_id]])</f>
        <v>1</v>
      </c>
      <c r="D646" t="s">
        <v>12</v>
      </c>
      <c r="E646">
        <v>1</v>
      </c>
      <c r="F646" s="1">
        <v>42096</v>
      </c>
      <c r="G646" s="1" t="str">
        <f>TEXT(pizza_sales[[#This Row],[order_date]],"dddd")</f>
        <v>Thursday</v>
      </c>
      <c r="H646" s="2">
        <v>0.57023148148148151</v>
      </c>
      <c r="I646">
        <v>13.25</v>
      </c>
      <c r="J646">
        <v>13.25</v>
      </c>
      <c r="K646" t="s">
        <v>59</v>
      </c>
      <c r="L646" t="s">
        <v>13</v>
      </c>
      <c r="M646" t="s">
        <v>14</v>
      </c>
      <c r="N646" t="s">
        <v>15</v>
      </c>
    </row>
    <row r="647" spans="1:14" x14ac:dyDescent="0.25">
      <c r="A647">
        <v>4681</v>
      </c>
      <c r="B647">
        <v>2075</v>
      </c>
      <c r="C647">
        <f>1/COUNTIF(B:B,pizza_sales[[#This Row],[order_id]])</f>
        <v>0.25</v>
      </c>
      <c r="D647" t="s">
        <v>28</v>
      </c>
      <c r="E647">
        <v>1</v>
      </c>
      <c r="F647" s="1">
        <v>42096</v>
      </c>
      <c r="G647" s="1" t="str">
        <f>TEXT(pizza_sales[[#This Row],[order_date]],"dddd")</f>
        <v>Thursday</v>
      </c>
      <c r="H647" s="2">
        <v>0.58546296296296296</v>
      </c>
      <c r="I647">
        <v>12</v>
      </c>
      <c r="J647">
        <v>12</v>
      </c>
      <c r="K647" t="s">
        <v>60</v>
      </c>
      <c r="L647" t="s">
        <v>13</v>
      </c>
      <c r="M647" t="s">
        <v>29</v>
      </c>
      <c r="N647" t="s">
        <v>30</v>
      </c>
    </row>
    <row r="648" spans="1:14" x14ac:dyDescent="0.25">
      <c r="A648">
        <v>4682</v>
      </c>
      <c r="B648">
        <v>2075</v>
      </c>
      <c r="C648">
        <f>1/COUNTIF(B:B,pizza_sales[[#This Row],[order_id]])</f>
        <v>0.25</v>
      </c>
      <c r="D648" t="s">
        <v>51</v>
      </c>
      <c r="E648">
        <v>1</v>
      </c>
      <c r="F648" s="1">
        <v>42096</v>
      </c>
      <c r="G648" s="1" t="str">
        <f>TEXT(pizza_sales[[#This Row],[order_date]],"dddd")</f>
        <v>Thursday</v>
      </c>
      <c r="H648" s="2">
        <v>0.58546296296296296</v>
      </c>
      <c r="I648">
        <v>23.65</v>
      </c>
      <c r="J648">
        <v>23.65</v>
      </c>
      <c r="K648" t="s">
        <v>60</v>
      </c>
      <c r="L648" t="s">
        <v>35</v>
      </c>
      <c r="M648" t="s">
        <v>52</v>
      </c>
      <c r="N648" t="s">
        <v>53</v>
      </c>
    </row>
    <row r="649" spans="1:14" x14ac:dyDescent="0.25">
      <c r="A649">
        <v>4687</v>
      </c>
      <c r="B649">
        <v>2075</v>
      </c>
      <c r="C649">
        <f>1/COUNTIF(B:B,pizza_sales[[#This Row],[order_id]])</f>
        <v>0.25</v>
      </c>
      <c r="D649" t="s">
        <v>16</v>
      </c>
      <c r="E649">
        <v>1</v>
      </c>
      <c r="F649" s="1">
        <v>42096</v>
      </c>
      <c r="G649" s="1" t="str">
        <f>TEXT(pizza_sales[[#This Row],[order_date]],"dddd")</f>
        <v>Thursday</v>
      </c>
      <c r="H649" s="2">
        <v>0.58546296296296296</v>
      </c>
      <c r="I649">
        <v>16</v>
      </c>
      <c r="J649">
        <v>16</v>
      </c>
      <c r="K649" t="s">
        <v>59</v>
      </c>
      <c r="L649" t="s">
        <v>17</v>
      </c>
      <c r="M649" t="s">
        <v>18</v>
      </c>
      <c r="N649" t="s">
        <v>19</v>
      </c>
    </row>
    <row r="650" spans="1:14" x14ac:dyDescent="0.25">
      <c r="A650">
        <v>4688</v>
      </c>
      <c r="B650">
        <v>2075</v>
      </c>
      <c r="C650">
        <f>1/COUNTIF(B:B,pizza_sales[[#This Row],[order_id]])</f>
        <v>0.25</v>
      </c>
      <c r="D650" t="s">
        <v>50</v>
      </c>
      <c r="E650">
        <v>1</v>
      </c>
      <c r="F650" s="1">
        <v>42096</v>
      </c>
      <c r="G650" s="1" t="str">
        <f>TEXT(pizza_sales[[#This Row],[order_date]],"dddd")</f>
        <v>Thursday</v>
      </c>
      <c r="H650" s="2">
        <v>0.58546296296296296</v>
      </c>
      <c r="I650">
        <v>16</v>
      </c>
      <c r="J650">
        <v>16</v>
      </c>
      <c r="K650" t="s">
        <v>59</v>
      </c>
      <c r="L650" t="s">
        <v>13</v>
      </c>
      <c r="M650" t="s">
        <v>32</v>
      </c>
      <c r="N650" t="s">
        <v>33</v>
      </c>
    </row>
    <row r="651" spans="1:14" x14ac:dyDescent="0.25">
      <c r="A651">
        <v>4702</v>
      </c>
      <c r="B651">
        <v>2081</v>
      </c>
      <c r="C651">
        <f>1/COUNTIF(B:B,pizza_sales[[#This Row],[order_id]])</f>
        <v>0.5</v>
      </c>
      <c r="D651" t="s">
        <v>16</v>
      </c>
      <c r="E651">
        <v>1</v>
      </c>
      <c r="F651" s="1">
        <v>42096</v>
      </c>
      <c r="G651" s="1" t="str">
        <f>TEXT(pizza_sales[[#This Row],[order_date]],"dddd")</f>
        <v>Thursday</v>
      </c>
      <c r="H651" s="2">
        <v>0.63517361111111115</v>
      </c>
      <c r="I651">
        <v>16</v>
      </c>
      <c r="J651">
        <v>16</v>
      </c>
      <c r="K651" t="s">
        <v>59</v>
      </c>
      <c r="L651" t="s">
        <v>17</v>
      </c>
      <c r="M651" t="s">
        <v>18</v>
      </c>
      <c r="N651" t="s">
        <v>19</v>
      </c>
    </row>
    <row r="652" spans="1:14" x14ac:dyDescent="0.25">
      <c r="A652">
        <v>4705</v>
      </c>
      <c r="B652">
        <v>2081</v>
      </c>
      <c r="C652">
        <f>1/COUNTIF(B:B,pizza_sales[[#This Row],[order_id]])</f>
        <v>0.5</v>
      </c>
      <c r="D652" t="s">
        <v>42</v>
      </c>
      <c r="E652">
        <v>1</v>
      </c>
      <c r="F652" s="1">
        <v>42096</v>
      </c>
      <c r="G652" s="1" t="str">
        <f>TEXT(pizza_sales[[#This Row],[order_date]],"dddd")</f>
        <v>Thursday</v>
      </c>
      <c r="H652" s="2">
        <v>0.63517361111111115</v>
      </c>
      <c r="I652">
        <v>12.5</v>
      </c>
      <c r="J652">
        <v>12.5</v>
      </c>
      <c r="K652" t="s">
        <v>59</v>
      </c>
      <c r="L652" t="s">
        <v>13</v>
      </c>
      <c r="M652" t="s">
        <v>26</v>
      </c>
      <c r="N652" t="s">
        <v>27</v>
      </c>
    </row>
    <row r="653" spans="1:14" x14ac:dyDescent="0.25">
      <c r="A653">
        <v>4711</v>
      </c>
      <c r="B653">
        <v>2086</v>
      </c>
      <c r="C653">
        <f>1/COUNTIF(B:B,pizza_sales[[#This Row],[order_id]])</f>
        <v>0.5</v>
      </c>
      <c r="D653" t="s">
        <v>12</v>
      </c>
      <c r="E653">
        <v>1</v>
      </c>
      <c r="F653" s="1">
        <v>42096</v>
      </c>
      <c r="G653" s="1" t="str">
        <f>TEXT(pizza_sales[[#This Row],[order_date]],"dddd")</f>
        <v>Thursday</v>
      </c>
      <c r="H653" s="2">
        <v>0.69363425925925926</v>
      </c>
      <c r="I653">
        <v>13.25</v>
      </c>
      <c r="J653">
        <v>13.25</v>
      </c>
      <c r="K653" t="s">
        <v>59</v>
      </c>
      <c r="L653" t="s">
        <v>13</v>
      </c>
      <c r="M653" t="s">
        <v>14</v>
      </c>
      <c r="N653" t="s">
        <v>15</v>
      </c>
    </row>
    <row r="654" spans="1:14" x14ac:dyDescent="0.25">
      <c r="A654">
        <v>4712</v>
      </c>
      <c r="B654">
        <v>2086</v>
      </c>
      <c r="C654">
        <f>1/COUNTIF(B:B,pizza_sales[[#This Row],[order_id]])</f>
        <v>0.5</v>
      </c>
      <c r="D654" t="s">
        <v>31</v>
      </c>
      <c r="E654">
        <v>1</v>
      </c>
      <c r="F654" s="1">
        <v>42096</v>
      </c>
      <c r="G654" s="1" t="str">
        <f>TEXT(pizza_sales[[#This Row],[order_date]],"dddd")</f>
        <v>Thursday</v>
      </c>
      <c r="H654" s="2">
        <v>0.69363425925925926</v>
      </c>
      <c r="I654">
        <v>12</v>
      </c>
      <c r="J654">
        <v>12</v>
      </c>
      <c r="K654" t="s">
        <v>60</v>
      </c>
      <c r="L654" t="s">
        <v>13</v>
      </c>
      <c r="M654" t="s">
        <v>32</v>
      </c>
      <c r="N654" t="s">
        <v>33</v>
      </c>
    </row>
    <row r="655" spans="1:14" x14ac:dyDescent="0.25">
      <c r="A655">
        <v>4723</v>
      </c>
      <c r="B655">
        <v>2092</v>
      </c>
      <c r="C655">
        <f>1/COUNTIF(B:B,pizza_sales[[#This Row],[order_id]])</f>
        <v>0.5</v>
      </c>
      <c r="D655" t="s">
        <v>12</v>
      </c>
      <c r="E655">
        <v>1</v>
      </c>
      <c r="F655" s="1">
        <v>42096</v>
      </c>
      <c r="G655" s="1" t="str">
        <f>TEXT(pizza_sales[[#This Row],[order_date]],"dddd")</f>
        <v>Thursday</v>
      </c>
      <c r="H655" s="2">
        <v>0.7303587962962963</v>
      </c>
      <c r="I655">
        <v>13.25</v>
      </c>
      <c r="J655">
        <v>13.25</v>
      </c>
      <c r="K655" t="s">
        <v>59</v>
      </c>
      <c r="L655" t="s">
        <v>13</v>
      </c>
      <c r="M655" t="s">
        <v>14</v>
      </c>
      <c r="N655" t="s">
        <v>15</v>
      </c>
    </row>
    <row r="656" spans="1:14" x14ac:dyDescent="0.25">
      <c r="A656">
        <v>4724</v>
      </c>
      <c r="B656">
        <v>2092</v>
      </c>
      <c r="C656">
        <f>1/COUNTIF(B:B,pizza_sales[[#This Row],[order_id]])</f>
        <v>0.5</v>
      </c>
      <c r="D656" t="s">
        <v>24</v>
      </c>
      <c r="E656">
        <v>1</v>
      </c>
      <c r="F656" s="1">
        <v>42096</v>
      </c>
      <c r="G656" s="1" t="str">
        <f>TEXT(pizza_sales[[#This Row],[order_date]],"dddd")</f>
        <v>Thursday</v>
      </c>
      <c r="H656" s="2">
        <v>0.7303587962962963</v>
      </c>
      <c r="I656">
        <v>20.25</v>
      </c>
      <c r="J656">
        <v>20.25</v>
      </c>
      <c r="K656" t="s">
        <v>58</v>
      </c>
      <c r="L656" t="s">
        <v>17</v>
      </c>
      <c r="M656" t="s">
        <v>18</v>
      </c>
      <c r="N656" t="s">
        <v>19</v>
      </c>
    </row>
    <row r="657" spans="1:14" x14ac:dyDescent="0.25">
      <c r="A657">
        <v>4725</v>
      </c>
      <c r="B657">
        <v>2093</v>
      </c>
      <c r="C657">
        <f>1/COUNTIF(B:B,pizza_sales[[#This Row],[order_id]])</f>
        <v>1</v>
      </c>
      <c r="D657" t="s">
        <v>42</v>
      </c>
      <c r="E657">
        <v>1</v>
      </c>
      <c r="F657" s="1">
        <v>42096</v>
      </c>
      <c r="G657" s="1" t="str">
        <f>TEXT(pizza_sales[[#This Row],[order_date]],"dddd")</f>
        <v>Thursday</v>
      </c>
      <c r="H657" s="2">
        <v>0.73158564814814819</v>
      </c>
      <c r="I657">
        <v>12.5</v>
      </c>
      <c r="J657">
        <v>12.5</v>
      </c>
      <c r="K657" t="s">
        <v>59</v>
      </c>
      <c r="L657" t="s">
        <v>13</v>
      </c>
      <c r="M657" t="s">
        <v>26</v>
      </c>
      <c r="N657" t="s">
        <v>27</v>
      </c>
    </row>
    <row r="658" spans="1:14" x14ac:dyDescent="0.25">
      <c r="A658">
        <v>4727</v>
      </c>
      <c r="B658">
        <v>2094</v>
      </c>
      <c r="C658">
        <f>1/COUNTIF(B:B,pizza_sales[[#This Row],[order_id]])</f>
        <v>1</v>
      </c>
      <c r="D658" t="s">
        <v>45</v>
      </c>
      <c r="E658">
        <v>1</v>
      </c>
      <c r="F658" s="1">
        <v>42096</v>
      </c>
      <c r="G658" s="1" t="str">
        <f>TEXT(pizza_sales[[#This Row],[order_date]],"dddd")</f>
        <v>Thursday</v>
      </c>
      <c r="H658" s="2">
        <v>0.73315972222222225</v>
      </c>
      <c r="I658">
        <v>10.5</v>
      </c>
      <c r="J658">
        <v>10.5</v>
      </c>
      <c r="K658" t="s">
        <v>60</v>
      </c>
      <c r="L658" t="s">
        <v>13</v>
      </c>
      <c r="M658" t="s">
        <v>14</v>
      </c>
      <c r="N658" t="s">
        <v>15</v>
      </c>
    </row>
    <row r="659" spans="1:14" x14ac:dyDescent="0.25">
      <c r="A659">
        <v>4736</v>
      </c>
      <c r="B659">
        <v>2097</v>
      </c>
      <c r="C659">
        <f>1/COUNTIF(B:B,pizza_sales[[#This Row],[order_id]])</f>
        <v>1</v>
      </c>
      <c r="D659" t="s">
        <v>46</v>
      </c>
      <c r="E659">
        <v>1</v>
      </c>
      <c r="F659" s="1">
        <v>42096</v>
      </c>
      <c r="G659" s="1" t="str">
        <f>TEXT(pizza_sales[[#This Row],[order_date]],"dddd")</f>
        <v>Thursday</v>
      </c>
      <c r="H659" s="2">
        <v>0.7593981481481481</v>
      </c>
      <c r="I659">
        <v>25.5</v>
      </c>
      <c r="J659">
        <v>25.5</v>
      </c>
      <c r="K659" t="s">
        <v>61</v>
      </c>
      <c r="L659" t="s">
        <v>13</v>
      </c>
      <c r="M659" t="s">
        <v>21</v>
      </c>
      <c r="N659" t="s">
        <v>22</v>
      </c>
    </row>
    <row r="660" spans="1:14" x14ac:dyDescent="0.25">
      <c r="A660">
        <v>4739</v>
      </c>
      <c r="B660">
        <v>2099</v>
      </c>
      <c r="C660">
        <f>1/COUNTIF(B:B,pizza_sales[[#This Row],[order_id]])</f>
        <v>1</v>
      </c>
      <c r="D660" t="s">
        <v>42</v>
      </c>
      <c r="E660">
        <v>1</v>
      </c>
      <c r="F660" s="1">
        <v>42096</v>
      </c>
      <c r="G660" s="1" t="str">
        <f>TEXT(pizza_sales[[#This Row],[order_date]],"dddd")</f>
        <v>Thursday</v>
      </c>
      <c r="H660" s="2">
        <v>0.78075231481481477</v>
      </c>
      <c r="I660">
        <v>12.5</v>
      </c>
      <c r="J660">
        <v>12.5</v>
      </c>
      <c r="K660" t="s">
        <v>59</v>
      </c>
      <c r="L660" t="s">
        <v>13</v>
      </c>
      <c r="M660" t="s">
        <v>26</v>
      </c>
      <c r="N660" t="s">
        <v>27</v>
      </c>
    </row>
    <row r="661" spans="1:14" x14ac:dyDescent="0.25">
      <c r="A661">
        <v>4742</v>
      </c>
      <c r="B661">
        <v>2101</v>
      </c>
      <c r="C661">
        <f>1/COUNTIF(B:B,pizza_sales[[#This Row],[order_id]])</f>
        <v>1</v>
      </c>
      <c r="D661" t="s">
        <v>51</v>
      </c>
      <c r="E661">
        <v>1</v>
      </c>
      <c r="F661" s="1">
        <v>42096</v>
      </c>
      <c r="G661" s="1" t="str">
        <f>TEXT(pizza_sales[[#This Row],[order_date]],"dddd")</f>
        <v>Thursday</v>
      </c>
      <c r="H661" s="2">
        <v>0.81050925925925921</v>
      </c>
      <c r="I661">
        <v>23.65</v>
      </c>
      <c r="J661">
        <v>23.65</v>
      </c>
      <c r="K661" t="s">
        <v>60</v>
      </c>
      <c r="L661" t="s">
        <v>35</v>
      </c>
      <c r="M661" t="s">
        <v>52</v>
      </c>
      <c r="N661" t="s">
        <v>53</v>
      </c>
    </row>
    <row r="662" spans="1:14" x14ac:dyDescent="0.25">
      <c r="A662">
        <v>4745</v>
      </c>
      <c r="B662">
        <v>2102</v>
      </c>
      <c r="C662">
        <f>1/COUNTIF(B:B,pizza_sales[[#This Row],[order_id]])</f>
        <v>0.5</v>
      </c>
      <c r="D662" t="s">
        <v>28</v>
      </c>
      <c r="E662">
        <v>1</v>
      </c>
      <c r="F662" s="1">
        <v>42096</v>
      </c>
      <c r="G662" s="1" t="str">
        <f>TEXT(pizza_sales[[#This Row],[order_date]],"dddd")</f>
        <v>Thursday</v>
      </c>
      <c r="H662" s="2">
        <v>0.8131018518518518</v>
      </c>
      <c r="I662">
        <v>12</v>
      </c>
      <c r="J662">
        <v>12</v>
      </c>
      <c r="K662" t="s">
        <v>60</v>
      </c>
      <c r="L662" t="s">
        <v>13</v>
      </c>
      <c r="M662" t="s">
        <v>29</v>
      </c>
      <c r="N662" t="s">
        <v>30</v>
      </c>
    </row>
    <row r="663" spans="1:14" x14ac:dyDescent="0.25">
      <c r="A663">
        <v>4747</v>
      </c>
      <c r="B663">
        <v>2102</v>
      </c>
      <c r="C663">
        <f>1/COUNTIF(B:B,pizza_sales[[#This Row],[order_id]])</f>
        <v>0.5</v>
      </c>
      <c r="D663" t="s">
        <v>24</v>
      </c>
      <c r="E663">
        <v>1</v>
      </c>
      <c r="F663" s="1">
        <v>42096</v>
      </c>
      <c r="G663" s="1" t="str">
        <f>TEXT(pizza_sales[[#This Row],[order_date]],"dddd")</f>
        <v>Thursday</v>
      </c>
      <c r="H663" s="2">
        <v>0.8131018518518518</v>
      </c>
      <c r="I663">
        <v>20.25</v>
      </c>
      <c r="J663">
        <v>20.25</v>
      </c>
      <c r="K663" t="s">
        <v>58</v>
      </c>
      <c r="L663" t="s">
        <v>17</v>
      </c>
      <c r="M663" t="s">
        <v>18</v>
      </c>
      <c r="N663" t="s">
        <v>19</v>
      </c>
    </row>
    <row r="664" spans="1:14" x14ac:dyDescent="0.25">
      <c r="A664">
        <v>4749</v>
      </c>
      <c r="B664">
        <v>2103</v>
      </c>
      <c r="C664">
        <f>1/COUNTIF(B:B,pizza_sales[[#This Row],[order_id]])</f>
        <v>1</v>
      </c>
      <c r="D664" t="s">
        <v>34</v>
      </c>
      <c r="E664">
        <v>1</v>
      </c>
      <c r="F664" s="1">
        <v>42096</v>
      </c>
      <c r="G664" s="1" t="str">
        <f>TEXT(pizza_sales[[#This Row],[order_date]],"dddd")</f>
        <v>Thursday</v>
      </c>
      <c r="H664" s="2">
        <v>0.81837962962962962</v>
      </c>
      <c r="I664">
        <v>16.25</v>
      </c>
      <c r="J664">
        <v>16.25</v>
      </c>
      <c r="K664" t="s">
        <v>59</v>
      </c>
      <c r="L664" t="s">
        <v>35</v>
      </c>
      <c r="M664" t="s">
        <v>36</v>
      </c>
      <c r="N664" t="s">
        <v>37</v>
      </c>
    </row>
    <row r="665" spans="1:14" x14ac:dyDescent="0.25">
      <c r="A665">
        <v>4753</v>
      </c>
      <c r="B665">
        <v>2104</v>
      </c>
      <c r="C665">
        <f>1/COUNTIF(B:B,pizza_sales[[#This Row],[order_id]])</f>
        <v>1</v>
      </c>
      <c r="D665" t="s">
        <v>24</v>
      </c>
      <c r="E665">
        <v>1</v>
      </c>
      <c r="F665" s="1">
        <v>42096</v>
      </c>
      <c r="G665" s="1" t="str">
        <f>TEXT(pizza_sales[[#This Row],[order_date]],"dddd")</f>
        <v>Thursday</v>
      </c>
      <c r="H665" s="2">
        <v>0.84008101851851846</v>
      </c>
      <c r="I665">
        <v>20.25</v>
      </c>
      <c r="J665">
        <v>20.25</v>
      </c>
      <c r="K665" t="s">
        <v>58</v>
      </c>
      <c r="L665" t="s">
        <v>17</v>
      </c>
      <c r="M665" t="s">
        <v>18</v>
      </c>
      <c r="N665" t="s">
        <v>19</v>
      </c>
    </row>
    <row r="666" spans="1:14" x14ac:dyDescent="0.25">
      <c r="A666">
        <v>4757</v>
      </c>
      <c r="B666">
        <v>2106</v>
      </c>
      <c r="C666">
        <f>1/COUNTIF(B:B,pizza_sales[[#This Row],[order_id]])</f>
        <v>1</v>
      </c>
      <c r="D666" t="s">
        <v>20</v>
      </c>
      <c r="E666">
        <v>1</v>
      </c>
      <c r="F666" s="1">
        <v>42096</v>
      </c>
      <c r="G666" s="1" t="str">
        <f>TEXT(pizza_sales[[#This Row],[order_date]],"dddd")</f>
        <v>Thursday</v>
      </c>
      <c r="H666" s="2">
        <v>0.87145833333333333</v>
      </c>
      <c r="I666">
        <v>12</v>
      </c>
      <c r="J666">
        <v>12</v>
      </c>
      <c r="K666" t="s">
        <v>60</v>
      </c>
      <c r="L666" t="s">
        <v>13</v>
      </c>
      <c r="M666" t="s">
        <v>21</v>
      </c>
      <c r="N666" t="s">
        <v>22</v>
      </c>
    </row>
    <row r="667" spans="1:14" x14ac:dyDescent="0.25">
      <c r="A667">
        <v>4765</v>
      </c>
      <c r="B667">
        <v>2109</v>
      </c>
      <c r="C667">
        <f>1/COUNTIF(B:B,pizza_sales[[#This Row],[order_id]])</f>
        <v>1</v>
      </c>
      <c r="D667" t="s">
        <v>44</v>
      </c>
      <c r="E667">
        <v>1</v>
      </c>
      <c r="F667" s="1">
        <v>42096</v>
      </c>
      <c r="G667" s="1" t="str">
        <f>TEXT(pizza_sales[[#This Row],[order_date]],"dddd")</f>
        <v>Thursday</v>
      </c>
      <c r="H667" s="2">
        <v>0.88418981481481485</v>
      </c>
      <c r="I667">
        <v>9.75</v>
      </c>
      <c r="J667">
        <v>9.75</v>
      </c>
      <c r="K667" t="s">
        <v>60</v>
      </c>
      <c r="L667" t="s">
        <v>13</v>
      </c>
      <c r="M667" t="s">
        <v>26</v>
      </c>
      <c r="N667" t="s">
        <v>27</v>
      </c>
    </row>
    <row r="668" spans="1:14" x14ac:dyDescent="0.25">
      <c r="A668">
        <v>4766</v>
      </c>
      <c r="B668">
        <v>2110</v>
      </c>
      <c r="C668">
        <f>1/COUNTIF(B:B,pizza_sales[[#This Row],[order_id]])</f>
        <v>1</v>
      </c>
      <c r="D668" t="s">
        <v>38</v>
      </c>
      <c r="E668">
        <v>1</v>
      </c>
      <c r="F668" s="1">
        <v>42096</v>
      </c>
      <c r="G668" s="1" t="str">
        <f>TEXT(pizza_sales[[#This Row],[order_date]],"dddd")</f>
        <v>Thursday</v>
      </c>
      <c r="H668" s="2">
        <v>0.88650462962962961</v>
      </c>
      <c r="I668">
        <v>20.5</v>
      </c>
      <c r="J668">
        <v>20.5</v>
      </c>
      <c r="K668" t="s">
        <v>58</v>
      </c>
      <c r="L668" t="s">
        <v>13</v>
      </c>
      <c r="M668" t="s">
        <v>32</v>
      </c>
      <c r="N668" t="s">
        <v>33</v>
      </c>
    </row>
    <row r="669" spans="1:14" x14ac:dyDescent="0.25">
      <c r="A669">
        <v>4771</v>
      </c>
      <c r="B669">
        <v>2111</v>
      </c>
      <c r="C669">
        <f>1/COUNTIF(B:B,pizza_sales[[#This Row],[order_id]])</f>
        <v>1</v>
      </c>
      <c r="D669" t="s">
        <v>44</v>
      </c>
      <c r="E669">
        <v>1</v>
      </c>
      <c r="F669" s="1">
        <v>42096</v>
      </c>
      <c r="G669" s="1" t="str">
        <f>TEXT(pizza_sales[[#This Row],[order_date]],"dddd")</f>
        <v>Thursday</v>
      </c>
      <c r="H669" s="2">
        <v>0.89495370370370375</v>
      </c>
      <c r="I669">
        <v>9.75</v>
      </c>
      <c r="J669">
        <v>9.75</v>
      </c>
      <c r="K669" t="s">
        <v>60</v>
      </c>
      <c r="L669" t="s">
        <v>13</v>
      </c>
      <c r="M669" t="s">
        <v>26</v>
      </c>
      <c r="N669" t="s">
        <v>27</v>
      </c>
    </row>
    <row r="670" spans="1:14" x14ac:dyDescent="0.25">
      <c r="A670">
        <v>4774</v>
      </c>
      <c r="B670">
        <v>2113</v>
      </c>
      <c r="C670">
        <f>1/COUNTIF(B:B,pizza_sales[[#This Row],[order_id]])</f>
        <v>1</v>
      </c>
      <c r="D670" t="s">
        <v>16</v>
      </c>
      <c r="E670">
        <v>1</v>
      </c>
      <c r="F670" s="1">
        <v>42096</v>
      </c>
      <c r="G670" s="1" t="str">
        <f>TEXT(pizza_sales[[#This Row],[order_date]],"dddd")</f>
        <v>Thursday</v>
      </c>
      <c r="H670" s="2">
        <v>0.92787037037037035</v>
      </c>
      <c r="I670">
        <v>16</v>
      </c>
      <c r="J670">
        <v>16</v>
      </c>
      <c r="K670" t="s">
        <v>59</v>
      </c>
      <c r="L670" t="s">
        <v>17</v>
      </c>
      <c r="M670" t="s">
        <v>18</v>
      </c>
      <c r="N670" t="s">
        <v>19</v>
      </c>
    </row>
    <row r="671" spans="1:14" x14ac:dyDescent="0.25">
      <c r="A671">
        <v>4776</v>
      </c>
      <c r="B671">
        <v>2115</v>
      </c>
      <c r="C671">
        <f>1/COUNTIF(B:B,pizza_sales[[#This Row],[order_id]])</f>
        <v>0.33333333333333331</v>
      </c>
      <c r="D671" t="s">
        <v>28</v>
      </c>
      <c r="E671">
        <v>1</v>
      </c>
      <c r="F671" s="1">
        <v>42126</v>
      </c>
      <c r="G671" s="1" t="str">
        <f>TEXT(pizza_sales[[#This Row],[order_date]],"dddd")</f>
        <v>Saturday</v>
      </c>
      <c r="H671" s="2">
        <v>0.4689699074074074</v>
      </c>
      <c r="I671">
        <v>12</v>
      </c>
      <c r="J671">
        <v>12</v>
      </c>
      <c r="K671" t="s">
        <v>60</v>
      </c>
      <c r="L671" t="s">
        <v>13</v>
      </c>
      <c r="M671" t="s">
        <v>29</v>
      </c>
      <c r="N671" t="s">
        <v>30</v>
      </c>
    </row>
    <row r="672" spans="1:14" x14ac:dyDescent="0.25">
      <c r="A672">
        <v>4777</v>
      </c>
      <c r="B672">
        <v>2115</v>
      </c>
      <c r="C672">
        <f>1/COUNTIF(B:B,pizza_sales[[#This Row],[order_id]])</f>
        <v>0.33333333333333331</v>
      </c>
      <c r="D672" t="s">
        <v>45</v>
      </c>
      <c r="E672">
        <v>1</v>
      </c>
      <c r="F672" s="1">
        <v>42126</v>
      </c>
      <c r="G672" s="1" t="str">
        <f>TEXT(pizza_sales[[#This Row],[order_date]],"dddd")</f>
        <v>Saturday</v>
      </c>
      <c r="H672" s="2">
        <v>0.4689699074074074</v>
      </c>
      <c r="I672">
        <v>10.5</v>
      </c>
      <c r="J672">
        <v>10.5</v>
      </c>
      <c r="K672" t="s">
        <v>60</v>
      </c>
      <c r="L672" t="s">
        <v>13</v>
      </c>
      <c r="M672" t="s">
        <v>14</v>
      </c>
      <c r="N672" t="s">
        <v>15</v>
      </c>
    </row>
    <row r="673" spans="1:14" x14ac:dyDescent="0.25">
      <c r="A673">
        <v>4778</v>
      </c>
      <c r="B673">
        <v>2115</v>
      </c>
      <c r="C673">
        <f>1/COUNTIF(B:B,pizza_sales[[#This Row],[order_id]])</f>
        <v>0.33333333333333331</v>
      </c>
      <c r="D673" t="s">
        <v>25</v>
      </c>
      <c r="E673">
        <v>1</v>
      </c>
      <c r="F673" s="1">
        <v>42126</v>
      </c>
      <c r="G673" s="1" t="str">
        <f>TEXT(pizza_sales[[#This Row],[order_date]],"dddd")</f>
        <v>Saturday</v>
      </c>
      <c r="H673" s="2">
        <v>0.4689699074074074</v>
      </c>
      <c r="I673">
        <v>15.25</v>
      </c>
      <c r="J673">
        <v>15.25</v>
      </c>
      <c r="K673" t="s">
        <v>58</v>
      </c>
      <c r="L673" t="s">
        <v>13</v>
      </c>
      <c r="M673" t="s">
        <v>26</v>
      </c>
      <c r="N673" t="s">
        <v>27</v>
      </c>
    </row>
    <row r="674" spans="1:14" x14ac:dyDescent="0.25">
      <c r="A674">
        <v>4780</v>
      </c>
      <c r="B674">
        <v>2116</v>
      </c>
      <c r="C674">
        <f>1/COUNTIF(B:B,pizza_sales[[#This Row],[order_id]])</f>
        <v>1</v>
      </c>
      <c r="D674" t="s">
        <v>16</v>
      </c>
      <c r="E674">
        <v>1</v>
      </c>
      <c r="F674" s="1">
        <v>42126</v>
      </c>
      <c r="G674" s="1" t="str">
        <f>TEXT(pizza_sales[[#This Row],[order_date]],"dddd")</f>
        <v>Saturday</v>
      </c>
      <c r="H674" s="2">
        <v>0.50824074074074077</v>
      </c>
      <c r="I674">
        <v>16</v>
      </c>
      <c r="J674">
        <v>16</v>
      </c>
      <c r="K674" t="s">
        <v>59</v>
      </c>
      <c r="L674" t="s">
        <v>17</v>
      </c>
      <c r="M674" t="s">
        <v>18</v>
      </c>
      <c r="N674" t="s">
        <v>19</v>
      </c>
    </row>
    <row r="675" spans="1:14" x14ac:dyDescent="0.25">
      <c r="A675">
        <v>4781</v>
      </c>
      <c r="B675">
        <v>2117</v>
      </c>
      <c r="C675">
        <f>1/COUNTIF(B:B,pizza_sales[[#This Row],[order_id]])</f>
        <v>1</v>
      </c>
      <c r="D675" t="s">
        <v>43</v>
      </c>
      <c r="E675">
        <v>1</v>
      </c>
      <c r="F675" s="1">
        <v>42126</v>
      </c>
      <c r="G675" s="1" t="str">
        <f>TEXT(pizza_sales[[#This Row],[order_date]],"dddd")</f>
        <v>Saturday</v>
      </c>
      <c r="H675" s="2">
        <v>0.51427083333333334</v>
      </c>
      <c r="I675">
        <v>16.25</v>
      </c>
      <c r="J675">
        <v>16.25</v>
      </c>
      <c r="K675" t="s">
        <v>59</v>
      </c>
      <c r="L675" t="s">
        <v>35</v>
      </c>
      <c r="M675" t="s">
        <v>40</v>
      </c>
      <c r="N675" t="s">
        <v>41</v>
      </c>
    </row>
    <row r="676" spans="1:14" x14ac:dyDescent="0.25">
      <c r="A676">
        <v>4785</v>
      </c>
      <c r="B676">
        <v>2119</v>
      </c>
      <c r="C676">
        <f>1/COUNTIF(B:B,pizza_sales[[#This Row],[order_id]])</f>
        <v>1</v>
      </c>
      <c r="D676" t="s">
        <v>38</v>
      </c>
      <c r="E676">
        <v>1</v>
      </c>
      <c r="F676" s="1">
        <v>42126</v>
      </c>
      <c r="G676" s="1" t="str">
        <f>TEXT(pizza_sales[[#This Row],[order_date]],"dddd")</f>
        <v>Saturday</v>
      </c>
      <c r="H676" s="2">
        <v>0.52136574074074071</v>
      </c>
      <c r="I676">
        <v>20.5</v>
      </c>
      <c r="J676">
        <v>20.5</v>
      </c>
      <c r="K676" t="s">
        <v>58</v>
      </c>
      <c r="L676" t="s">
        <v>13</v>
      </c>
      <c r="M676" t="s">
        <v>32</v>
      </c>
      <c r="N676" t="s">
        <v>33</v>
      </c>
    </row>
    <row r="677" spans="1:14" x14ac:dyDescent="0.25">
      <c r="A677">
        <v>4786</v>
      </c>
      <c r="B677">
        <v>2120</v>
      </c>
      <c r="C677">
        <f>1/COUNTIF(B:B,pizza_sales[[#This Row],[order_id]])</f>
        <v>1</v>
      </c>
      <c r="D677" t="s">
        <v>49</v>
      </c>
      <c r="E677">
        <v>1</v>
      </c>
      <c r="F677" s="1">
        <v>42126</v>
      </c>
      <c r="G677" s="1" t="str">
        <f>TEXT(pizza_sales[[#This Row],[order_date]],"dddd")</f>
        <v>Saturday</v>
      </c>
      <c r="H677" s="2">
        <v>0.53277777777777779</v>
      </c>
      <c r="I677">
        <v>16</v>
      </c>
      <c r="J677">
        <v>16</v>
      </c>
      <c r="K677" t="s">
        <v>59</v>
      </c>
      <c r="L677" t="s">
        <v>13</v>
      </c>
      <c r="M677" t="s">
        <v>21</v>
      </c>
      <c r="N677" t="s">
        <v>22</v>
      </c>
    </row>
    <row r="678" spans="1:14" x14ac:dyDescent="0.25">
      <c r="A678">
        <v>4787</v>
      </c>
      <c r="B678">
        <v>2121</v>
      </c>
      <c r="C678">
        <f>1/COUNTIF(B:B,pizza_sales[[#This Row],[order_id]])</f>
        <v>1</v>
      </c>
      <c r="D678" t="s">
        <v>55</v>
      </c>
      <c r="E678">
        <v>1</v>
      </c>
      <c r="F678" s="1">
        <v>42126</v>
      </c>
      <c r="G678" s="1" t="str">
        <f>TEXT(pizza_sales[[#This Row],[order_date]],"dddd")</f>
        <v>Saturday</v>
      </c>
      <c r="H678" s="2">
        <v>0.53531249999999997</v>
      </c>
      <c r="I678">
        <v>20.5</v>
      </c>
      <c r="J678">
        <v>20.5</v>
      </c>
      <c r="K678" t="s">
        <v>58</v>
      </c>
      <c r="L678" t="s">
        <v>13</v>
      </c>
      <c r="M678" t="s">
        <v>21</v>
      </c>
      <c r="N678" t="s">
        <v>22</v>
      </c>
    </row>
    <row r="679" spans="1:14" x14ac:dyDescent="0.25">
      <c r="A679">
        <v>4792</v>
      </c>
      <c r="B679">
        <v>2124</v>
      </c>
      <c r="C679">
        <f>1/COUNTIF(B:B,pizza_sales[[#This Row],[order_id]])</f>
        <v>0.33333333333333331</v>
      </c>
      <c r="D679" t="s">
        <v>16</v>
      </c>
      <c r="E679">
        <v>1</v>
      </c>
      <c r="F679" s="1">
        <v>42126</v>
      </c>
      <c r="G679" s="1" t="str">
        <f>TEXT(pizza_sales[[#This Row],[order_date]],"dddd")</f>
        <v>Saturday</v>
      </c>
      <c r="H679" s="2">
        <v>0.53920138888888891</v>
      </c>
      <c r="I679">
        <v>16</v>
      </c>
      <c r="J679">
        <v>16</v>
      </c>
      <c r="K679" t="s">
        <v>59</v>
      </c>
      <c r="L679" t="s">
        <v>17</v>
      </c>
      <c r="M679" t="s">
        <v>18</v>
      </c>
      <c r="N679" t="s">
        <v>19</v>
      </c>
    </row>
    <row r="680" spans="1:14" x14ac:dyDescent="0.25">
      <c r="A680">
        <v>4793</v>
      </c>
      <c r="B680">
        <v>2124</v>
      </c>
      <c r="C680">
        <f>1/COUNTIF(B:B,pizza_sales[[#This Row],[order_id]])</f>
        <v>0.33333333333333331</v>
      </c>
      <c r="D680" t="s">
        <v>39</v>
      </c>
      <c r="E680">
        <v>1</v>
      </c>
      <c r="F680" s="1">
        <v>42126</v>
      </c>
      <c r="G680" s="1" t="str">
        <f>TEXT(pizza_sales[[#This Row],[order_date]],"dddd")</f>
        <v>Saturday</v>
      </c>
      <c r="H680" s="2">
        <v>0.53920138888888891</v>
      </c>
      <c r="I680">
        <v>20.25</v>
      </c>
      <c r="J680">
        <v>20.25</v>
      </c>
      <c r="K680" t="s">
        <v>58</v>
      </c>
      <c r="L680" t="s">
        <v>35</v>
      </c>
      <c r="M680" t="s">
        <v>40</v>
      </c>
      <c r="N680" t="s">
        <v>41</v>
      </c>
    </row>
    <row r="681" spans="1:14" x14ac:dyDescent="0.25">
      <c r="A681">
        <v>4794</v>
      </c>
      <c r="B681">
        <v>2124</v>
      </c>
      <c r="C681">
        <f>1/COUNTIF(B:B,pizza_sales[[#This Row],[order_id]])</f>
        <v>0.33333333333333331</v>
      </c>
      <c r="D681" t="s">
        <v>48</v>
      </c>
      <c r="E681">
        <v>1</v>
      </c>
      <c r="F681" s="1">
        <v>42126</v>
      </c>
      <c r="G681" s="1" t="str">
        <f>TEXT(pizza_sales[[#This Row],[order_date]],"dddd")</f>
        <v>Saturday</v>
      </c>
      <c r="H681" s="2">
        <v>0.53920138888888891</v>
      </c>
      <c r="I681">
        <v>12.25</v>
      </c>
      <c r="J681">
        <v>12.25</v>
      </c>
      <c r="K681" t="s">
        <v>60</v>
      </c>
      <c r="L681" t="s">
        <v>35</v>
      </c>
      <c r="M681" t="s">
        <v>40</v>
      </c>
      <c r="N681" t="s">
        <v>41</v>
      </c>
    </row>
    <row r="682" spans="1:14" x14ac:dyDescent="0.25">
      <c r="A682">
        <v>4796</v>
      </c>
      <c r="B682">
        <v>2125</v>
      </c>
      <c r="C682">
        <f>1/COUNTIF(B:B,pizza_sales[[#This Row],[order_id]])</f>
        <v>1</v>
      </c>
      <c r="D682" t="s">
        <v>47</v>
      </c>
      <c r="E682">
        <v>1</v>
      </c>
      <c r="F682" s="1">
        <v>42126</v>
      </c>
      <c r="G682" s="1" t="str">
        <f>TEXT(pizza_sales[[#This Row],[order_date]],"dddd")</f>
        <v>Saturday</v>
      </c>
      <c r="H682" s="2">
        <v>0.54594907407407411</v>
      </c>
      <c r="I682">
        <v>16.5</v>
      </c>
      <c r="J682">
        <v>16.5</v>
      </c>
      <c r="K682" t="s">
        <v>58</v>
      </c>
      <c r="L682" t="s">
        <v>13</v>
      </c>
      <c r="M682" t="s">
        <v>14</v>
      </c>
      <c r="N682" t="s">
        <v>15</v>
      </c>
    </row>
    <row r="683" spans="1:14" x14ac:dyDescent="0.25">
      <c r="A683">
        <v>4802</v>
      </c>
      <c r="B683">
        <v>2126</v>
      </c>
      <c r="C683">
        <f>1/COUNTIF(B:B,pizza_sales[[#This Row],[order_id]])</f>
        <v>0.25</v>
      </c>
      <c r="D683" t="s">
        <v>47</v>
      </c>
      <c r="E683">
        <v>1</v>
      </c>
      <c r="F683" s="1">
        <v>42126</v>
      </c>
      <c r="G683" s="1" t="str">
        <f>TEXT(pizza_sales[[#This Row],[order_date]],"dddd")</f>
        <v>Saturday</v>
      </c>
      <c r="H683" s="2">
        <v>0.56353009259259257</v>
      </c>
      <c r="I683">
        <v>16.5</v>
      </c>
      <c r="J683">
        <v>16.5</v>
      </c>
      <c r="K683" t="s">
        <v>58</v>
      </c>
      <c r="L683" t="s">
        <v>13</v>
      </c>
      <c r="M683" t="s">
        <v>14</v>
      </c>
      <c r="N683" t="s">
        <v>15</v>
      </c>
    </row>
    <row r="684" spans="1:14" x14ac:dyDescent="0.25">
      <c r="A684">
        <v>4804</v>
      </c>
      <c r="B684">
        <v>2126</v>
      </c>
      <c r="C684">
        <f>1/COUNTIF(B:B,pizza_sales[[#This Row],[order_id]])</f>
        <v>0.25</v>
      </c>
      <c r="D684" t="s">
        <v>38</v>
      </c>
      <c r="E684">
        <v>1</v>
      </c>
      <c r="F684" s="1">
        <v>42126</v>
      </c>
      <c r="G684" s="1" t="str">
        <f>TEXT(pizza_sales[[#This Row],[order_date]],"dddd")</f>
        <v>Saturday</v>
      </c>
      <c r="H684" s="2">
        <v>0.56353009259259257</v>
      </c>
      <c r="I684">
        <v>20.5</v>
      </c>
      <c r="J684">
        <v>20.5</v>
      </c>
      <c r="K684" t="s">
        <v>58</v>
      </c>
      <c r="L684" t="s">
        <v>13</v>
      </c>
      <c r="M684" t="s">
        <v>32</v>
      </c>
      <c r="N684" t="s">
        <v>33</v>
      </c>
    </row>
    <row r="685" spans="1:14" x14ac:dyDescent="0.25">
      <c r="A685">
        <v>4805</v>
      </c>
      <c r="B685">
        <v>2126</v>
      </c>
      <c r="C685">
        <f>1/COUNTIF(B:B,pizza_sales[[#This Row],[order_id]])</f>
        <v>0.25</v>
      </c>
      <c r="D685" t="s">
        <v>25</v>
      </c>
      <c r="E685">
        <v>1</v>
      </c>
      <c r="F685" s="1">
        <v>42126</v>
      </c>
      <c r="G685" s="1" t="str">
        <f>TEXT(pizza_sales[[#This Row],[order_date]],"dddd")</f>
        <v>Saturday</v>
      </c>
      <c r="H685" s="2">
        <v>0.56353009259259257</v>
      </c>
      <c r="I685">
        <v>15.25</v>
      </c>
      <c r="J685">
        <v>15.25</v>
      </c>
      <c r="K685" t="s">
        <v>58</v>
      </c>
      <c r="L685" t="s">
        <v>13</v>
      </c>
      <c r="M685" t="s">
        <v>26</v>
      </c>
      <c r="N685" t="s">
        <v>27</v>
      </c>
    </row>
    <row r="686" spans="1:14" x14ac:dyDescent="0.25">
      <c r="A686">
        <v>4808</v>
      </c>
      <c r="B686">
        <v>2126</v>
      </c>
      <c r="C686">
        <f>1/COUNTIF(B:B,pizza_sales[[#This Row],[order_id]])</f>
        <v>0.25</v>
      </c>
      <c r="D686" t="s">
        <v>48</v>
      </c>
      <c r="E686">
        <v>1</v>
      </c>
      <c r="F686" s="1">
        <v>42126</v>
      </c>
      <c r="G686" s="1" t="str">
        <f>TEXT(pizza_sales[[#This Row],[order_date]],"dddd")</f>
        <v>Saturday</v>
      </c>
      <c r="H686" s="2">
        <v>0.56353009259259257</v>
      </c>
      <c r="I686">
        <v>12.25</v>
      </c>
      <c r="J686">
        <v>12.25</v>
      </c>
      <c r="K686" t="s">
        <v>60</v>
      </c>
      <c r="L686" t="s">
        <v>35</v>
      </c>
      <c r="M686" t="s">
        <v>40</v>
      </c>
      <c r="N686" t="s">
        <v>41</v>
      </c>
    </row>
    <row r="687" spans="1:14" x14ac:dyDescent="0.25">
      <c r="A687">
        <v>4812</v>
      </c>
      <c r="B687">
        <v>2128</v>
      </c>
      <c r="C687">
        <f>1/COUNTIF(B:B,pizza_sales[[#This Row],[order_id]])</f>
        <v>1</v>
      </c>
      <c r="D687" t="s">
        <v>48</v>
      </c>
      <c r="E687">
        <v>1</v>
      </c>
      <c r="F687" s="1">
        <v>42126</v>
      </c>
      <c r="G687" s="1" t="str">
        <f>TEXT(pizza_sales[[#This Row],[order_date]],"dddd")</f>
        <v>Saturday</v>
      </c>
      <c r="H687" s="2">
        <v>0.57141203703703702</v>
      </c>
      <c r="I687">
        <v>12.25</v>
      </c>
      <c r="J687">
        <v>12.25</v>
      </c>
      <c r="K687" t="s">
        <v>60</v>
      </c>
      <c r="L687" t="s">
        <v>35</v>
      </c>
      <c r="M687" t="s">
        <v>40</v>
      </c>
      <c r="N687" t="s">
        <v>41</v>
      </c>
    </row>
    <row r="688" spans="1:14" x14ac:dyDescent="0.25">
      <c r="A688">
        <v>4814</v>
      </c>
      <c r="B688">
        <v>2129</v>
      </c>
      <c r="C688">
        <f>1/COUNTIF(B:B,pizza_sales[[#This Row],[order_id]])</f>
        <v>1</v>
      </c>
      <c r="D688" t="s">
        <v>45</v>
      </c>
      <c r="E688">
        <v>1</v>
      </c>
      <c r="F688" s="1">
        <v>42126</v>
      </c>
      <c r="G688" s="1" t="str">
        <f>TEXT(pizza_sales[[#This Row],[order_date]],"dddd")</f>
        <v>Saturday</v>
      </c>
      <c r="H688" s="2">
        <v>0.57543981481481477</v>
      </c>
      <c r="I688">
        <v>10.5</v>
      </c>
      <c r="J688">
        <v>10.5</v>
      </c>
      <c r="K688" t="s">
        <v>60</v>
      </c>
      <c r="L688" t="s">
        <v>13</v>
      </c>
      <c r="M688" t="s">
        <v>14</v>
      </c>
      <c r="N688" t="s">
        <v>15</v>
      </c>
    </row>
    <row r="689" spans="1:14" x14ac:dyDescent="0.25">
      <c r="A689">
        <v>4818</v>
      </c>
      <c r="B689">
        <v>2131</v>
      </c>
      <c r="C689">
        <f>1/COUNTIF(B:B,pizza_sales[[#This Row],[order_id]])</f>
        <v>1</v>
      </c>
      <c r="D689" t="s">
        <v>34</v>
      </c>
      <c r="E689">
        <v>1</v>
      </c>
      <c r="F689" s="1">
        <v>42126</v>
      </c>
      <c r="G689" s="1" t="str">
        <f>TEXT(pizza_sales[[#This Row],[order_date]],"dddd")</f>
        <v>Saturday</v>
      </c>
      <c r="H689" s="2">
        <v>0.59541666666666671</v>
      </c>
      <c r="I689">
        <v>16.25</v>
      </c>
      <c r="J689">
        <v>16.25</v>
      </c>
      <c r="K689" t="s">
        <v>59</v>
      </c>
      <c r="L689" t="s">
        <v>35</v>
      </c>
      <c r="M689" t="s">
        <v>36</v>
      </c>
      <c r="N689" t="s">
        <v>37</v>
      </c>
    </row>
    <row r="690" spans="1:14" x14ac:dyDescent="0.25">
      <c r="A690">
        <v>4819</v>
      </c>
      <c r="B690">
        <v>2132</v>
      </c>
      <c r="C690">
        <f>1/COUNTIF(B:B,pizza_sales[[#This Row],[order_id]])</f>
        <v>0.25</v>
      </c>
      <c r="D690" t="s">
        <v>51</v>
      </c>
      <c r="E690">
        <v>1</v>
      </c>
      <c r="F690" s="1">
        <v>42126</v>
      </c>
      <c r="G690" s="1" t="str">
        <f>TEXT(pizza_sales[[#This Row],[order_date]],"dddd")</f>
        <v>Saturday</v>
      </c>
      <c r="H690" s="2">
        <v>0.59587962962962959</v>
      </c>
      <c r="I690">
        <v>23.65</v>
      </c>
      <c r="J690">
        <v>23.65</v>
      </c>
      <c r="K690" t="s">
        <v>60</v>
      </c>
      <c r="L690" t="s">
        <v>35</v>
      </c>
      <c r="M690" t="s">
        <v>52</v>
      </c>
      <c r="N690" t="s">
        <v>53</v>
      </c>
    </row>
    <row r="691" spans="1:14" x14ac:dyDescent="0.25">
      <c r="A691">
        <v>4820</v>
      </c>
      <c r="B691">
        <v>2132</v>
      </c>
      <c r="C691">
        <f>1/COUNTIF(B:B,pizza_sales[[#This Row],[order_id]])</f>
        <v>0.25</v>
      </c>
      <c r="D691" t="s">
        <v>12</v>
      </c>
      <c r="E691">
        <v>1</v>
      </c>
      <c r="F691" s="1">
        <v>42126</v>
      </c>
      <c r="G691" s="1" t="str">
        <f>TEXT(pizza_sales[[#This Row],[order_date]],"dddd")</f>
        <v>Saturday</v>
      </c>
      <c r="H691" s="2">
        <v>0.59587962962962959</v>
      </c>
      <c r="I691">
        <v>13.25</v>
      </c>
      <c r="J691">
        <v>13.25</v>
      </c>
      <c r="K691" t="s">
        <v>59</v>
      </c>
      <c r="L691" t="s">
        <v>13</v>
      </c>
      <c r="M691" t="s">
        <v>14</v>
      </c>
      <c r="N691" t="s">
        <v>15</v>
      </c>
    </row>
    <row r="692" spans="1:14" x14ac:dyDescent="0.25">
      <c r="A692">
        <v>4821</v>
      </c>
      <c r="B692">
        <v>2132</v>
      </c>
      <c r="C692">
        <f>1/COUNTIF(B:B,pizza_sales[[#This Row],[order_id]])</f>
        <v>0.25</v>
      </c>
      <c r="D692" t="s">
        <v>31</v>
      </c>
      <c r="E692">
        <v>1</v>
      </c>
      <c r="F692" s="1">
        <v>42126</v>
      </c>
      <c r="G692" s="1" t="str">
        <f>TEXT(pizza_sales[[#This Row],[order_date]],"dddd")</f>
        <v>Saturday</v>
      </c>
      <c r="H692" s="2">
        <v>0.59587962962962959</v>
      </c>
      <c r="I692">
        <v>12</v>
      </c>
      <c r="J692">
        <v>12</v>
      </c>
      <c r="K692" t="s">
        <v>60</v>
      </c>
      <c r="L692" t="s">
        <v>13</v>
      </c>
      <c r="M692" t="s">
        <v>32</v>
      </c>
      <c r="N692" t="s">
        <v>33</v>
      </c>
    </row>
    <row r="693" spans="1:14" x14ac:dyDescent="0.25">
      <c r="A693">
        <v>4822</v>
      </c>
      <c r="B693">
        <v>2132</v>
      </c>
      <c r="C693">
        <f>1/COUNTIF(B:B,pizza_sales[[#This Row],[order_id]])</f>
        <v>0.25</v>
      </c>
      <c r="D693" t="s">
        <v>20</v>
      </c>
      <c r="E693">
        <v>1</v>
      </c>
      <c r="F693" s="1">
        <v>42126</v>
      </c>
      <c r="G693" s="1" t="str">
        <f>TEXT(pizza_sales[[#This Row],[order_date]],"dddd")</f>
        <v>Saturday</v>
      </c>
      <c r="H693" s="2">
        <v>0.59587962962962959</v>
      </c>
      <c r="I693">
        <v>12</v>
      </c>
      <c r="J693">
        <v>12</v>
      </c>
      <c r="K693" t="s">
        <v>60</v>
      </c>
      <c r="L693" t="s">
        <v>13</v>
      </c>
      <c r="M693" t="s">
        <v>21</v>
      </c>
      <c r="N693" t="s">
        <v>22</v>
      </c>
    </row>
    <row r="694" spans="1:14" x14ac:dyDescent="0.25">
      <c r="A694">
        <v>4825</v>
      </c>
      <c r="B694">
        <v>2134</v>
      </c>
      <c r="C694">
        <f>1/COUNTIF(B:B,pizza_sales[[#This Row],[order_id]])</f>
        <v>1</v>
      </c>
      <c r="D694" t="s">
        <v>44</v>
      </c>
      <c r="E694">
        <v>1</v>
      </c>
      <c r="F694" s="1">
        <v>42126</v>
      </c>
      <c r="G694" s="1" t="str">
        <f>TEXT(pizza_sales[[#This Row],[order_date]],"dddd")</f>
        <v>Saturday</v>
      </c>
      <c r="H694" s="2">
        <v>0.60870370370370375</v>
      </c>
      <c r="I694">
        <v>9.75</v>
      </c>
      <c r="J694">
        <v>9.75</v>
      </c>
      <c r="K694" t="s">
        <v>60</v>
      </c>
      <c r="L694" t="s">
        <v>13</v>
      </c>
      <c r="M694" t="s">
        <v>26</v>
      </c>
      <c r="N694" t="s">
        <v>27</v>
      </c>
    </row>
    <row r="695" spans="1:14" x14ac:dyDescent="0.25">
      <c r="A695">
        <v>4827</v>
      </c>
      <c r="B695">
        <v>2135</v>
      </c>
      <c r="C695">
        <f>1/COUNTIF(B:B,pizza_sales[[#This Row],[order_id]])</f>
        <v>1</v>
      </c>
      <c r="D695" t="s">
        <v>28</v>
      </c>
      <c r="E695">
        <v>1</v>
      </c>
      <c r="F695" s="1">
        <v>42126</v>
      </c>
      <c r="G695" s="1" t="str">
        <f>TEXT(pizza_sales[[#This Row],[order_date]],"dddd")</f>
        <v>Saturday</v>
      </c>
      <c r="H695" s="2">
        <v>0.61004629629629625</v>
      </c>
      <c r="I695">
        <v>12</v>
      </c>
      <c r="J695">
        <v>12</v>
      </c>
      <c r="K695" t="s">
        <v>60</v>
      </c>
      <c r="L695" t="s">
        <v>13</v>
      </c>
      <c r="M695" t="s">
        <v>29</v>
      </c>
      <c r="N695" t="s">
        <v>30</v>
      </c>
    </row>
    <row r="696" spans="1:14" x14ac:dyDescent="0.25">
      <c r="A696">
        <v>4832</v>
      </c>
      <c r="B696">
        <v>2136</v>
      </c>
      <c r="C696">
        <f>1/COUNTIF(B:B,pizza_sales[[#This Row],[order_id]])</f>
        <v>1</v>
      </c>
      <c r="D696" t="s">
        <v>38</v>
      </c>
      <c r="E696">
        <v>1</v>
      </c>
      <c r="F696" s="1">
        <v>42126</v>
      </c>
      <c r="G696" s="1" t="str">
        <f>TEXT(pizza_sales[[#This Row],[order_date]],"dddd")</f>
        <v>Saturday</v>
      </c>
      <c r="H696" s="2">
        <v>0.62140046296296292</v>
      </c>
      <c r="I696">
        <v>20.5</v>
      </c>
      <c r="J696">
        <v>20.5</v>
      </c>
      <c r="K696" t="s">
        <v>58</v>
      </c>
      <c r="L696" t="s">
        <v>13</v>
      </c>
      <c r="M696" t="s">
        <v>32</v>
      </c>
      <c r="N696" t="s">
        <v>33</v>
      </c>
    </row>
    <row r="697" spans="1:14" x14ac:dyDescent="0.25">
      <c r="A697">
        <v>4833</v>
      </c>
      <c r="B697">
        <v>2137</v>
      </c>
      <c r="C697">
        <f>1/COUNTIF(B:B,pizza_sales[[#This Row],[order_id]])</f>
        <v>0.5</v>
      </c>
      <c r="D697" t="s">
        <v>34</v>
      </c>
      <c r="E697">
        <v>1</v>
      </c>
      <c r="F697" s="1">
        <v>42126</v>
      </c>
      <c r="G697" s="1" t="str">
        <f>TEXT(pizza_sales[[#This Row],[order_date]],"dddd")</f>
        <v>Saturday</v>
      </c>
      <c r="H697" s="2">
        <v>0.62517361111111114</v>
      </c>
      <c r="I697">
        <v>16.25</v>
      </c>
      <c r="J697">
        <v>16.25</v>
      </c>
      <c r="K697" t="s">
        <v>59</v>
      </c>
      <c r="L697" t="s">
        <v>35</v>
      </c>
      <c r="M697" t="s">
        <v>36</v>
      </c>
      <c r="N697" t="s">
        <v>37</v>
      </c>
    </row>
    <row r="698" spans="1:14" x14ac:dyDescent="0.25">
      <c r="A698">
        <v>4835</v>
      </c>
      <c r="B698">
        <v>2137</v>
      </c>
      <c r="C698">
        <f>1/COUNTIF(B:B,pizza_sales[[#This Row],[order_id]])</f>
        <v>0.5</v>
      </c>
      <c r="D698" t="s">
        <v>45</v>
      </c>
      <c r="E698">
        <v>1</v>
      </c>
      <c r="F698" s="1">
        <v>42126</v>
      </c>
      <c r="G698" s="1" t="str">
        <f>TEXT(pizza_sales[[#This Row],[order_date]],"dddd")</f>
        <v>Saturday</v>
      </c>
      <c r="H698" s="2">
        <v>0.62517361111111114</v>
      </c>
      <c r="I698">
        <v>10.5</v>
      </c>
      <c r="J698">
        <v>10.5</v>
      </c>
      <c r="K698" t="s">
        <v>60</v>
      </c>
      <c r="L698" t="s">
        <v>13</v>
      </c>
      <c r="M698" t="s">
        <v>14</v>
      </c>
      <c r="N698" t="s">
        <v>15</v>
      </c>
    </row>
    <row r="699" spans="1:14" x14ac:dyDescent="0.25">
      <c r="A699">
        <v>4836</v>
      </c>
      <c r="B699">
        <v>2138</v>
      </c>
      <c r="C699">
        <f>1/COUNTIF(B:B,pizza_sales[[#This Row],[order_id]])</f>
        <v>1</v>
      </c>
      <c r="D699" t="s">
        <v>12</v>
      </c>
      <c r="E699">
        <v>1</v>
      </c>
      <c r="F699" s="1">
        <v>42126</v>
      </c>
      <c r="G699" s="1" t="str">
        <f>TEXT(pizza_sales[[#This Row],[order_date]],"dddd")</f>
        <v>Saturday</v>
      </c>
      <c r="H699" s="2">
        <v>0.63070601851851849</v>
      </c>
      <c r="I699">
        <v>13.25</v>
      </c>
      <c r="J699">
        <v>13.25</v>
      </c>
      <c r="K699" t="s">
        <v>59</v>
      </c>
      <c r="L699" t="s">
        <v>13</v>
      </c>
      <c r="M699" t="s">
        <v>14</v>
      </c>
      <c r="N699" t="s">
        <v>15</v>
      </c>
    </row>
    <row r="700" spans="1:14" x14ac:dyDescent="0.25">
      <c r="A700">
        <v>4846</v>
      </c>
      <c r="B700">
        <v>2143</v>
      </c>
      <c r="C700">
        <f>1/COUNTIF(B:B,pizza_sales[[#This Row],[order_id]])</f>
        <v>1</v>
      </c>
      <c r="D700" t="s">
        <v>25</v>
      </c>
      <c r="E700">
        <v>1</v>
      </c>
      <c r="F700" s="1">
        <v>42126</v>
      </c>
      <c r="G700" s="1" t="str">
        <f>TEXT(pizza_sales[[#This Row],[order_date]],"dddd")</f>
        <v>Saturday</v>
      </c>
      <c r="H700" s="2">
        <v>0.73949074074074073</v>
      </c>
      <c r="I700">
        <v>15.25</v>
      </c>
      <c r="J700">
        <v>15.25</v>
      </c>
      <c r="K700" t="s">
        <v>58</v>
      </c>
      <c r="L700" t="s">
        <v>13</v>
      </c>
      <c r="M700" t="s">
        <v>26</v>
      </c>
      <c r="N700" t="s">
        <v>27</v>
      </c>
    </row>
    <row r="701" spans="1:14" x14ac:dyDescent="0.25">
      <c r="A701">
        <v>4849</v>
      </c>
      <c r="B701">
        <v>2145</v>
      </c>
      <c r="C701">
        <f>1/COUNTIF(B:B,pizza_sales[[#This Row],[order_id]])</f>
        <v>1</v>
      </c>
      <c r="D701" t="s">
        <v>38</v>
      </c>
      <c r="E701">
        <v>1</v>
      </c>
      <c r="F701" s="1">
        <v>42126</v>
      </c>
      <c r="G701" s="1" t="str">
        <f>TEXT(pizza_sales[[#This Row],[order_date]],"dddd")</f>
        <v>Saturday</v>
      </c>
      <c r="H701" s="2">
        <v>0.74805555555555558</v>
      </c>
      <c r="I701">
        <v>20.5</v>
      </c>
      <c r="J701">
        <v>20.5</v>
      </c>
      <c r="K701" t="s">
        <v>58</v>
      </c>
      <c r="L701" t="s">
        <v>13</v>
      </c>
      <c r="M701" t="s">
        <v>32</v>
      </c>
      <c r="N701" t="s">
        <v>33</v>
      </c>
    </row>
    <row r="702" spans="1:14" x14ac:dyDescent="0.25">
      <c r="A702">
        <v>4854</v>
      </c>
      <c r="B702">
        <v>2147</v>
      </c>
      <c r="C702">
        <f>1/COUNTIF(B:B,pizza_sales[[#This Row],[order_id]])</f>
        <v>0.5</v>
      </c>
      <c r="D702" t="s">
        <v>25</v>
      </c>
      <c r="E702">
        <v>1</v>
      </c>
      <c r="F702" s="1">
        <v>42126</v>
      </c>
      <c r="G702" s="1" t="str">
        <f>TEXT(pizza_sales[[#This Row],[order_date]],"dddd")</f>
        <v>Saturday</v>
      </c>
      <c r="H702" s="2">
        <v>0.75792824074074072</v>
      </c>
      <c r="I702">
        <v>15.25</v>
      </c>
      <c r="J702">
        <v>15.25</v>
      </c>
      <c r="K702" t="s">
        <v>58</v>
      </c>
      <c r="L702" t="s">
        <v>13</v>
      </c>
      <c r="M702" t="s">
        <v>26</v>
      </c>
      <c r="N702" t="s">
        <v>27</v>
      </c>
    </row>
    <row r="703" spans="1:14" x14ac:dyDescent="0.25">
      <c r="A703">
        <v>4855</v>
      </c>
      <c r="B703">
        <v>2147</v>
      </c>
      <c r="C703">
        <f>1/COUNTIF(B:B,pizza_sales[[#This Row],[order_id]])</f>
        <v>0.5</v>
      </c>
      <c r="D703" t="s">
        <v>42</v>
      </c>
      <c r="E703">
        <v>1</v>
      </c>
      <c r="F703" s="1">
        <v>42126</v>
      </c>
      <c r="G703" s="1" t="str">
        <f>TEXT(pizza_sales[[#This Row],[order_date]],"dddd")</f>
        <v>Saturday</v>
      </c>
      <c r="H703" s="2">
        <v>0.75792824074074072</v>
      </c>
      <c r="I703">
        <v>12.5</v>
      </c>
      <c r="J703">
        <v>12.5</v>
      </c>
      <c r="K703" t="s">
        <v>59</v>
      </c>
      <c r="L703" t="s">
        <v>13</v>
      </c>
      <c r="M703" t="s">
        <v>26</v>
      </c>
      <c r="N703" t="s">
        <v>27</v>
      </c>
    </row>
    <row r="704" spans="1:14" x14ac:dyDescent="0.25">
      <c r="A704">
        <v>4865</v>
      </c>
      <c r="B704">
        <v>2153</v>
      </c>
      <c r="C704">
        <f>1/COUNTIF(B:B,pizza_sales[[#This Row],[order_id]])</f>
        <v>1</v>
      </c>
      <c r="D704" t="s">
        <v>45</v>
      </c>
      <c r="E704">
        <v>1</v>
      </c>
      <c r="F704" s="1">
        <v>42126</v>
      </c>
      <c r="G704" s="1" t="str">
        <f>TEXT(pizza_sales[[#This Row],[order_date]],"dddd")</f>
        <v>Saturday</v>
      </c>
      <c r="H704" s="2">
        <v>0.77640046296296295</v>
      </c>
      <c r="I704">
        <v>10.5</v>
      </c>
      <c r="J704">
        <v>10.5</v>
      </c>
      <c r="K704" t="s">
        <v>60</v>
      </c>
      <c r="L704" t="s">
        <v>13</v>
      </c>
      <c r="M704" t="s">
        <v>14</v>
      </c>
      <c r="N704" t="s">
        <v>15</v>
      </c>
    </row>
    <row r="705" spans="1:14" x14ac:dyDescent="0.25">
      <c r="A705">
        <v>4868</v>
      </c>
      <c r="B705">
        <v>2154</v>
      </c>
      <c r="C705">
        <f>1/COUNTIF(B:B,pizza_sales[[#This Row],[order_id]])</f>
        <v>1</v>
      </c>
      <c r="D705" t="s">
        <v>56</v>
      </c>
      <c r="E705">
        <v>1</v>
      </c>
      <c r="F705" s="1">
        <v>42126</v>
      </c>
      <c r="G705" s="1" t="str">
        <f>TEXT(pizza_sales[[#This Row],[order_date]],"dddd")</f>
        <v>Saturday</v>
      </c>
      <c r="H705" s="2">
        <v>0.78850694444444447</v>
      </c>
      <c r="I705">
        <v>20.25</v>
      </c>
      <c r="J705">
        <v>20.25</v>
      </c>
      <c r="K705" t="s">
        <v>58</v>
      </c>
      <c r="L705" t="s">
        <v>35</v>
      </c>
      <c r="M705" t="s">
        <v>36</v>
      </c>
      <c r="N705" t="s">
        <v>37</v>
      </c>
    </row>
    <row r="706" spans="1:14" x14ac:dyDescent="0.25">
      <c r="A706">
        <v>4872</v>
      </c>
      <c r="B706">
        <v>2156</v>
      </c>
      <c r="C706">
        <f>1/COUNTIF(B:B,pizza_sales[[#This Row],[order_id]])</f>
        <v>1</v>
      </c>
      <c r="D706" t="s">
        <v>24</v>
      </c>
      <c r="E706">
        <v>1</v>
      </c>
      <c r="F706" s="1">
        <v>42126</v>
      </c>
      <c r="G706" s="1" t="str">
        <f>TEXT(pizza_sales[[#This Row],[order_date]],"dddd")</f>
        <v>Saturday</v>
      </c>
      <c r="H706" s="2">
        <v>0.81214120370370368</v>
      </c>
      <c r="I706">
        <v>20.25</v>
      </c>
      <c r="J706">
        <v>20.25</v>
      </c>
      <c r="K706" t="s">
        <v>58</v>
      </c>
      <c r="L706" t="s">
        <v>17</v>
      </c>
      <c r="M706" t="s">
        <v>18</v>
      </c>
      <c r="N706" t="s">
        <v>19</v>
      </c>
    </row>
    <row r="707" spans="1:14" x14ac:dyDescent="0.25">
      <c r="A707">
        <v>4877</v>
      </c>
      <c r="B707">
        <v>2158</v>
      </c>
      <c r="C707">
        <f>1/COUNTIF(B:B,pizza_sales[[#This Row],[order_id]])</f>
        <v>1</v>
      </c>
      <c r="D707" t="s">
        <v>25</v>
      </c>
      <c r="E707">
        <v>1</v>
      </c>
      <c r="F707" s="1">
        <v>42126</v>
      </c>
      <c r="G707" s="1" t="str">
        <f>TEXT(pizza_sales[[#This Row],[order_date]],"dddd")</f>
        <v>Saturday</v>
      </c>
      <c r="H707" s="2">
        <v>0.82623842592592589</v>
      </c>
      <c r="I707">
        <v>15.25</v>
      </c>
      <c r="J707">
        <v>15.25</v>
      </c>
      <c r="K707" t="s">
        <v>58</v>
      </c>
      <c r="L707" t="s">
        <v>13</v>
      </c>
      <c r="M707" t="s">
        <v>26</v>
      </c>
      <c r="N707" t="s">
        <v>27</v>
      </c>
    </row>
    <row r="708" spans="1:14" x14ac:dyDescent="0.25">
      <c r="A708">
        <v>4878</v>
      </c>
      <c r="B708">
        <v>2159</v>
      </c>
      <c r="C708">
        <f>1/COUNTIF(B:B,pizza_sales[[#This Row],[order_id]])</f>
        <v>0.5</v>
      </c>
      <c r="D708" t="s">
        <v>28</v>
      </c>
      <c r="E708">
        <v>1</v>
      </c>
      <c r="F708" s="1">
        <v>42126</v>
      </c>
      <c r="G708" s="1" t="str">
        <f>TEXT(pizza_sales[[#This Row],[order_date]],"dddd")</f>
        <v>Saturday</v>
      </c>
      <c r="H708" s="2">
        <v>0.83</v>
      </c>
      <c r="I708">
        <v>12</v>
      </c>
      <c r="J708">
        <v>12</v>
      </c>
      <c r="K708" t="s">
        <v>60</v>
      </c>
      <c r="L708" t="s">
        <v>13</v>
      </c>
      <c r="M708" t="s">
        <v>29</v>
      </c>
      <c r="N708" t="s">
        <v>30</v>
      </c>
    </row>
    <row r="709" spans="1:14" x14ac:dyDescent="0.25">
      <c r="A709">
        <v>4881</v>
      </c>
      <c r="B709">
        <v>2159</v>
      </c>
      <c r="C709">
        <f>1/COUNTIF(B:B,pizza_sales[[#This Row],[order_id]])</f>
        <v>0.5</v>
      </c>
      <c r="D709" t="s">
        <v>47</v>
      </c>
      <c r="E709">
        <v>1</v>
      </c>
      <c r="F709" s="1">
        <v>42126</v>
      </c>
      <c r="G709" s="1" t="str">
        <f>TEXT(pizza_sales[[#This Row],[order_date]],"dddd")</f>
        <v>Saturday</v>
      </c>
      <c r="H709" s="2">
        <v>0.83</v>
      </c>
      <c r="I709">
        <v>16.5</v>
      </c>
      <c r="J709">
        <v>16.5</v>
      </c>
      <c r="K709" t="s">
        <v>58</v>
      </c>
      <c r="L709" t="s">
        <v>13</v>
      </c>
      <c r="M709" t="s">
        <v>14</v>
      </c>
      <c r="N709" t="s">
        <v>15</v>
      </c>
    </row>
    <row r="710" spans="1:14" x14ac:dyDescent="0.25">
      <c r="A710">
        <v>4882</v>
      </c>
      <c r="B710">
        <v>2160</v>
      </c>
      <c r="C710">
        <f>1/COUNTIF(B:B,pizza_sales[[#This Row],[order_id]])</f>
        <v>1</v>
      </c>
      <c r="D710" t="s">
        <v>25</v>
      </c>
      <c r="E710">
        <v>1</v>
      </c>
      <c r="F710" s="1">
        <v>42126</v>
      </c>
      <c r="G710" s="1" t="str">
        <f>TEXT(pizza_sales[[#This Row],[order_date]],"dddd")</f>
        <v>Saturday</v>
      </c>
      <c r="H710" s="2">
        <v>0.83460648148148153</v>
      </c>
      <c r="I710">
        <v>15.25</v>
      </c>
      <c r="J710">
        <v>15.25</v>
      </c>
      <c r="K710" t="s">
        <v>58</v>
      </c>
      <c r="L710" t="s">
        <v>13</v>
      </c>
      <c r="M710" t="s">
        <v>26</v>
      </c>
      <c r="N710" t="s">
        <v>27</v>
      </c>
    </row>
    <row r="711" spans="1:14" x14ac:dyDescent="0.25">
      <c r="A711">
        <v>4887</v>
      </c>
      <c r="B711">
        <v>2163</v>
      </c>
      <c r="C711">
        <f>1/COUNTIF(B:B,pizza_sales[[#This Row],[order_id]])</f>
        <v>1</v>
      </c>
      <c r="D711" t="s">
        <v>51</v>
      </c>
      <c r="E711">
        <v>1</v>
      </c>
      <c r="F711" s="1">
        <v>42126</v>
      </c>
      <c r="G711" s="1" t="str">
        <f>TEXT(pizza_sales[[#This Row],[order_date]],"dddd")</f>
        <v>Saturday</v>
      </c>
      <c r="H711" s="2">
        <v>0.84592592592592597</v>
      </c>
      <c r="I711">
        <v>23.65</v>
      </c>
      <c r="J711">
        <v>23.65</v>
      </c>
      <c r="K711" t="s">
        <v>60</v>
      </c>
      <c r="L711" t="s">
        <v>35</v>
      </c>
      <c r="M711" t="s">
        <v>52</v>
      </c>
      <c r="N711" t="s">
        <v>53</v>
      </c>
    </row>
    <row r="712" spans="1:14" x14ac:dyDescent="0.25">
      <c r="A712">
        <v>4899</v>
      </c>
      <c r="B712">
        <v>2172</v>
      </c>
      <c r="C712">
        <f>1/COUNTIF(B:B,pizza_sales[[#This Row],[order_id]])</f>
        <v>0.33333333333333331</v>
      </c>
      <c r="D712" t="s">
        <v>51</v>
      </c>
      <c r="E712">
        <v>1</v>
      </c>
      <c r="F712" s="1">
        <v>42126</v>
      </c>
      <c r="G712" s="1" t="str">
        <f>TEXT(pizza_sales[[#This Row],[order_date]],"dddd")</f>
        <v>Saturday</v>
      </c>
      <c r="H712" s="2">
        <v>0.91092592592592592</v>
      </c>
      <c r="I712">
        <v>23.65</v>
      </c>
      <c r="J712">
        <v>23.65</v>
      </c>
      <c r="K712" t="s">
        <v>60</v>
      </c>
      <c r="L712" t="s">
        <v>35</v>
      </c>
      <c r="M712" t="s">
        <v>52</v>
      </c>
      <c r="N712" t="s">
        <v>53</v>
      </c>
    </row>
    <row r="713" spans="1:14" x14ac:dyDescent="0.25">
      <c r="A713">
        <v>4901</v>
      </c>
      <c r="B713">
        <v>2172</v>
      </c>
      <c r="C713">
        <f>1/COUNTIF(B:B,pizza_sales[[#This Row],[order_id]])</f>
        <v>0.33333333333333331</v>
      </c>
      <c r="D713" t="s">
        <v>43</v>
      </c>
      <c r="E713">
        <v>1</v>
      </c>
      <c r="F713" s="1">
        <v>42126</v>
      </c>
      <c r="G713" s="1" t="str">
        <f>TEXT(pizza_sales[[#This Row],[order_date]],"dddd")</f>
        <v>Saturday</v>
      </c>
      <c r="H713" s="2">
        <v>0.91092592592592592</v>
      </c>
      <c r="I713">
        <v>16.25</v>
      </c>
      <c r="J713">
        <v>16.25</v>
      </c>
      <c r="K713" t="s">
        <v>59</v>
      </c>
      <c r="L713" t="s">
        <v>35</v>
      </c>
      <c r="M713" t="s">
        <v>40</v>
      </c>
      <c r="N713" t="s">
        <v>41</v>
      </c>
    </row>
    <row r="714" spans="1:14" x14ac:dyDescent="0.25">
      <c r="A714">
        <v>4902</v>
      </c>
      <c r="B714">
        <v>2172</v>
      </c>
      <c r="C714">
        <f>1/COUNTIF(B:B,pizza_sales[[#This Row],[order_id]])</f>
        <v>0.33333333333333331</v>
      </c>
      <c r="D714" t="s">
        <v>48</v>
      </c>
      <c r="E714">
        <v>1</v>
      </c>
      <c r="F714" s="1">
        <v>42126</v>
      </c>
      <c r="G714" s="1" t="str">
        <f>TEXT(pizza_sales[[#This Row],[order_date]],"dddd")</f>
        <v>Saturday</v>
      </c>
      <c r="H714" s="2">
        <v>0.91092592592592592</v>
      </c>
      <c r="I714">
        <v>12.25</v>
      </c>
      <c r="J714">
        <v>12.25</v>
      </c>
      <c r="K714" t="s">
        <v>60</v>
      </c>
      <c r="L714" t="s">
        <v>35</v>
      </c>
      <c r="M714" t="s">
        <v>40</v>
      </c>
      <c r="N714" t="s">
        <v>41</v>
      </c>
    </row>
    <row r="715" spans="1:14" x14ac:dyDescent="0.25">
      <c r="A715">
        <v>4903</v>
      </c>
      <c r="B715">
        <v>2173</v>
      </c>
      <c r="C715">
        <f>1/COUNTIF(B:B,pizza_sales[[#This Row],[order_id]])</f>
        <v>1</v>
      </c>
      <c r="D715" t="s">
        <v>28</v>
      </c>
      <c r="E715">
        <v>1</v>
      </c>
      <c r="F715" s="1">
        <v>42126</v>
      </c>
      <c r="G715" s="1" t="str">
        <f>TEXT(pizza_sales[[#This Row],[order_date]],"dddd")</f>
        <v>Saturday</v>
      </c>
      <c r="H715" s="2">
        <v>0.91437500000000005</v>
      </c>
      <c r="I715">
        <v>12</v>
      </c>
      <c r="J715">
        <v>12</v>
      </c>
      <c r="K715" t="s">
        <v>60</v>
      </c>
      <c r="L715" t="s">
        <v>13</v>
      </c>
      <c r="M715" t="s">
        <v>29</v>
      </c>
      <c r="N715" t="s">
        <v>30</v>
      </c>
    </row>
    <row r="716" spans="1:14" x14ac:dyDescent="0.25">
      <c r="A716">
        <v>4905</v>
      </c>
      <c r="B716">
        <v>2174</v>
      </c>
      <c r="C716">
        <f>1/COUNTIF(B:B,pizza_sales[[#This Row],[order_id]])</f>
        <v>1</v>
      </c>
      <c r="D716" t="s">
        <v>39</v>
      </c>
      <c r="E716">
        <v>1</v>
      </c>
      <c r="F716" s="1">
        <v>42126</v>
      </c>
      <c r="G716" s="1" t="str">
        <f>TEXT(pizza_sales[[#This Row],[order_date]],"dddd")</f>
        <v>Saturday</v>
      </c>
      <c r="H716" s="2">
        <v>0.91686342592592596</v>
      </c>
      <c r="I716">
        <v>20.25</v>
      </c>
      <c r="J716">
        <v>20.25</v>
      </c>
      <c r="K716" t="s">
        <v>58</v>
      </c>
      <c r="L716" t="s">
        <v>35</v>
      </c>
      <c r="M716" t="s">
        <v>40</v>
      </c>
      <c r="N716" t="s">
        <v>41</v>
      </c>
    </row>
    <row r="717" spans="1:14" x14ac:dyDescent="0.25">
      <c r="A717">
        <v>4909</v>
      </c>
      <c r="B717">
        <v>2176</v>
      </c>
      <c r="C717">
        <f>1/COUNTIF(B:B,pizza_sales[[#This Row],[order_id]])</f>
        <v>1</v>
      </c>
      <c r="D717" t="s">
        <v>56</v>
      </c>
      <c r="E717">
        <v>1</v>
      </c>
      <c r="F717" s="1">
        <v>42157</v>
      </c>
      <c r="G717" s="1" t="str">
        <f>TEXT(pizza_sales[[#This Row],[order_date]],"dddd")</f>
        <v>Tuesday</v>
      </c>
      <c r="H717" s="2">
        <v>0.47144675925925927</v>
      </c>
      <c r="I717">
        <v>20.25</v>
      </c>
      <c r="J717">
        <v>20.25</v>
      </c>
      <c r="K717" t="s">
        <v>58</v>
      </c>
      <c r="L717" t="s">
        <v>35</v>
      </c>
      <c r="M717" t="s">
        <v>36</v>
      </c>
      <c r="N717" t="s">
        <v>37</v>
      </c>
    </row>
    <row r="718" spans="1:14" x14ac:dyDescent="0.25">
      <c r="A718">
        <v>4910</v>
      </c>
      <c r="B718">
        <v>2177</v>
      </c>
      <c r="C718">
        <f>1/COUNTIF(B:B,pizza_sales[[#This Row],[order_id]])</f>
        <v>0.5</v>
      </c>
      <c r="D718" t="s">
        <v>56</v>
      </c>
      <c r="E718">
        <v>1</v>
      </c>
      <c r="F718" s="1">
        <v>42157</v>
      </c>
      <c r="G718" s="1" t="str">
        <f>TEXT(pizza_sales[[#This Row],[order_date]],"dddd")</f>
        <v>Tuesday</v>
      </c>
      <c r="H718" s="2">
        <v>0.47625000000000001</v>
      </c>
      <c r="I718">
        <v>20.25</v>
      </c>
      <c r="J718">
        <v>20.25</v>
      </c>
      <c r="K718" t="s">
        <v>58</v>
      </c>
      <c r="L718" t="s">
        <v>35</v>
      </c>
      <c r="M718" t="s">
        <v>36</v>
      </c>
      <c r="N718" t="s">
        <v>37</v>
      </c>
    </row>
    <row r="719" spans="1:14" x14ac:dyDescent="0.25">
      <c r="A719">
        <v>4911</v>
      </c>
      <c r="B719">
        <v>2177</v>
      </c>
      <c r="C719">
        <f>1/COUNTIF(B:B,pizza_sales[[#This Row],[order_id]])</f>
        <v>0.5</v>
      </c>
      <c r="D719" t="s">
        <v>25</v>
      </c>
      <c r="E719">
        <v>1</v>
      </c>
      <c r="F719" s="1">
        <v>42157</v>
      </c>
      <c r="G719" s="1" t="str">
        <f>TEXT(pizza_sales[[#This Row],[order_date]],"dddd")</f>
        <v>Tuesday</v>
      </c>
      <c r="H719" s="2">
        <v>0.47625000000000001</v>
      </c>
      <c r="I719">
        <v>15.25</v>
      </c>
      <c r="J719">
        <v>15.25</v>
      </c>
      <c r="K719" t="s">
        <v>58</v>
      </c>
      <c r="L719" t="s">
        <v>13</v>
      </c>
      <c r="M719" t="s">
        <v>26</v>
      </c>
      <c r="N719" t="s">
        <v>27</v>
      </c>
    </row>
    <row r="720" spans="1:14" x14ac:dyDescent="0.25">
      <c r="A720">
        <v>4912</v>
      </c>
      <c r="B720">
        <v>2178</v>
      </c>
      <c r="C720">
        <f>1/COUNTIF(B:B,pizza_sales[[#This Row],[order_id]])</f>
        <v>1</v>
      </c>
      <c r="D720" t="s">
        <v>45</v>
      </c>
      <c r="E720">
        <v>1</v>
      </c>
      <c r="F720" s="1">
        <v>42157</v>
      </c>
      <c r="G720" s="1" t="str">
        <f>TEXT(pizza_sales[[#This Row],[order_date]],"dddd")</f>
        <v>Tuesday</v>
      </c>
      <c r="H720" s="2">
        <v>0.48084490740740743</v>
      </c>
      <c r="I720">
        <v>10.5</v>
      </c>
      <c r="J720">
        <v>10.5</v>
      </c>
      <c r="K720" t="s">
        <v>60</v>
      </c>
      <c r="L720" t="s">
        <v>13</v>
      </c>
      <c r="M720" t="s">
        <v>14</v>
      </c>
      <c r="N720" t="s">
        <v>15</v>
      </c>
    </row>
    <row r="721" spans="1:14" x14ac:dyDescent="0.25">
      <c r="A721">
        <v>4913</v>
      </c>
      <c r="B721">
        <v>2179</v>
      </c>
      <c r="C721">
        <f>1/COUNTIF(B:B,pizza_sales[[#This Row],[order_id]])</f>
        <v>1</v>
      </c>
      <c r="D721" t="s">
        <v>42</v>
      </c>
      <c r="E721">
        <v>1</v>
      </c>
      <c r="F721" s="1">
        <v>42157</v>
      </c>
      <c r="G721" s="1" t="str">
        <f>TEXT(pizza_sales[[#This Row],[order_date]],"dddd")</f>
        <v>Tuesday</v>
      </c>
      <c r="H721" s="2">
        <v>0.49593749999999998</v>
      </c>
      <c r="I721">
        <v>12.5</v>
      </c>
      <c r="J721">
        <v>12.5</v>
      </c>
      <c r="K721" t="s">
        <v>59</v>
      </c>
      <c r="L721" t="s">
        <v>13</v>
      </c>
      <c r="M721" t="s">
        <v>26</v>
      </c>
      <c r="N721" t="s">
        <v>27</v>
      </c>
    </row>
    <row r="722" spans="1:14" x14ac:dyDescent="0.25">
      <c r="A722">
        <v>4918</v>
      </c>
      <c r="B722">
        <v>2182</v>
      </c>
      <c r="C722">
        <f>1/COUNTIF(B:B,pizza_sales[[#This Row],[order_id]])</f>
        <v>0.33333333333333331</v>
      </c>
      <c r="D722" t="s">
        <v>28</v>
      </c>
      <c r="E722">
        <v>2</v>
      </c>
      <c r="F722" s="1">
        <v>42157</v>
      </c>
      <c r="G722" s="1" t="str">
        <f>TEXT(pizza_sales[[#This Row],[order_date]],"dddd")</f>
        <v>Tuesday</v>
      </c>
      <c r="H722" s="2">
        <v>0.515625</v>
      </c>
      <c r="I722">
        <v>12</v>
      </c>
      <c r="J722">
        <v>24</v>
      </c>
      <c r="K722" t="s">
        <v>60</v>
      </c>
      <c r="L722" t="s">
        <v>13</v>
      </c>
      <c r="M722" t="s">
        <v>29</v>
      </c>
      <c r="N722" t="s">
        <v>30</v>
      </c>
    </row>
    <row r="723" spans="1:14" x14ac:dyDescent="0.25">
      <c r="A723">
        <v>4922</v>
      </c>
      <c r="B723">
        <v>2182</v>
      </c>
      <c r="C723">
        <f>1/COUNTIF(B:B,pizza_sales[[#This Row],[order_id]])</f>
        <v>0.33333333333333331</v>
      </c>
      <c r="D723" t="s">
        <v>45</v>
      </c>
      <c r="E723">
        <v>1</v>
      </c>
      <c r="F723" s="1">
        <v>42157</v>
      </c>
      <c r="G723" s="1" t="str">
        <f>TEXT(pizza_sales[[#This Row],[order_date]],"dddd")</f>
        <v>Tuesday</v>
      </c>
      <c r="H723" s="2">
        <v>0.515625</v>
      </c>
      <c r="I723">
        <v>10.5</v>
      </c>
      <c r="J723">
        <v>10.5</v>
      </c>
      <c r="K723" t="s">
        <v>60</v>
      </c>
      <c r="L723" t="s">
        <v>13</v>
      </c>
      <c r="M723" t="s">
        <v>14</v>
      </c>
      <c r="N723" t="s">
        <v>15</v>
      </c>
    </row>
    <row r="724" spans="1:14" x14ac:dyDescent="0.25">
      <c r="A724">
        <v>4926</v>
      </c>
      <c r="B724">
        <v>2182</v>
      </c>
      <c r="C724">
        <f>1/COUNTIF(B:B,pizza_sales[[#This Row],[order_id]])</f>
        <v>0.33333333333333331</v>
      </c>
      <c r="D724" t="s">
        <v>48</v>
      </c>
      <c r="E724">
        <v>1</v>
      </c>
      <c r="F724" s="1">
        <v>42157</v>
      </c>
      <c r="G724" s="1" t="str">
        <f>TEXT(pizza_sales[[#This Row],[order_date]],"dddd")</f>
        <v>Tuesday</v>
      </c>
      <c r="H724" s="2">
        <v>0.515625</v>
      </c>
      <c r="I724">
        <v>12.25</v>
      </c>
      <c r="J724">
        <v>12.25</v>
      </c>
      <c r="K724" t="s">
        <v>60</v>
      </c>
      <c r="L724" t="s">
        <v>35</v>
      </c>
      <c r="M724" t="s">
        <v>40</v>
      </c>
      <c r="N724" t="s">
        <v>41</v>
      </c>
    </row>
    <row r="725" spans="1:14" x14ac:dyDescent="0.25">
      <c r="A725">
        <v>4929</v>
      </c>
      <c r="B725">
        <v>2183</v>
      </c>
      <c r="C725">
        <f>1/COUNTIF(B:B,pizza_sales[[#This Row],[order_id]])</f>
        <v>1</v>
      </c>
      <c r="D725" t="s">
        <v>38</v>
      </c>
      <c r="E725">
        <v>1</v>
      </c>
      <c r="F725" s="1">
        <v>42157</v>
      </c>
      <c r="G725" s="1" t="str">
        <f>TEXT(pizza_sales[[#This Row],[order_date]],"dddd")</f>
        <v>Tuesday</v>
      </c>
      <c r="H725" s="2">
        <v>0.51755787037037038</v>
      </c>
      <c r="I725">
        <v>20.5</v>
      </c>
      <c r="J725">
        <v>20.5</v>
      </c>
      <c r="K725" t="s">
        <v>58</v>
      </c>
      <c r="L725" t="s">
        <v>13</v>
      </c>
      <c r="M725" t="s">
        <v>32</v>
      </c>
      <c r="N725" t="s">
        <v>33</v>
      </c>
    </row>
    <row r="726" spans="1:14" x14ac:dyDescent="0.25">
      <c r="A726">
        <v>4931</v>
      </c>
      <c r="B726">
        <v>2184</v>
      </c>
      <c r="C726">
        <f>1/COUNTIF(B:B,pizza_sales[[#This Row],[order_id]])</f>
        <v>0.5</v>
      </c>
      <c r="D726" t="s">
        <v>28</v>
      </c>
      <c r="E726">
        <v>1</v>
      </c>
      <c r="F726" s="1">
        <v>42157</v>
      </c>
      <c r="G726" s="1" t="str">
        <f>TEXT(pizza_sales[[#This Row],[order_date]],"dddd")</f>
        <v>Tuesday</v>
      </c>
      <c r="H726" s="2">
        <v>0.52806712962962965</v>
      </c>
      <c r="I726">
        <v>12</v>
      </c>
      <c r="J726">
        <v>12</v>
      </c>
      <c r="K726" t="s">
        <v>60</v>
      </c>
      <c r="L726" t="s">
        <v>13</v>
      </c>
      <c r="M726" t="s">
        <v>29</v>
      </c>
      <c r="N726" t="s">
        <v>30</v>
      </c>
    </row>
    <row r="727" spans="1:14" x14ac:dyDescent="0.25">
      <c r="A727">
        <v>4932</v>
      </c>
      <c r="B727">
        <v>2184</v>
      </c>
      <c r="C727">
        <f>1/COUNTIF(B:B,pizza_sales[[#This Row],[order_id]])</f>
        <v>0.5</v>
      </c>
      <c r="D727" t="s">
        <v>51</v>
      </c>
      <c r="E727">
        <v>1</v>
      </c>
      <c r="F727" s="1">
        <v>42157</v>
      </c>
      <c r="G727" s="1" t="str">
        <f>TEXT(pizza_sales[[#This Row],[order_date]],"dddd")</f>
        <v>Tuesday</v>
      </c>
      <c r="H727" s="2">
        <v>0.52806712962962965</v>
      </c>
      <c r="I727">
        <v>23.65</v>
      </c>
      <c r="J727">
        <v>23.65</v>
      </c>
      <c r="K727" t="s">
        <v>60</v>
      </c>
      <c r="L727" t="s">
        <v>35</v>
      </c>
      <c r="M727" t="s">
        <v>52</v>
      </c>
      <c r="N727" t="s">
        <v>53</v>
      </c>
    </row>
    <row r="728" spans="1:14" x14ac:dyDescent="0.25">
      <c r="A728">
        <v>4936</v>
      </c>
      <c r="B728">
        <v>2187</v>
      </c>
      <c r="C728">
        <f>1/COUNTIF(B:B,pizza_sales[[#This Row],[order_id]])</f>
        <v>0.33333333333333331</v>
      </c>
      <c r="D728" t="s">
        <v>54</v>
      </c>
      <c r="E728">
        <v>1</v>
      </c>
      <c r="F728" s="1">
        <v>42157</v>
      </c>
      <c r="G728" s="1" t="str">
        <f>TEXT(pizza_sales[[#This Row],[order_date]],"dddd")</f>
        <v>Tuesday</v>
      </c>
      <c r="H728" s="2">
        <v>0.54876157407407411</v>
      </c>
      <c r="I728">
        <v>12.25</v>
      </c>
      <c r="J728">
        <v>12.25</v>
      </c>
      <c r="K728" t="s">
        <v>60</v>
      </c>
      <c r="L728" t="s">
        <v>35</v>
      </c>
      <c r="M728" t="s">
        <v>36</v>
      </c>
      <c r="N728" t="s">
        <v>37</v>
      </c>
    </row>
    <row r="729" spans="1:14" x14ac:dyDescent="0.25">
      <c r="A729">
        <v>4938</v>
      </c>
      <c r="B729">
        <v>2187</v>
      </c>
      <c r="C729">
        <f>1/COUNTIF(B:B,pizza_sales[[#This Row],[order_id]])</f>
        <v>0.33333333333333331</v>
      </c>
      <c r="D729" t="s">
        <v>39</v>
      </c>
      <c r="E729">
        <v>1</v>
      </c>
      <c r="F729" s="1">
        <v>42157</v>
      </c>
      <c r="G729" s="1" t="str">
        <f>TEXT(pizza_sales[[#This Row],[order_date]],"dddd")</f>
        <v>Tuesday</v>
      </c>
      <c r="H729" s="2">
        <v>0.54876157407407411</v>
      </c>
      <c r="I729">
        <v>20.25</v>
      </c>
      <c r="J729">
        <v>20.25</v>
      </c>
      <c r="K729" t="s">
        <v>58</v>
      </c>
      <c r="L729" t="s">
        <v>35</v>
      </c>
      <c r="M729" t="s">
        <v>40</v>
      </c>
      <c r="N729" t="s">
        <v>41</v>
      </c>
    </row>
    <row r="730" spans="1:14" x14ac:dyDescent="0.25">
      <c r="A730">
        <v>4940</v>
      </c>
      <c r="B730">
        <v>2187</v>
      </c>
      <c r="C730">
        <f>1/COUNTIF(B:B,pizza_sales[[#This Row],[order_id]])</f>
        <v>0.33333333333333331</v>
      </c>
      <c r="D730" t="s">
        <v>20</v>
      </c>
      <c r="E730">
        <v>1</v>
      </c>
      <c r="F730" s="1">
        <v>42157</v>
      </c>
      <c r="G730" s="1" t="str">
        <f>TEXT(pizza_sales[[#This Row],[order_date]],"dddd")</f>
        <v>Tuesday</v>
      </c>
      <c r="H730" s="2">
        <v>0.54876157407407411</v>
      </c>
      <c r="I730">
        <v>12</v>
      </c>
      <c r="J730">
        <v>12</v>
      </c>
      <c r="K730" t="s">
        <v>60</v>
      </c>
      <c r="L730" t="s">
        <v>13</v>
      </c>
      <c r="M730" t="s">
        <v>21</v>
      </c>
      <c r="N730" t="s">
        <v>22</v>
      </c>
    </row>
    <row r="731" spans="1:14" x14ac:dyDescent="0.25">
      <c r="A731">
        <v>4941</v>
      </c>
      <c r="B731">
        <v>2188</v>
      </c>
      <c r="C731">
        <f>1/COUNTIF(B:B,pizza_sales[[#This Row],[order_id]])</f>
        <v>0.25</v>
      </c>
      <c r="D731" t="s">
        <v>34</v>
      </c>
      <c r="E731">
        <v>1</v>
      </c>
      <c r="F731" s="1">
        <v>42157</v>
      </c>
      <c r="G731" s="1" t="str">
        <f>TEXT(pizza_sales[[#This Row],[order_date]],"dddd")</f>
        <v>Tuesday</v>
      </c>
      <c r="H731" s="2">
        <v>0.55107638888888888</v>
      </c>
      <c r="I731">
        <v>16.25</v>
      </c>
      <c r="J731">
        <v>16.25</v>
      </c>
      <c r="K731" t="s">
        <v>59</v>
      </c>
      <c r="L731" t="s">
        <v>35</v>
      </c>
      <c r="M731" t="s">
        <v>36</v>
      </c>
      <c r="N731" t="s">
        <v>37</v>
      </c>
    </row>
    <row r="732" spans="1:14" x14ac:dyDescent="0.25">
      <c r="A732">
        <v>4944</v>
      </c>
      <c r="B732">
        <v>2188</v>
      </c>
      <c r="C732">
        <f>1/COUNTIF(B:B,pizza_sales[[#This Row],[order_id]])</f>
        <v>0.25</v>
      </c>
      <c r="D732" t="s">
        <v>12</v>
      </c>
      <c r="E732">
        <v>1</v>
      </c>
      <c r="F732" s="1">
        <v>42157</v>
      </c>
      <c r="G732" s="1" t="str">
        <f>TEXT(pizza_sales[[#This Row],[order_date]],"dddd")</f>
        <v>Tuesday</v>
      </c>
      <c r="H732" s="2">
        <v>0.55107638888888888</v>
      </c>
      <c r="I732">
        <v>13.25</v>
      </c>
      <c r="J732">
        <v>13.25</v>
      </c>
      <c r="K732" t="s">
        <v>59</v>
      </c>
      <c r="L732" t="s">
        <v>13</v>
      </c>
      <c r="M732" t="s">
        <v>14</v>
      </c>
      <c r="N732" t="s">
        <v>15</v>
      </c>
    </row>
    <row r="733" spans="1:14" x14ac:dyDescent="0.25">
      <c r="A733">
        <v>4945</v>
      </c>
      <c r="B733">
        <v>2188</v>
      </c>
      <c r="C733">
        <f>1/COUNTIF(B:B,pizza_sales[[#This Row],[order_id]])</f>
        <v>0.25</v>
      </c>
      <c r="D733" t="s">
        <v>45</v>
      </c>
      <c r="E733">
        <v>1</v>
      </c>
      <c r="F733" s="1">
        <v>42157</v>
      </c>
      <c r="G733" s="1" t="str">
        <f>TEXT(pizza_sales[[#This Row],[order_date]],"dddd")</f>
        <v>Tuesday</v>
      </c>
      <c r="H733" s="2">
        <v>0.55107638888888888</v>
      </c>
      <c r="I733">
        <v>10.5</v>
      </c>
      <c r="J733">
        <v>10.5</v>
      </c>
      <c r="K733" t="s">
        <v>60</v>
      </c>
      <c r="L733" t="s">
        <v>13</v>
      </c>
      <c r="M733" t="s">
        <v>14</v>
      </c>
      <c r="N733" t="s">
        <v>15</v>
      </c>
    </row>
    <row r="734" spans="1:14" x14ac:dyDescent="0.25">
      <c r="A734">
        <v>4950</v>
      </c>
      <c r="B734">
        <v>2188</v>
      </c>
      <c r="C734">
        <f>1/COUNTIF(B:B,pizza_sales[[#This Row],[order_id]])</f>
        <v>0.25</v>
      </c>
      <c r="D734" t="s">
        <v>42</v>
      </c>
      <c r="E734">
        <v>1</v>
      </c>
      <c r="F734" s="1">
        <v>42157</v>
      </c>
      <c r="G734" s="1" t="str">
        <f>TEXT(pizza_sales[[#This Row],[order_date]],"dddd")</f>
        <v>Tuesday</v>
      </c>
      <c r="H734" s="2">
        <v>0.55107638888888888</v>
      </c>
      <c r="I734">
        <v>12.5</v>
      </c>
      <c r="J734">
        <v>12.5</v>
      </c>
      <c r="K734" t="s">
        <v>59</v>
      </c>
      <c r="L734" t="s">
        <v>13</v>
      </c>
      <c r="M734" t="s">
        <v>26</v>
      </c>
      <c r="N734" t="s">
        <v>27</v>
      </c>
    </row>
    <row r="735" spans="1:14" x14ac:dyDescent="0.25">
      <c r="A735">
        <v>4956</v>
      </c>
      <c r="B735">
        <v>2190</v>
      </c>
      <c r="C735">
        <f>1/COUNTIF(B:B,pizza_sales[[#This Row],[order_id]])</f>
        <v>0.5</v>
      </c>
      <c r="D735" t="s">
        <v>28</v>
      </c>
      <c r="E735">
        <v>1</v>
      </c>
      <c r="F735" s="1">
        <v>42157</v>
      </c>
      <c r="G735" s="1" t="str">
        <f>TEXT(pizza_sales[[#This Row],[order_date]],"dddd")</f>
        <v>Tuesday</v>
      </c>
      <c r="H735" s="2">
        <v>0.55538194444444444</v>
      </c>
      <c r="I735">
        <v>12</v>
      </c>
      <c r="J735">
        <v>12</v>
      </c>
      <c r="K735" t="s">
        <v>60</v>
      </c>
      <c r="L735" t="s">
        <v>13</v>
      </c>
      <c r="M735" t="s">
        <v>29</v>
      </c>
      <c r="N735" t="s">
        <v>30</v>
      </c>
    </row>
    <row r="736" spans="1:14" x14ac:dyDescent="0.25">
      <c r="A736">
        <v>4957</v>
      </c>
      <c r="B736">
        <v>2190</v>
      </c>
      <c r="C736">
        <f>1/COUNTIF(B:B,pizza_sales[[#This Row],[order_id]])</f>
        <v>0.5</v>
      </c>
      <c r="D736" t="s">
        <v>50</v>
      </c>
      <c r="E736">
        <v>1</v>
      </c>
      <c r="F736" s="1">
        <v>42157</v>
      </c>
      <c r="G736" s="1" t="str">
        <f>TEXT(pizza_sales[[#This Row],[order_date]],"dddd")</f>
        <v>Tuesday</v>
      </c>
      <c r="H736" s="2">
        <v>0.55538194444444444</v>
      </c>
      <c r="I736">
        <v>16</v>
      </c>
      <c r="J736">
        <v>16</v>
      </c>
      <c r="K736" t="s">
        <v>59</v>
      </c>
      <c r="L736" t="s">
        <v>13</v>
      </c>
      <c r="M736" t="s">
        <v>32</v>
      </c>
      <c r="N736" t="s">
        <v>33</v>
      </c>
    </row>
    <row r="737" spans="1:14" x14ac:dyDescent="0.25">
      <c r="A737">
        <v>4963</v>
      </c>
      <c r="B737">
        <v>2193</v>
      </c>
      <c r="C737">
        <f>1/COUNTIF(B:B,pizza_sales[[#This Row],[order_id]])</f>
        <v>1</v>
      </c>
      <c r="D737" t="s">
        <v>45</v>
      </c>
      <c r="E737">
        <v>1</v>
      </c>
      <c r="F737" s="1">
        <v>42157</v>
      </c>
      <c r="G737" s="1" t="str">
        <f>TEXT(pizza_sales[[#This Row],[order_date]],"dddd")</f>
        <v>Tuesday</v>
      </c>
      <c r="H737" s="2">
        <v>0.5564930555555555</v>
      </c>
      <c r="I737">
        <v>10.5</v>
      </c>
      <c r="J737">
        <v>10.5</v>
      </c>
      <c r="K737" t="s">
        <v>60</v>
      </c>
      <c r="L737" t="s">
        <v>13</v>
      </c>
      <c r="M737" t="s">
        <v>14</v>
      </c>
      <c r="N737" t="s">
        <v>15</v>
      </c>
    </row>
    <row r="738" spans="1:14" x14ac:dyDescent="0.25">
      <c r="A738">
        <v>4972</v>
      </c>
      <c r="B738">
        <v>2197</v>
      </c>
      <c r="C738">
        <f>1/COUNTIF(B:B,pizza_sales[[#This Row],[order_id]])</f>
        <v>0.5</v>
      </c>
      <c r="D738" t="s">
        <v>45</v>
      </c>
      <c r="E738">
        <v>1</v>
      </c>
      <c r="F738" s="1">
        <v>42157</v>
      </c>
      <c r="G738" s="1" t="str">
        <f>TEXT(pizza_sales[[#This Row],[order_date]],"dddd")</f>
        <v>Tuesday</v>
      </c>
      <c r="H738" s="2">
        <v>0.58423611111111107</v>
      </c>
      <c r="I738">
        <v>10.5</v>
      </c>
      <c r="J738">
        <v>10.5</v>
      </c>
      <c r="K738" t="s">
        <v>60</v>
      </c>
      <c r="L738" t="s">
        <v>13</v>
      </c>
      <c r="M738" t="s">
        <v>14</v>
      </c>
      <c r="N738" t="s">
        <v>15</v>
      </c>
    </row>
    <row r="739" spans="1:14" x14ac:dyDescent="0.25">
      <c r="A739">
        <v>4973</v>
      </c>
      <c r="B739">
        <v>2197</v>
      </c>
      <c r="C739">
        <f>1/COUNTIF(B:B,pizza_sales[[#This Row],[order_id]])</f>
        <v>0.5</v>
      </c>
      <c r="D739" t="s">
        <v>31</v>
      </c>
      <c r="E739">
        <v>1</v>
      </c>
      <c r="F739" s="1">
        <v>42157</v>
      </c>
      <c r="G739" s="1" t="str">
        <f>TEXT(pizza_sales[[#This Row],[order_date]],"dddd")</f>
        <v>Tuesday</v>
      </c>
      <c r="H739" s="2">
        <v>0.58423611111111107</v>
      </c>
      <c r="I739">
        <v>12</v>
      </c>
      <c r="J739">
        <v>12</v>
      </c>
      <c r="K739" t="s">
        <v>60</v>
      </c>
      <c r="L739" t="s">
        <v>13</v>
      </c>
      <c r="M739" t="s">
        <v>32</v>
      </c>
      <c r="N739" t="s">
        <v>33</v>
      </c>
    </row>
    <row r="740" spans="1:14" x14ac:dyDescent="0.25">
      <c r="A740">
        <v>4978</v>
      </c>
      <c r="B740">
        <v>2199</v>
      </c>
      <c r="C740">
        <f>1/COUNTIF(B:B,pizza_sales[[#This Row],[order_id]])</f>
        <v>1</v>
      </c>
      <c r="D740" t="s">
        <v>39</v>
      </c>
      <c r="E740">
        <v>1</v>
      </c>
      <c r="F740" s="1">
        <v>42157</v>
      </c>
      <c r="G740" s="1" t="str">
        <f>TEXT(pizza_sales[[#This Row],[order_date]],"dddd")</f>
        <v>Tuesday</v>
      </c>
      <c r="H740" s="2">
        <v>0.60840277777777774</v>
      </c>
      <c r="I740">
        <v>20.25</v>
      </c>
      <c r="J740">
        <v>20.25</v>
      </c>
      <c r="K740" t="s">
        <v>58</v>
      </c>
      <c r="L740" t="s">
        <v>35</v>
      </c>
      <c r="M740" t="s">
        <v>40</v>
      </c>
      <c r="N740" t="s">
        <v>41</v>
      </c>
    </row>
    <row r="741" spans="1:14" x14ac:dyDescent="0.25">
      <c r="A741">
        <v>4981</v>
      </c>
      <c r="B741">
        <v>2202</v>
      </c>
      <c r="C741">
        <f>1/COUNTIF(B:B,pizza_sales[[#This Row],[order_id]])</f>
        <v>1</v>
      </c>
      <c r="D741" t="s">
        <v>31</v>
      </c>
      <c r="E741">
        <v>1</v>
      </c>
      <c r="F741" s="1">
        <v>42157</v>
      </c>
      <c r="G741" s="1" t="str">
        <f>TEXT(pizza_sales[[#This Row],[order_date]],"dddd")</f>
        <v>Tuesday</v>
      </c>
      <c r="H741" s="2">
        <v>0.6466898148148148</v>
      </c>
      <c r="I741">
        <v>12</v>
      </c>
      <c r="J741">
        <v>12</v>
      </c>
      <c r="K741" t="s">
        <v>60</v>
      </c>
      <c r="L741" t="s">
        <v>13</v>
      </c>
      <c r="M741" t="s">
        <v>32</v>
      </c>
      <c r="N741" t="s">
        <v>33</v>
      </c>
    </row>
    <row r="742" spans="1:14" x14ac:dyDescent="0.25">
      <c r="A742">
        <v>4984</v>
      </c>
      <c r="B742">
        <v>2203</v>
      </c>
      <c r="C742">
        <f>1/COUNTIF(B:B,pizza_sales[[#This Row],[order_id]])</f>
        <v>1</v>
      </c>
      <c r="D742" t="s">
        <v>16</v>
      </c>
      <c r="E742">
        <v>1</v>
      </c>
      <c r="F742" s="1">
        <v>42157</v>
      </c>
      <c r="G742" s="1" t="str">
        <f>TEXT(pizza_sales[[#This Row],[order_date]],"dddd")</f>
        <v>Tuesday</v>
      </c>
      <c r="H742" s="2">
        <v>0.67478009259259264</v>
      </c>
      <c r="I742">
        <v>16</v>
      </c>
      <c r="J742">
        <v>16</v>
      </c>
      <c r="K742" t="s">
        <v>59</v>
      </c>
      <c r="L742" t="s">
        <v>17</v>
      </c>
      <c r="M742" t="s">
        <v>18</v>
      </c>
      <c r="N742" t="s">
        <v>19</v>
      </c>
    </row>
    <row r="743" spans="1:14" x14ac:dyDescent="0.25">
      <c r="A743">
        <v>4990</v>
      </c>
      <c r="B743">
        <v>2206</v>
      </c>
      <c r="C743">
        <f>1/COUNTIF(B:B,pizza_sales[[#This Row],[order_id]])</f>
        <v>1</v>
      </c>
      <c r="D743" t="s">
        <v>28</v>
      </c>
      <c r="E743">
        <v>1</v>
      </c>
      <c r="F743" s="1">
        <v>42157</v>
      </c>
      <c r="G743" s="1" t="str">
        <f>TEXT(pizza_sales[[#This Row],[order_date]],"dddd")</f>
        <v>Tuesday</v>
      </c>
      <c r="H743" s="2">
        <v>0.70797453703703705</v>
      </c>
      <c r="I743">
        <v>12</v>
      </c>
      <c r="J743">
        <v>12</v>
      </c>
      <c r="K743" t="s">
        <v>60</v>
      </c>
      <c r="L743" t="s">
        <v>13</v>
      </c>
      <c r="M743" t="s">
        <v>29</v>
      </c>
      <c r="N743" t="s">
        <v>30</v>
      </c>
    </row>
    <row r="744" spans="1:14" x14ac:dyDescent="0.25">
      <c r="A744">
        <v>4994</v>
      </c>
      <c r="B744">
        <v>2208</v>
      </c>
      <c r="C744">
        <f>1/COUNTIF(B:B,pizza_sales[[#This Row],[order_id]])</f>
        <v>0.5</v>
      </c>
      <c r="D744" t="s">
        <v>28</v>
      </c>
      <c r="E744">
        <v>1</v>
      </c>
      <c r="F744" s="1">
        <v>42157</v>
      </c>
      <c r="G744" s="1" t="str">
        <f>TEXT(pizza_sales[[#This Row],[order_date]],"dddd")</f>
        <v>Tuesday</v>
      </c>
      <c r="H744" s="2">
        <v>0.71578703703703705</v>
      </c>
      <c r="I744">
        <v>12</v>
      </c>
      <c r="J744">
        <v>12</v>
      </c>
      <c r="K744" t="s">
        <v>60</v>
      </c>
      <c r="L744" t="s">
        <v>13</v>
      </c>
      <c r="M744" t="s">
        <v>29</v>
      </c>
      <c r="N744" t="s">
        <v>30</v>
      </c>
    </row>
    <row r="745" spans="1:14" x14ac:dyDescent="0.25">
      <c r="A745">
        <v>4995</v>
      </c>
      <c r="B745">
        <v>2208</v>
      </c>
      <c r="C745">
        <f>1/COUNTIF(B:B,pizza_sales[[#This Row],[order_id]])</f>
        <v>0.5</v>
      </c>
      <c r="D745" t="s">
        <v>47</v>
      </c>
      <c r="E745">
        <v>1</v>
      </c>
      <c r="F745" s="1">
        <v>42157</v>
      </c>
      <c r="G745" s="1" t="str">
        <f>TEXT(pizza_sales[[#This Row],[order_date]],"dddd")</f>
        <v>Tuesday</v>
      </c>
      <c r="H745" s="2">
        <v>0.71578703703703705</v>
      </c>
      <c r="I745">
        <v>16.5</v>
      </c>
      <c r="J745">
        <v>16.5</v>
      </c>
      <c r="K745" t="s">
        <v>58</v>
      </c>
      <c r="L745" t="s">
        <v>13</v>
      </c>
      <c r="M745" t="s">
        <v>14</v>
      </c>
      <c r="N745" t="s">
        <v>15</v>
      </c>
    </row>
    <row r="746" spans="1:14" x14ac:dyDescent="0.25">
      <c r="A746">
        <v>5001</v>
      </c>
      <c r="B746">
        <v>2211</v>
      </c>
      <c r="C746">
        <f>1/COUNTIF(B:B,pizza_sales[[#This Row],[order_id]])</f>
        <v>1</v>
      </c>
      <c r="D746" t="s">
        <v>31</v>
      </c>
      <c r="E746">
        <v>1</v>
      </c>
      <c r="F746" s="1">
        <v>42157</v>
      </c>
      <c r="G746" s="1" t="str">
        <f>TEXT(pizza_sales[[#This Row],[order_date]],"dddd")</f>
        <v>Tuesday</v>
      </c>
      <c r="H746" s="2">
        <v>0.72958333333333336</v>
      </c>
      <c r="I746">
        <v>12</v>
      </c>
      <c r="J746">
        <v>12</v>
      </c>
      <c r="K746" t="s">
        <v>60</v>
      </c>
      <c r="L746" t="s">
        <v>13</v>
      </c>
      <c r="M746" t="s">
        <v>32</v>
      </c>
      <c r="N746" t="s">
        <v>33</v>
      </c>
    </row>
    <row r="747" spans="1:14" x14ac:dyDescent="0.25">
      <c r="A747">
        <v>5002</v>
      </c>
      <c r="B747">
        <v>2212</v>
      </c>
      <c r="C747">
        <f>1/COUNTIF(B:B,pizza_sales[[#This Row],[order_id]])</f>
        <v>1</v>
      </c>
      <c r="D747" t="s">
        <v>25</v>
      </c>
      <c r="E747">
        <v>1</v>
      </c>
      <c r="F747" s="1">
        <v>42157</v>
      </c>
      <c r="G747" s="1" t="str">
        <f>TEXT(pizza_sales[[#This Row],[order_date]],"dddd")</f>
        <v>Tuesday</v>
      </c>
      <c r="H747" s="2">
        <v>0.745</v>
      </c>
      <c r="I747">
        <v>15.25</v>
      </c>
      <c r="J747">
        <v>15.25</v>
      </c>
      <c r="K747" t="s">
        <v>58</v>
      </c>
      <c r="L747" t="s">
        <v>13</v>
      </c>
      <c r="M747" t="s">
        <v>26</v>
      </c>
      <c r="N747" t="s">
        <v>27</v>
      </c>
    </row>
    <row r="748" spans="1:14" x14ac:dyDescent="0.25">
      <c r="A748">
        <v>5005</v>
      </c>
      <c r="B748">
        <v>2214</v>
      </c>
      <c r="C748">
        <f>1/COUNTIF(B:B,pizza_sales[[#This Row],[order_id]])</f>
        <v>1</v>
      </c>
      <c r="D748" t="s">
        <v>48</v>
      </c>
      <c r="E748">
        <v>1</v>
      </c>
      <c r="F748" s="1">
        <v>42157</v>
      </c>
      <c r="G748" s="1" t="str">
        <f>TEXT(pizza_sales[[#This Row],[order_date]],"dddd")</f>
        <v>Tuesday</v>
      </c>
      <c r="H748" s="2">
        <v>0.74827546296296299</v>
      </c>
      <c r="I748">
        <v>12.25</v>
      </c>
      <c r="J748">
        <v>12.25</v>
      </c>
      <c r="K748" t="s">
        <v>60</v>
      </c>
      <c r="L748" t="s">
        <v>35</v>
      </c>
      <c r="M748" t="s">
        <v>40</v>
      </c>
      <c r="N748" t="s">
        <v>41</v>
      </c>
    </row>
    <row r="749" spans="1:14" x14ac:dyDescent="0.25">
      <c r="A749">
        <v>5007</v>
      </c>
      <c r="B749">
        <v>2215</v>
      </c>
      <c r="C749">
        <f>1/COUNTIF(B:B,pizza_sales[[#This Row],[order_id]])</f>
        <v>1</v>
      </c>
      <c r="D749" t="s">
        <v>45</v>
      </c>
      <c r="E749">
        <v>1</v>
      </c>
      <c r="F749" s="1">
        <v>42157</v>
      </c>
      <c r="G749" s="1" t="str">
        <f>TEXT(pizza_sales[[#This Row],[order_date]],"dddd")</f>
        <v>Tuesday</v>
      </c>
      <c r="H749" s="2">
        <v>0.75547453703703704</v>
      </c>
      <c r="I749">
        <v>10.5</v>
      </c>
      <c r="J749">
        <v>10.5</v>
      </c>
      <c r="K749" t="s">
        <v>60</v>
      </c>
      <c r="L749" t="s">
        <v>13</v>
      </c>
      <c r="M749" t="s">
        <v>14</v>
      </c>
      <c r="N749" t="s">
        <v>15</v>
      </c>
    </row>
    <row r="750" spans="1:14" x14ac:dyDescent="0.25">
      <c r="A750">
        <v>5010</v>
      </c>
      <c r="B750">
        <v>2216</v>
      </c>
      <c r="C750">
        <f>1/COUNTIF(B:B,pizza_sales[[#This Row],[order_id]])</f>
        <v>1</v>
      </c>
      <c r="D750" t="s">
        <v>43</v>
      </c>
      <c r="E750">
        <v>1</v>
      </c>
      <c r="F750" s="1">
        <v>42157</v>
      </c>
      <c r="G750" s="1" t="str">
        <f>TEXT(pizza_sales[[#This Row],[order_date]],"dddd")</f>
        <v>Tuesday</v>
      </c>
      <c r="H750" s="2">
        <v>0.75724537037037032</v>
      </c>
      <c r="I750">
        <v>16.25</v>
      </c>
      <c r="J750">
        <v>16.25</v>
      </c>
      <c r="K750" t="s">
        <v>59</v>
      </c>
      <c r="L750" t="s">
        <v>35</v>
      </c>
      <c r="M750" t="s">
        <v>40</v>
      </c>
      <c r="N750" t="s">
        <v>41</v>
      </c>
    </row>
    <row r="751" spans="1:14" x14ac:dyDescent="0.25">
      <c r="A751">
        <v>5013</v>
      </c>
      <c r="B751">
        <v>2217</v>
      </c>
      <c r="C751">
        <f>1/COUNTIF(B:B,pizza_sales[[#This Row],[order_id]])</f>
        <v>1</v>
      </c>
      <c r="D751" t="s">
        <v>48</v>
      </c>
      <c r="E751">
        <v>1</v>
      </c>
      <c r="F751" s="1">
        <v>42157</v>
      </c>
      <c r="G751" s="1" t="str">
        <f>TEXT(pizza_sales[[#This Row],[order_date]],"dddd")</f>
        <v>Tuesday</v>
      </c>
      <c r="H751" s="2">
        <v>0.76509259259259255</v>
      </c>
      <c r="I751">
        <v>12.25</v>
      </c>
      <c r="J751">
        <v>12.25</v>
      </c>
      <c r="K751" t="s">
        <v>60</v>
      </c>
      <c r="L751" t="s">
        <v>35</v>
      </c>
      <c r="M751" t="s">
        <v>40</v>
      </c>
      <c r="N751" t="s">
        <v>41</v>
      </c>
    </row>
    <row r="752" spans="1:14" x14ac:dyDescent="0.25">
      <c r="A752">
        <v>5019</v>
      </c>
      <c r="B752">
        <v>2221</v>
      </c>
      <c r="C752">
        <f>1/COUNTIF(B:B,pizza_sales[[#This Row],[order_id]])</f>
        <v>1</v>
      </c>
      <c r="D752" t="s">
        <v>54</v>
      </c>
      <c r="E752">
        <v>1</v>
      </c>
      <c r="F752" s="1">
        <v>42157</v>
      </c>
      <c r="G752" s="1" t="str">
        <f>TEXT(pizza_sales[[#This Row],[order_date]],"dddd")</f>
        <v>Tuesday</v>
      </c>
      <c r="H752" s="2">
        <v>0.78282407407407406</v>
      </c>
      <c r="I752">
        <v>12.25</v>
      </c>
      <c r="J752">
        <v>12.25</v>
      </c>
      <c r="K752" t="s">
        <v>60</v>
      </c>
      <c r="L752" t="s">
        <v>35</v>
      </c>
      <c r="M752" t="s">
        <v>36</v>
      </c>
      <c r="N752" t="s">
        <v>37</v>
      </c>
    </row>
    <row r="753" spans="1:14" x14ac:dyDescent="0.25">
      <c r="A753">
        <v>5024</v>
      </c>
      <c r="B753">
        <v>2222</v>
      </c>
      <c r="C753">
        <f>1/COUNTIF(B:B,pizza_sales[[#This Row],[order_id]])</f>
        <v>0.5</v>
      </c>
      <c r="D753" t="s">
        <v>56</v>
      </c>
      <c r="E753">
        <v>1</v>
      </c>
      <c r="F753" s="1">
        <v>42157</v>
      </c>
      <c r="G753" s="1" t="str">
        <f>TEXT(pizza_sales[[#This Row],[order_date]],"dddd")</f>
        <v>Tuesday</v>
      </c>
      <c r="H753" s="2">
        <v>0.78605324074074079</v>
      </c>
      <c r="I753">
        <v>20.25</v>
      </c>
      <c r="J753">
        <v>20.25</v>
      </c>
      <c r="K753" t="s">
        <v>58</v>
      </c>
      <c r="L753" t="s">
        <v>35</v>
      </c>
      <c r="M753" t="s">
        <v>36</v>
      </c>
      <c r="N753" t="s">
        <v>37</v>
      </c>
    </row>
    <row r="754" spans="1:14" x14ac:dyDescent="0.25">
      <c r="A754">
        <v>5025</v>
      </c>
      <c r="B754">
        <v>2222</v>
      </c>
      <c r="C754">
        <f>1/COUNTIF(B:B,pizza_sales[[#This Row],[order_id]])</f>
        <v>0.5</v>
      </c>
      <c r="D754" t="s">
        <v>43</v>
      </c>
      <c r="E754">
        <v>1</v>
      </c>
      <c r="F754" s="1">
        <v>42157</v>
      </c>
      <c r="G754" s="1" t="str">
        <f>TEXT(pizza_sales[[#This Row],[order_date]],"dddd")</f>
        <v>Tuesday</v>
      </c>
      <c r="H754" s="2">
        <v>0.78605324074074079</v>
      </c>
      <c r="I754">
        <v>16.25</v>
      </c>
      <c r="J754">
        <v>16.25</v>
      </c>
      <c r="K754" t="s">
        <v>59</v>
      </c>
      <c r="L754" t="s">
        <v>35</v>
      </c>
      <c r="M754" t="s">
        <v>40</v>
      </c>
      <c r="N754" t="s">
        <v>41</v>
      </c>
    </row>
    <row r="755" spans="1:14" x14ac:dyDescent="0.25">
      <c r="A755">
        <v>5026</v>
      </c>
      <c r="B755">
        <v>2223</v>
      </c>
      <c r="C755">
        <f>1/COUNTIF(B:B,pizza_sales[[#This Row],[order_id]])</f>
        <v>1</v>
      </c>
      <c r="D755" t="s">
        <v>46</v>
      </c>
      <c r="E755">
        <v>1</v>
      </c>
      <c r="F755" s="1">
        <v>42157</v>
      </c>
      <c r="G755" s="1" t="str">
        <f>TEXT(pizza_sales[[#This Row],[order_date]],"dddd")</f>
        <v>Tuesday</v>
      </c>
      <c r="H755" s="2">
        <v>0.79340277777777779</v>
      </c>
      <c r="I755">
        <v>25.5</v>
      </c>
      <c r="J755">
        <v>25.5</v>
      </c>
      <c r="K755" t="s">
        <v>61</v>
      </c>
      <c r="L755" t="s">
        <v>13</v>
      </c>
      <c r="M755" t="s">
        <v>21</v>
      </c>
      <c r="N755" t="s">
        <v>22</v>
      </c>
    </row>
    <row r="756" spans="1:14" x14ac:dyDescent="0.25">
      <c r="A756">
        <v>5028</v>
      </c>
      <c r="B756">
        <v>2225</v>
      </c>
      <c r="C756">
        <f>1/COUNTIF(B:B,pizza_sales[[#This Row],[order_id]])</f>
        <v>1</v>
      </c>
      <c r="D756" t="s">
        <v>48</v>
      </c>
      <c r="E756">
        <v>1</v>
      </c>
      <c r="F756" s="1">
        <v>42157</v>
      </c>
      <c r="G756" s="1" t="str">
        <f>TEXT(pizza_sales[[#This Row],[order_date]],"dddd")</f>
        <v>Tuesday</v>
      </c>
      <c r="H756" s="2">
        <v>0.80793981481481481</v>
      </c>
      <c r="I756">
        <v>12.25</v>
      </c>
      <c r="J756">
        <v>12.25</v>
      </c>
      <c r="K756" t="s">
        <v>60</v>
      </c>
      <c r="L756" t="s">
        <v>35</v>
      </c>
      <c r="M756" t="s">
        <v>40</v>
      </c>
      <c r="N756" t="s">
        <v>41</v>
      </c>
    </row>
    <row r="757" spans="1:14" x14ac:dyDescent="0.25">
      <c r="A757">
        <v>5030</v>
      </c>
      <c r="B757">
        <v>2226</v>
      </c>
      <c r="C757">
        <f>1/COUNTIF(B:B,pizza_sales[[#This Row],[order_id]])</f>
        <v>1</v>
      </c>
      <c r="D757" t="s">
        <v>25</v>
      </c>
      <c r="E757">
        <v>1</v>
      </c>
      <c r="F757" s="1">
        <v>42157</v>
      </c>
      <c r="G757" s="1" t="str">
        <f>TEXT(pizza_sales[[#This Row],[order_date]],"dddd")</f>
        <v>Tuesday</v>
      </c>
      <c r="H757" s="2">
        <v>0.81246527777777777</v>
      </c>
      <c r="I757">
        <v>15.25</v>
      </c>
      <c r="J757">
        <v>15.25</v>
      </c>
      <c r="K757" t="s">
        <v>58</v>
      </c>
      <c r="L757" t="s">
        <v>13</v>
      </c>
      <c r="M757" t="s">
        <v>26</v>
      </c>
      <c r="N757" t="s">
        <v>27</v>
      </c>
    </row>
    <row r="758" spans="1:14" x14ac:dyDescent="0.25">
      <c r="A758">
        <v>5033</v>
      </c>
      <c r="B758">
        <v>2228</v>
      </c>
      <c r="C758">
        <f>1/COUNTIF(B:B,pizza_sales[[#This Row],[order_id]])</f>
        <v>1</v>
      </c>
      <c r="D758" t="s">
        <v>38</v>
      </c>
      <c r="E758">
        <v>1</v>
      </c>
      <c r="F758" s="1">
        <v>42157</v>
      </c>
      <c r="G758" s="1" t="str">
        <f>TEXT(pizza_sales[[#This Row],[order_date]],"dddd")</f>
        <v>Tuesday</v>
      </c>
      <c r="H758" s="2">
        <v>0.83649305555555553</v>
      </c>
      <c r="I758">
        <v>20.5</v>
      </c>
      <c r="J758">
        <v>20.5</v>
      </c>
      <c r="K758" t="s">
        <v>58</v>
      </c>
      <c r="L758" t="s">
        <v>13</v>
      </c>
      <c r="M758" t="s">
        <v>32</v>
      </c>
      <c r="N758" t="s">
        <v>33</v>
      </c>
    </row>
    <row r="759" spans="1:14" x14ac:dyDescent="0.25">
      <c r="A759">
        <v>5036</v>
      </c>
      <c r="B759">
        <v>2229</v>
      </c>
      <c r="C759">
        <f>1/COUNTIF(B:B,pizza_sales[[#This Row],[order_id]])</f>
        <v>1</v>
      </c>
      <c r="D759" t="s">
        <v>12</v>
      </c>
      <c r="E759">
        <v>1</v>
      </c>
      <c r="F759" s="1">
        <v>42157</v>
      </c>
      <c r="G759" s="1" t="str">
        <f>TEXT(pizza_sales[[#This Row],[order_date]],"dddd")</f>
        <v>Tuesday</v>
      </c>
      <c r="H759" s="2">
        <v>0.84506944444444443</v>
      </c>
      <c r="I759">
        <v>13.25</v>
      </c>
      <c r="J759">
        <v>13.25</v>
      </c>
      <c r="K759" t="s">
        <v>59</v>
      </c>
      <c r="L759" t="s">
        <v>13</v>
      </c>
      <c r="M759" t="s">
        <v>14</v>
      </c>
      <c r="N759" t="s">
        <v>15</v>
      </c>
    </row>
    <row r="760" spans="1:14" x14ac:dyDescent="0.25">
      <c r="A760">
        <v>5043</v>
      </c>
      <c r="B760">
        <v>2233</v>
      </c>
      <c r="C760">
        <f>1/COUNTIF(B:B,pizza_sales[[#This Row],[order_id]])</f>
        <v>1</v>
      </c>
      <c r="D760" t="s">
        <v>47</v>
      </c>
      <c r="E760">
        <v>1</v>
      </c>
      <c r="F760" s="1">
        <v>42157</v>
      </c>
      <c r="G760" s="1" t="str">
        <f>TEXT(pizza_sales[[#This Row],[order_date]],"dddd")</f>
        <v>Tuesday</v>
      </c>
      <c r="H760" s="2">
        <v>0.87987268518518513</v>
      </c>
      <c r="I760">
        <v>16.5</v>
      </c>
      <c r="J760">
        <v>16.5</v>
      </c>
      <c r="K760" t="s">
        <v>58</v>
      </c>
      <c r="L760" t="s">
        <v>13</v>
      </c>
      <c r="M760" t="s">
        <v>14</v>
      </c>
      <c r="N760" t="s">
        <v>15</v>
      </c>
    </row>
    <row r="761" spans="1:14" x14ac:dyDescent="0.25">
      <c r="A761">
        <v>5044</v>
      </c>
      <c r="B761">
        <v>2234</v>
      </c>
      <c r="C761">
        <f>1/COUNTIF(B:B,pizza_sales[[#This Row],[order_id]])</f>
        <v>1</v>
      </c>
      <c r="D761" t="s">
        <v>28</v>
      </c>
      <c r="E761">
        <v>1</v>
      </c>
      <c r="F761" s="1">
        <v>42157</v>
      </c>
      <c r="G761" s="1" t="str">
        <f>TEXT(pizza_sales[[#This Row],[order_date]],"dddd")</f>
        <v>Tuesday</v>
      </c>
      <c r="H761" s="2">
        <v>0.88700231481481484</v>
      </c>
      <c r="I761">
        <v>12</v>
      </c>
      <c r="J761">
        <v>12</v>
      </c>
      <c r="K761" t="s">
        <v>60</v>
      </c>
      <c r="L761" t="s">
        <v>13</v>
      </c>
      <c r="M761" t="s">
        <v>29</v>
      </c>
      <c r="N761" t="s">
        <v>30</v>
      </c>
    </row>
    <row r="762" spans="1:14" x14ac:dyDescent="0.25">
      <c r="A762">
        <v>5048</v>
      </c>
      <c r="B762">
        <v>2235</v>
      </c>
      <c r="C762">
        <f>1/COUNTIF(B:B,pizza_sales[[#This Row],[order_id]])</f>
        <v>1</v>
      </c>
      <c r="D762" t="s">
        <v>50</v>
      </c>
      <c r="E762">
        <v>1</v>
      </c>
      <c r="F762" s="1">
        <v>42157</v>
      </c>
      <c r="G762" s="1" t="str">
        <f>TEXT(pizza_sales[[#This Row],[order_date]],"dddd")</f>
        <v>Tuesday</v>
      </c>
      <c r="H762" s="2">
        <v>0.89348379629629626</v>
      </c>
      <c r="I762">
        <v>16</v>
      </c>
      <c r="J762">
        <v>16</v>
      </c>
      <c r="K762" t="s">
        <v>59</v>
      </c>
      <c r="L762" t="s">
        <v>13</v>
      </c>
      <c r="M762" t="s">
        <v>32</v>
      </c>
      <c r="N762" t="s">
        <v>33</v>
      </c>
    </row>
    <row r="763" spans="1:14" x14ac:dyDescent="0.25">
      <c r="A763">
        <v>5054</v>
      </c>
      <c r="B763">
        <v>2237</v>
      </c>
      <c r="C763">
        <f>1/COUNTIF(B:B,pizza_sales[[#This Row],[order_id]])</f>
        <v>1</v>
      </c>
      <c r="D763" t="s">
        <v>12</v>
      </c>
      <c r="E763">
        <v>1</v>
      </c>
      <c r="F763" s="1">
        <v>42157</v>
      </c>
      <c r="G763" s="1" t="str">
        <f>TEXT(pizza_sales[[#This Row],[order_date]],"dddd")</f>
        <v>Tuesday</v>
      </c>
      <c r="H763" s="2">
        <v>0.90079861111111115</v>
      </c>
      <c r="I763">
        <v>13.25</v>
      </c>
      <c r="J763">
        <v>13.25</v>
      </c>
      <c r="K763" t="s">
        <v>59</v>
      </c>
      <c r="L763" t="s">
        <v>13</v>
      </c>
      <c r="M763" t="s">
        <v>14</v>
      </c>
      <c r="N763" t="s">
        <v>15</v>
      </c>
    </row>
    <row r="764" spans="1:14" x14ac:dyDescent="0.25">
      <c r="A764">
        <v>5056</v>
      </c>
      <c r="B764">
        <v>2238</v>
      </c>
      <c r="C764">
        <f>1/COUNTIF(B:B,pizza_sales[[#This Row],[order_id]])</f>
        <v>1</v>
      </c>
      <c r="D764" t="s">
        <v>55</v>
      </c>
      <c r="E764">
        <v>1</v>
      </c>
      <c r="F764" s="1">
        <v>42157</v>
      </c>
      <c r="G764" s="1" t="str">
        <f>TEXT(pizza_sales[[#This Row],[order_date]],"dddd")</f>
        <v>Tuesday</v>
      </c>
      <c r="H764" s="2">
        <v>0.90171296296296299</v>
      </c>
      <c r="I764">
        <v>20.5</v>
      </c>
      <c r="J764">
        <v>20.5</v>
      </c>
      <c r="K764" t="s">
        <v>58</v>
      </c>
      <c r="L764" t="s">
        <v>13</v>
      </c>
      <c r="M764" t="s">
        <v>21</v>
      </c>
      <c r="N764" t="s">
        <v>22</v>
      </c>
    </row>
    <row r="765" spans="1:14" x14ac:dyDescent="0.25">
      <c r="A765">
        <v>5058</v>
      </c>
      <c r="B765">
        <v>2240</v>
      </c>
      <c r="C765">
        <f>1/COUNTIF(B:B,pizza_sales[[#This Row],[order_id]])</f>
        <v>1</v>
      </c>
      <c r="D765" t="s">
        <v>51</v>
      </c>
      <c r="E765">
        <v>1</v>
      </c>
      <c r="F765" s="1">
        <v>42157</v>
      </c>
      <c r="G765" s="1" t="str">
        <f>TEXT(pizza_sales[[#This Row],[order_date]],"dddd")</f>
        <v>Tuesday</v>
      </c>
      <c r="H765" s="2">
        <v>0.93214120370370368</v>
      </c>
      <c r="I765">
        <v>23.65</v>
      </c>
      <c r="J765">
        <v>23.65</v>
      </c>
      <c r="K765" t="s">
        <v>60</v>
      </c>
      <c r="L765" t="s">
        <v>35</v>
      </c>
      <c r="M765" t="s">
        <v>52</v>
      </c>
      <c r="N765" t="s">
        <v>53</v>
      </c>
    </row>
    <row r="766" spans="1:14" x14ac:dyDescent="0.25">
      <c r="A766">
        <v>5060</v>
      </c>
      <c r="B766">
        <v>2241</v>
      </c>
      <c r="C766">
        <f>1/COUNTIF(B:B,pizza_sales[[#This Row],[order_id]])</f>
        <v>1</v>
      </c>
      <c r="D766" t="s">
        <v>47</v>
      </c>
      <c r="E766">
        <v>1</v>
      </c>
      <c r="F766" s="1">
        <v>42187</v>
      </c>
      <c r="G766" s="1" t="str">
        <f>TEXT(pizza_sales[[#This Row],[order_date]],"dddd")</f>
        <v>Thursday</v>
      </c>
      <c r="H766" s="2">
        <v>0.48660879629629628</v>
      </c>
      <c r="I766">
        <v>16.5</v>
      </c>
      <c r="J766">
        <v>16.5</v>
      </c>
      <c r="K766" t="s">
        <v>58</v>
      </c>
      <c r="L766" t="s">
        <v>13</v>
      </c>
      <c r="M766" t="s">
        <v>14</v>
      </c>
      <c r="N766" t="s">
        <v>15</v>
      </c>
    </row>
    <row r="767" spans="1:14" x14ac:dyDescent="0.25">
      <c r="A767">
        <v>5063</v>
      </c>
      <c r="B767">
        <v>2242</v>
      </c>
      <c r="C767">
        <f>1/COUNTIF(B:B,pizza_sales[[#This Row],[order_id]])</f>
        <v>0.5</v>
      </c>
      <c r="D767" t="s">
        <v>28</v>
      </c>
      <c r="E767">
        <v>1</v>
      </c>
      <c r="F767" s="1">
        <v>42187</v>
      </c>
      <c r="G767" s="1" t="str">
        <f>TEXT(pizza_sales[[#This Row],[order_date]],"dddd")</f>
        <v>Thursday</v>
      </c>
      <c r="H767" s="2">
        <v>0.49828703703703703</v>
      </c>
      <c r="I767">
        <v>12</v>
      </c>
      <c r="J767">
        <v>12</v>
      </c>
      <c r="K767" t="s">
        <v>60</v>
      </c>
      <c r="L767" t="s">
        <v>13</v>
      </c>
      <c r="M767" t="s">
        <v>29</v>
      </c>
      <c r="N767" t="s">
        <v>30</v>
      </c>
    </row>
    <row r="768" spans="1:14" x14ac:dyDescent="0.25">
      <c r="A768">
        <v>5067</v>
      </c>
      <c r="B768">
        <v>2242</v>
      </c>
      <c r="C768">
        <f>1/COUNTIF(B:B,pizza_sales[[#This Row],[order_id]])</f>
        <v>0.5</v>
      </c>
      <c r="D768" t="s">
        <v>16</v>
      </c>
      <c r="E768">
        <v>1</v>
      </c>
      <c r="F768" s="1">
        <v>42187</v>
      </c>
      <c r="G768" s="1" t="str">
        <f>TEXT(pizza_sales[[#This Row],[order_date]],"dddd")</f>
        <v>Thursday</v>
      </c>
      <c r="H768" s="2">
        <v>0.49828703703703703</v>
      </c>
      <c r="I768">
        <v>16</v>
      </c>
      <c r="J768">
        <v>16</v>
      </c>
      <c r="K768" t="s">
        <v>59</v>
      </c>
      <c r="L768" t="s">
        <v>17</v>
      </c>
      <c r="M768" t="s">
        <v>18</v>
      </c>
      <c r="N768" t="s">
        <v>19</v>
      </c>
    </row>
    <row r="769" spans="1:14" x14ac:dyDescent="0.25">
      <c r="A769">
        <v>5074</v>
      </c>
      <c r="B769">
        <v>2247</v>
      </c>
      <c r="C769">
        <f>1/COUNTIF(B:B,pizza_sales[[#This Row],[order_id]])</f>
        <v>1</v>
      </c>
      <c r="D769" t="s">
        <v>39</v>
      </c>
      <c r="E769">
        <v>1</v>
      </c>
      <c r="F769" s="1">
        <v>42187</v>
      </c>
      <c r="G769" s="1" t="str">
        <f>TEXT(pizza_sales[[#This Row],[order_date]],"dddd")</f>
        <v>Thursday</v>
      </c>
      <c r="H769" s="2">
        <v>0.5527199074074074</v>
      </c>
      <c r="I769">
        <v>20.25</v>
      </c>
      <c r="J769">
        <v>20.25</v>
      </c>
      <c r="K769" t="s">
        <v>58</v>
      </c>
      <c r="L769" t="s">
        <v>35</v>
      </c>
      <c r="M769" t="s">
        <v>40</v>
      </c>
      <c r="N769" t="s">
        <v>41</v>
      </c>
    </row>
    <row r="770" spans="1:14" x14ac:dyDescent="0.25">
      <c r="A770">
        <v>5080</v>
      </c>
      <c r="B770">
        <v>2251</v>
      </c>
      <c r="C770">
        <f>1/COUNTIF(B:B,pizza_sales[[#This Row],[order_id]])</f>
        <v>1</v>
      </c>
      <c r="D770" t="s">
        <v>55</v>
      </c>
      <c r="E770">
        <v>1</v>
      </c>
      <c r="F770" s="1">
        <v>42187</v>
      </c>
      <c r="G770" s="1" t="str">
        <f>TEXT(pizza_sales[[#This Row],[order_date]],"dddd")</f>
        <v>Thursday</v>
      </c>
      <c r="H770" s="2">
        <v>0.58194444444444449</v>
      </c>
      <c r="I770">
        <v>20.5</v>
      </c>
      <c r="J770">
        <v>20.5</v>
      </c>
      <c r="K770" t="s">
        <v>58</v>
      </c>
      <c r="L770" t="s">
        <v>13</v>
      </c>
      <c r="M770" t="s">
        <v>21</v>
      </c>
      <c r="N770" t="s">
        <v>22</v>
      </c>
    </row>
    <row r="771" spans="1:14" x14ac:dyDescent="0.25">
      <c r="A771">
        <v>5081</v>
      </c>
      <c r="B771">
        <v>2252</v>
      </c>
      <c r="C771">
        <f>1/COUNTIF(B:B,pizza_sales[[#This Row],[order_id]])</f>
        <v>1</v>
      </c>
      <c r="D771" t="s">
        <v>28</v>
      </c>
      <c r="E771">
        <v>1</v>
      </c>
      <c r="F771" s="1">
        <v>42187</v>
      </c>
      <c r="G771" s="1" t="str">
        <f>TEXT(pizza_sales[[#This Row],[order_date]],"dddd")</f>
        <v>Thursday</v>
      </c>
      <c r="H771" s="2">
        <v>0.60575231481481484</v>
      </c>
      <c r="I771">
        <v>12</v>
      </c>
      <c r="J771">
        <v>12</v>
      </c>
      <c r="K771" t="s">
        <v>60</v>
      </c>
      <c r="L771" t="s">
        <v>13</v>
      </c>
      <c r="M771" t="s">
        <v>29</v>
      </c>
      <c r="N771" t="s">
        <v>30</v>
      </c>
    </row>
    <row r="772" spans="1:14" x14ac:dyDescent="0.25">
      <c r="A772">
        <v>5085</v>
      </c>
      <c r="B772">
        <v>2254</v>
      </c>
      <c r="C772">
        <f>1/COUNTIF(B:B,pizza_sales[[#This Row],[order_id]])</f>
        <v>0.5</v>
      </c>
      <c r="D772" t="s">
        <v>51</v>
      </c>
      <c r="E772">
        <v>1</v>
      </c>
      <c r="F772" s="1">
        <v>42187</v>
      </c>
      <c r="G772" s="1" t="str">
        <f>TEXT(pizza_sales[[#This Row],[order_date]],"dddd")</f>
        <v>Thursday</v>
      </c>
      <c r="H772" s="2">
        <v>0.62567129629629625</v>
      </c>
      <c r="I772">
        <v>23.65</v>
      </c>
      <c r="J772">
        <v>23.65</v>
      </c>
      <c r="K772" t="s">
        <v>60</v>
      </c>
      <c r="L772" t="s">
        <v>35</v>
      </c>
      <c r="M772" t="s">
        <v>52</v>
      </c>
      <c r="N772" t="s">
        <v>53</v>
      </c>
    </row>
    <row r="773" spans="1:14" x14ac:dyDescent="0.25">
      <c r="A773">
        <v>5090</v>
      </c>
      <c r="B773">
        <v>2254</v>
      </c>
      <c r="C773">
        <f>1/COUNTIF(B:B,pizza_sales[[#This Row],[order_id]])</f>
        <v>0.5</v>
      </c>
      <c r="D773" t="s">
        <v>39</v>
      </c>
      <c r="E773">
        <v>1</v>
      </c>
      <c r="F773" s="1">
        <v>42187</v>
      </c>
      <c r="G773" s="1" t="str">
        <f>TEXT(pizza_sales[[#This Row],[order_date]],"dddd")</f>
        <v>Thursday</v>
      </c>
      <c r="H773" s="2">
        <v>0.62567129629629625</v>
      </c>
      <c r="I773">
        <v>20.25</v>
      </c>
      <c r="J773">
        <v>20.25</v>
      </c>
      <c r="K773" t="s">
        <v>58</v>
      </c>
      <c r="L773" t="s">
        <v>35</v>
      </c>
      <c r="M773" t="s">
        <v>40</v>
      </c>
      <c r="N773" t="s">
        <v>41</v>
      </c>
    </row>
    <row r="774" spans="1:14" x14ac:dyDescent="0.25">
      <c r="A774">
        <v>5093</v>
      </c>
      <c r="B774">
        <v>2255</v>
      </c>
      <c r="C774">
        <f>1/COUNTIF(B:B,pizza_sales[[#This Row],[order_id]])</f>
        <v>1</v>
      </c>
      <c r="D774" t="s">
        <v>28</v>
      </c>
      <c r="E774">
        <v>1</v>
      </c>
      <c r="F774" s="1">
        <v>42187</v>
      </c>
      <c r="G774" s="1" t="str">
        <f>TEXT(pizza_sales[[#This Row],[order_date]],"dddd")</f>
        <v>Thursday</v>
      </c>
      <c r="H774" s="2">
        <v>0.63604166666666662</v>
      </c>
      <c r="I774">
        <v>12</v>
      </c>
      <c r="J774">
        <v>12</v>
      </c>
      <c r="K774" t="s">
        <v>60</v>
      </c>
      <c r="L774" t="s">
        <v>13</v>
      </c>
      <c r="M774" t="s">
        <v>29</v>
      </c>
      <c r="N774" t="s">
        <v>30</v>
      </c>
    </row>
    <row r="775" spans="1:14" x14ac:dyDescent="0.25">
      <c r="A775">
        <v>5097</v>
      </c>
      <c r="B775">
        <v>2256</v>
      </c>
      <c r="C775">
        <f>1/COUNTIF(B:B,pizza_sales[[#This Row],[order_id]])</f>
        <v>1</v>
      </c>
      <c r="D775" t="s">
        <v>25</v>
      </c>
      <c r="E775">
        <v>1</v>
      </c>
      <c r="F775" s="1">
        <v>42187</v>
      </c>
      <c r="G775" s="1" t="str">
        <f>TEXT(pizza_sales[[#This Row],[order_date]],"dddd")</f>
        <v>Thursday</v>
      </c>
      <c r="H775" s="2">
        <v>0.6403240740740741</v>
      </c>
      <c r="I775">
        <v>15.25</v>
      </c>
      <c r="J775">
        <v>15.25</v>
      </c>
      <c r="K775" t="s">
        <v>58</v>
      </c>
      <c r="L775" t="s">
        <v>13</v>
      </c>
      <c r="M775" t="s">
        <v>26</v>
      </c>
      <c r="N775" t="s">
        <v>27</v>
      </c>
    </row>
    <row r="776" spans="1:14" x14ac:dyDescent="0.25">
      <c r="A776">
        <v>5100</v>
      </c>
      <c r="B776">
        <v>2257</v>
      </c>
      <c r="C776">
        <f>1/COUNTIF(B:B,pizza_sales[[#This Row],[order_id]])</f>
        <v>1</v>
      </c>
      <c r="D776" t="s">
        <v>28</v>
      </c>
      <c r="E776">
        <v>1</v>
      </c>
      <c r="F776" s="1">
        <v>42187</v>
      </c>
      <c r="G776" s="1" t="str">
        <f>TEXT(pizza_sales[[#This Row],[order_date]],"dddd")</f>
        <v>Thursday</v>
      </c>
      <c r="H776" s="2">
        <v>0.64508101851851851</v>
      </c>
      <c r="I776">
        <v>12</v>
      </c>
      <c r="J776">
        <v>12</v>
      </c>
      <c r="K776" t="s">
        <v>60</v>
      </c>
      <c r="L776" t="s">
        <v>13</v>
      </c>
      <c r="M776" t="s">
        <v>29</v>
      </c>
      <c r="N776" t="s">
        <v>30</v>
      </c>
    </row>
    <row r="777" spans="1:14" x14ac:dyDescent="0.25">
      <c r="A777">
        <v>5103</v>
      </c>
      <c r="B777">
        <v>2258</v>
      </c>
      <c r="C777">
        <f>1/COUNTIF(B:B,pizza_sales[[#This Row],[order_id]])</f>
        <v>1</v>
      </c>
      <c r="D777" t="s">
        <v>46</v>
      </c>
      <c r="E777">
        <v>1</v>
      </c>
      <c r="F777" s="1">
        <v>42187</v>
      </c>
      <c r="G777" s="1" t="str">
        <f>TEXT(pizza_sales[[#This Row],[order_date]],"dddd")</f>
        <v>Thursday</v>
      </c>
      <c r="H777" s="2">
        <v>0.64866898148148144</v>
      </c>
      <c r="I777">
        <v>25.5</v>
      </c>
      <c r="J777">
        <v>25.5</v>
      </c>
      <c r="K777" t="s">
        <v>61</v>
      </c>
      <c r="L777" t="s">
        <v>13</v>
      </c>
      <c r="M777" t="s">
        <v>21</v>
      </c>
      <c r="N777" t="s">
        <v>22</v>
      </c>
    </row>
    <row r="778" spans="1:14" x14ac:dyDescent="0.25">
      <c r="A778">
        <v>5106</v>
      </c>
      <c r="B778">
        <v>2260</v>
      </c>
      <c r="C778">
        <f>1/COUNTIF(B:B,pizza_sales[[#This Row],[order_id]])</f>
        <v>1</v>
      </c>
      <c r="D778" t="s">
        <v>51</v>
      </c>
      <c r="E778">
        <v>1</v>
      </c>
      <c r="F778" s="1">
        <v>42187</v>
      </c>
      <c r="G778" s="1" t="str">
        <f>TEXT(pizza_sales[[#This Row],[order_date]],"dddd")</f>
        <v>Thursday</v>
      </c>
      <c r="H778" s="2">
        <v>0.6551851851851852</v>
      </c>
      <c r="I778">
        <v>23.65</v>
      </c>
      <c r="J778">
        <v>23.65</v>
      </c>
      <c r="K778" t="s">
        <v>60</v>
      </c>
      <c r="L778" t="s">
        <v>35</v>
      </c>
      <c r="M778" t="s">
        <v>52</v>
      </c>
      <c r="N778" t="s">
        <v>53</v>
      </c>
    </row>
    <row r="779" spans="1:14" x14ac:dyDescent="0.25">
      <c r="A779">
        <v>5118</v>
      </c>
      <c r="B779">
        <v>2265</v>
      </c>
      <c r="C779">
        <f>1/COUNTIF(B:B,pizza_sales[[#This Row],[order_id]])</f>
        <v>1</v>
      </c>
      <c r="D779" t="s">
        <v>45</v>
      </c>
      <c r="E779">
        <v>1</v>
      </c>
      <c r="F779" s="1">
        <v>42187</v>
      </c>
      <c r="G779" s="1" t="str">
        <f>TEXT(pizza_sales[[#This Row],[order_date]],"dddd")</f>
        <v>Thursday</v>
      </c>
      <c r="H779" s="2">
        <v>0.71229166666666666</v>
      </c>
      <c r="I779">
        <v>10.5</v>
      </c>
      <c r="J779">
        <v>10.5</v>
      </c>
      <c r="K779" t="s">
        <v>60</v>
      </c>
      <c r="L779" t="s">
        <v>13</v>
      </c>
      <c r="M779" t="s">
        <v>14</v>
      </c>
      <c r="N779" t="s">
        <v>15</v>
      </c>
    </row>
    <row r="780" spans="1:14" x14ac:dyDescent="0.25">
      <c r="A780">
        <v>5125</v>
      </c>
      <c r="B780">
        <v>2269</v>
      </c>
      <c r="C780">
        <f>1/COUNTIF(B:B,pizza_sales[[#This Row],[order_id]])</f>
        <v>1</v>
      </c>
      <c r="D780" t="s">
        <v>28</v>
      </c>
      <c r="E780">
        <v>1</v>
      </c>
      <c r="F780" s="1">
        <v>42187</v>
      </c>
      <c r="G780" s="1" t="str">
        <f>TEXT(pizza_sales[[#This Row],[order_date]],"dddd")</f>
        <v>Thursday</v>
      </c>
      <c r="H780" s="2">
        <v>0.7363425925925926</v>
      </c>
      <c r="I780">
        <v>12</v>
      </c>
      <c r="J780">
        <v>12</v>
      </c>
      <c r="K780" t="s">
        <v>60</v>
      </c>
      <c r="L780" t="s">
        <v>13</v>
      </c>
      <c r="M780" t="s">
        <v>29</v>
      </c>
      <c r="N780" t="s">
        <v>30</v>
      </c>
    </row>
    <row r="781" spans="1:14" x14ac:dyDescent="0.25">
      <c r="A781">
        <v>5127</v>
      </c>
      <c r="B781">
        <v>2270</v>
      </c>
      <c r="C781">
        <f>1/COUNTIF(B:B,pizza_sales[[#This Row],[order_id]])</f>
        <v>1</v>
      </c>
      <c r="D781" t="s">
        <v>48</v>
      </c>
      <c r="E781">
        <v>1</v>
      </c>
      <c r="F781" s="1">
        <v>42187</v>
      </c>
      <c r="G781" s="1" t="str">
        <f>TEXT(pizza_sales[[#This Row],[order_date]],"dddd")</f>
        <v>Thursday</v>
      </c>
      <c r="H781" s="2">
        <v>0.74809027777777781</v>
      </c>
      <c r="I781">
        <v>12.25</v>
      </c>
      <c r="J781">
        <v>12.25</v>
      </c>
      <c r="K781" t="s">
        <v>60</v>
      </c>
      <c r="L781" t="s">
        <v>35</v>
      </c>
      <c r="M781" t="s">
        <v>40</v>
      </c>
      <c r="N781" t="s">
        <v>41</v>
      </c>
    </row>
    <row r="782" spans="1:14" x14ac:dyDescent="0.25">
      <c r="A782">
        <v>5134</v>
      </c>
      <c r="B782">
        <v>2273</v>
      </c>
      <c r="C782">
        <f>1/COUNTIF(B:B,pizza_sales[[#This Row],[order_id]])</f>
        <v>0.5</v>
      </c>
      <c r="D782" t="s">
        <v>28</v>
      </c>
      <c r="E782">
        <v>1</v>
      </c>
      <c r="F782" s="1">
        <v>42187</v>
      </c>
      <c r="G782" s="1" t="str">
        <f>TEXT(pizza_sales[[#This Row],[order_date]],"dddd")</f>
        <v>Thursday</v>
      </c>
      <c r="H782" s="2">
        <v>0.77186342592592594</v>
      </c>
      <c r="I782">
        <v>12</v>
      </c>
      <c r="J782">
        <v>12</v>
      </c>
      <c r="K782" t="s">
        <v>60</v>
      </c>
      <c r="L782" t="s">
        <v>13</v>
      </c>
      <c r="M782" t="s">
        <v>29</v>
      </c>
      <c r="N782" t="s">
        <v>30</v>
      </c>
    </row>
    <row r="783" spans="1:14" x14ac:dyDescent="0.25">
      <c r="A783">
        <v>5135</v>
      </c>
      <c r="B783">
        <v>2273</v>
      </c>
      <c r="C783">
        <f>1/COUNTIF(B:B,pizza_sales[[#This Row],[order_id]])</f>
        <v>0.5</v>
      </c>
      <c r="D783" t="s">
        <v>54</v>
      </c>
      <c r="E783">
        <v>1</v>
      </c>
      <c r="F783" s="1">
        <v>42187</v>
      </c>
      <c r="G783" s="1" t="str">
        <f>TEXT(pizza_sales[[#This Row],[order_date]],"dddd")</f>
        <v>Thursday</v>
      </c>
      <c r="H783" s="2">
        <v>0.77186342592592594</v>
      </c>
      <c r="I783">
        <v>12.25</v>
      </c>
      <c r="J783">
        <v>12.25</v>
      </c>
      <c r="K783" t="s">
        <v>60</v>
      </c>
      <c r="L783" t="s">
        <v>35</v>
      </c>
      <c r="M783" t="s">
        <v>36</v>
      </c>
      <c r="N783" t="s">
        <v>37</v>
      </c>
    </row>
    <row r="784" spans="1:14" x14ac:dyDescent="0.25">
      <c r="A784">
        <v>5139</v>
      </c>
      <c r="B784">
        <v>2275</v>
      </c>
      <c r="C784">
        <f>1/COUNTIF(B:B,pizza_sales[[#This Row],[order_id]])</f>
        <v>1</v>
      </c>
      <c r="D784" t="s">
        <v>47</v>
      </c>
      <c r="E784">
        <v>1</v>
      </c>
      <c r="F784" s="1">
        <v>42187</v>
      </c>
      <c r="G784" s="1" t="str">
        <f>TEXT(pizza_sales[[#This Row],[order_date]],"dddd")</f>
        <v>Thursday</v>
      </c>
      <c r="H784" s="2">
        <v>0.77973379629629624</v>
      </c>
      <c r="I784">
        <v>16.5</v>
      </c>
      <c r="J784">
        <v>16.5</v>
      </c>
      <c r="K784" t="s">
        <v>58</v>
      </c>
      <c r="L784" t="s">
        <v>13</v>
      </c>
      <c r="M784" t="s">
        <v>14</v>
      </c>
      <c r="N784" t="s">
        <v>15</v>
      </c>
    </row>
    <row r="785" spans="1:14" x14ac:dyDescent="0.25">
      <c r="A785">
        <v>5141</v>
      </c>
      <c r="B785">
        <v>2277</v>
      </c>
      <c r="C785">
        <f>1/COUNTIF(B:B,pizza_sales[[#This Row],[order_id]])</f>
        <v>1</v>
      </c>
      <c r="D785" t="s">
        <v>34</v>
      </c>
      <c r="E785">
        <v>1</v>
      </c>
      <c r="F785" s="1">
        <v>42187</v>
      </c>
      <c r="G785" s="1" t="str">
        <f>TEXT(pizza_sales[[#This Row],[order_date]],"dddd")</f>
        <v>Thursday</v>
      </c>
      <c r="H785" s="2">
        <v>0.78737268518518522</v>
      </c>
      <c r="I785">
        <v>16.25</v>
      </c>
      <c r="J785">
        <v>16.25</v>
      </c>
      <c r="K785" t="s">
        <v>59</v>
      </c>
      <c r="L785" t="s">
        <v>35</v>
      </c>
      <c r="M785" t="s">
        <v>36</v>
      </c>
      <c r="N785" t="s">
        <v>37</v>
      </c>
    </row>
    <row r="786" spans="1:14" x14ac:dyDescent="0.25">
      <c r="A786">
        <v>5149</v>
      </c>
      <c r="B786">
        <v>2280</v>
      </c>
      <c r="C786">
        <f>1/COUNTIF(B:B,pizza_sales[[#This Row],[order_id]])</f>
        <v>1</v>
      </c>
      <c r="D786" t="s">
        <v>44</v>
      </c>
      <c r="E786">
        <v>1</v>
      </c>
      <c r="F786" s="1">
        <v>42187</v>
      </c>
      <c r="G786" s="1" t="str">
        <f>TEXT(pizza_sales[[#This Row],[order_date]],"dddd")</f>
        <v>Thursday</v>
      </c>
      <c r="H786" s="2">
        <v>0.80138888888888893</v>
      </c>
      <c r="I786">
        <v>9.75</v>
      </c>
      <c r="J786">
        <v>9.75</v>
      </c>
      <c r="K786" t="s">
        <v>60</v>
      </c>
      <c r="L786" t="s">
        <v>13</v>
      </c>
      <c r="M786" t="s">
        <v>26</v>
      </c>
      <c r="N786" t="s">
        <v>27</v>
      </c>
    </row>
    <row r="787" spans="1:14" x14ac:dyDescent="0.25">
      <c r="A787">
        <v>5153</v>
      </c>
      <c r="B787">
        <v>2282</v>
      </c>
      <c r="C787">
        <f>1/COUNTIF(B:B,pizza_sales[[#This Row],[order_id]])</f>
        <v>1</v>
      </c>
      <c r="D787" t="s">
        <v>49</v>
      </c>
      <c r="E787">
        <v>1</v>
      </c>
      <c r="F787" s="1">
        <v>42187</v>
      </c>
      <c r="G787" s="1" t="str">
        <f>TEXT(pizza_sales[[#This Row],[order_date]],"dddd")</f>
        <v>Thursday</v>
      </c>
      <c r="H787" s="2">
        <v>0.81482638888888892</v>
      </c>
      <c r="I787">
        <v>16</v>
      </c>
      <c r="J787">
        <v>16</v>
      </c>
      <c r="K787" t="s">
        <v>59</v>
      </c>
      <c r="L787" t="s">
        <v>13</v>
      </c>
      <c r="M787" t="s">
        <v>21</v>
      </c>
      <c r="N787" t="s">
        <v>22</v>
      </c>
    </row>
    <row r="788" spans="1:14" x14ac:dyDescent="0.25">
      <c r="A788">
        <v>5157</v>
      </c>
      <c r="B788">
        <v>2283</v>
      </c>
      <c r="C788">
        <f>1/COUNTIF(B:B,pizza_sales[[#This Row],[order_id]])</f>
        <v>1</v>
      </c>
      <c r="D788" t="s">
        <v>23</v>
      </c>
      <c r="E788">
        <v>1</v>
      </c>
      <c r="F788" s="1">
        <v>42187</v>
      </c>
      <c r="G788" s="1" t="str">
        <f>TEXT(pizza_sales[[#This Row],[order_date]],"dddd")</f>
        <v>Thursday</v>
      </c>
      <c r="H788" s="2">
        <v>0.81532407407407403</v>
      </c>
      <c r="I788">
        <v>12</v>
      </c>
      <c r="J788">
        <v>12</v>
      </c>
      <c r="K788" t="s">
        <v>60</v>
      </c>
      <c r="L788" t="s">
        <v>17</v>
      </c>
      <c r="M788" t="s">
        <v>18</v>
      </c>
      <c r="N788" t="s">
        <v>19</v>
      </c>
    </row>
    <row r="789" spans="1:14" x14ac:dyDescent="0.25">
      <c r="A789">
        <v>5167</v>
      </c>
      <c r="B789">
        <v>2289</v>
      </c>
      <c r="C789">
        <f>1/COUNTIF(B:B,pizza_sales[[#This Row],[order_id]])</f>
        <v>1</v>
      </c>
      <c r="D789" t="s">
        <v>48</v>
      </c>
      <c r="E789">
        <v>1</v>
      </c>
      <c r="F789" s="1">
        <v>42187</v>
      </c>
      <c r="G789" s="1" t="str">
        <f>TEXT(pizza_sales[[#This Row],[order_date]],"dddd")</f>
        <v>Thursday</v>
      </c>
      <c r="H789" s="2">
        <v>0.85396990740740741</v>
      </c>
      <c r="I789">
        <v>12.25</v>
      </c>
      <c r="J789">
        <v>12.25</v>
      </c>
      <c r="K789" t="s">
        <v>60</v>
      </c>
      <c r="L789" t="s">
        <v>35</v>
      </c>
      <c r="M789" t="s">
        <v>40</v>
      </c>
      <c r="N789" t="s">
        <v>41</v>
      </c>
    </row>
    <row r="790" spans="1:14" x14ac:dyDescent="0.25">
      <c r="A790">
        <v>5174</v>
      </c>
      <c r="B790">
        <v>2292</v>
      </c>
      <c r="C790">
        <f>1/COUNTIF(B:B,pizza_sales[[#This Row],[order_id]])</f>
        <v>1</v>
      </c>
      <c r="D790" t="s">
        <v>44</v>
      </c>
      <c r="E790">
        <v>1</v>
      </c>
      <c r="F790" s="1">
        <v>42187</v>
      </c>
      <c r="G790" s="1" t="str">
        <f>TEXT(pizza_sales[[#This Row],[order_date]],"dddd")</f>
        <v>Thursday</v>
      </c>
      <c r="H790" s="2">
        <v>0.87353009259259262</v>
      </c>
      <c r="I790">
        <v>9.75</v>
      </c>
      <c r="J790">
        <v>9.75</v>
      </c>
      <c r="K790" t="s">
        <v>60</v>
      </c>
      <c r="L790" t="s">
        <v>13</v>
      </c>
      <c r="M790" t="s">
        <v>26</v>
      </c>
      <c r="N790" t="s">
        <v>27</v>
      </c>
    </row>
    <row r="791" spans="1:14" x14ac:dyDescent="0.25">
      <c r="A791">
        <v>5191</v>
      </c>
      <c r="B791">
        <v>2299</v>
      </c>
      <c r="C791">
        <f>1/COUNTIF(B:B,pizza_sales[[#This Row],[order_id]])</f>
        <v>1</v>
      </c>
      <c r="D791" t="s">
        <v>55</v>
      </c>
      <c r="E791">
        <v>1</v>
      </c>
      <c r="F791" s="1">
        <v>42187</v>
      </c>
      <c r="G791" s="1" t="str">
        <f>TEXT(pizza_sales[[#This Row],[order_date]],"dddd")</f>
        <v>Thursday</v>
      </c>
      <c r="H791" s="2">
        <v>0.91319444444444442</v>
      </c>
      <c r="I791">
        <v>20.5</v>
      </c>
      <c r="J791">
        <v>20.5</v>
      </c>
      <c r="K791" t="s">
        <v>58</v>
      </c>
      <c r="L791" t="s">
        <v>13</v>
      </c>
      <c r="M791" t="s">
        <v>21</v>
      </c>
      <c r="N791" t="s">
        <v>22</v>
      </c>
    </row>
    <row r="792" spans="1:14" x14ac:dyDescent="0.25">
      <c r="A792">
        <v>5193</v>
      </c>
      <c r="B792">
        <v>2301</v>
      </c>
      <c r="C792">
        <f>1/COUNTIF(B:B,pizza_sales[[#This Row],[order_id]])</f>
        <v>1</v>
      </c>
      <c r="D792" t="s">
        <v>34</v>
      </c>
      <c r="E792">
        <v>1</v>
      </c>
      <c r="F792" s="1">
        <v>42187</v>
      </c>
      <c r="G792" s="1" t="str">
        <f>TEXT(pizza_sales[[#This Row],[order_date]],"dddd")</f>
        <v>Thursday</v>
      </c>
      <c r="H792" s="2">
        <v>0.92427083333333337</v>
      </c>
      <c r="I792">
        <v>16.25</v>
      </c>
      <c r="J792">
        <v>16.25</v>
      </c>
      <c r="K792" t="s">
        <v>59</v>
      </c>
      <c r="L792" t="s">
        <v>35</v>
      </c>
      <c r="M792" t="s">
        <v>36</v>
      </c>
      <c r="N792" t="s">
        <v>37</v>
      </c>
    </row>
    <row r="793" spans="1:14" x14ac:dyDescent="0.25">
      <c r="A793">
        <v>5198</v>
      </c>
      <c r="B793">
        <v>2303</v>
      </c>
      <c r="C793">
        <f>1/COUNTIF(B:B,pizza_sales[[#This Row],[order_id]])</f>
        <v>1</v>
      </c>
      <c r="D793" t="s">
        <v>55</v>
      </c>
      <c r="E793">
        <v>1</v>
      </c>
      <c r="F793" s="1">
        <v>42218</v>
      </c>
      <c r="G793" s="1" t="str">
        <f>TEXT(pizza_sales[[#This Row],[order_date]],"dddd")</f>
        <v>Sunday</v>
      </c>
      <c r="H793" s="2">
        <v>0.50717592592592597</v>
      </c>
      <c r="I793">
        <v>20.5</v>
      </c>
      <c r="J793">
        <v>20.5</v>
      </c>
      <c r="K793" t="s">
        <v>58</v>
      </c>
      <c r="L793" t="s">
        <v>13</v>
      </c>
      <c r="M793" t="s">
        <v>21</v>
      </c>
      <c r="N793" t="s">
        <v>22</v>
      </c>
    </row>
    <row r="794" spans="1:14" x14ac:dyDescent="0.25">
      <c r="A794">
        <v>5199</v>
      </c>
      <c r="B794">
        <v>2304</v>
      </c>
      <c r="C794">
        <f>1/COUNTIF(B:B,pizza_sales[[#This Row],[order_id]])</f>
        <v>1</v>
      </c>
      <c r="D794" t="s">
        <v>28</v>
      </c>
      <c r="E794">
        <v>1</v>
      </c>
      <c r="F794" s="1">
        <v>42218</v>
      </c>
      <c r="G794" s="1" t="str">
        <f>TEXT(pizza_sales[[#This Row],[order_date]],"dddd")</f>
        <v>Sunday</v>
      </c>
      <c r="H794" s="2">
        <v>0.5153240740740741</v>
      </c>
      <c r="I794">
        <v>12</v>
      </c>
      <c r="J794">
        <v>12</v>
      </c>
      <c r="K794" t="s">
        <v>60</v>
      </c>
      <c r="L794" t="s">
        <v>13</v>
      </c>
      <c r="M794" t="s">
        <v>29</v>
      </c>
      <c r="N794" t="s">
        <v>30</v>
      </c>
    </row>
    <row r="795" spans="1:14" x14ac:dyDescent="0.25">
      <c r="A795">
        <v>5201</v>
      </c>
      <c r="B795">
        <v>2305</v>
      </c>
      <c r="C795">
        <f>1/COUNTIF(B:B,pizza_sales[[#This Row],[order_id]])</f>
        <v>1</v>
      </c>
      <c r="D795" t="s">
        <v>28</v>
      </c>
      <c r="E795">
        <v>1</v>
      </c>
      <c r="F795" s="1">
        <v>42218</v>
      </c>
      <c r="G795" s="1" t="str">
        <f>TEXT(pizza_sales[[#This Row],[order_date]],"dddd")</f>
        <v>Sunday</v>
      </c>
      <c r="H795" s="2">
        <v>0.51921296296296293</v>
      </c>
      <c r="I795">
        <v>12</v>
      </c>
      <c r="J795">
        <v>12</v>
      </c>
      <c r="K795" t="s">
        <v>60</v>
      </c>
      <c r="L795" t="s">
        <v>13</v>
      </c>
      <c r="M795" t="s">
        <v>29</v>
      </c>
      <c r="N795" t="s">
        <v>30</v>
      </c>
    </row>
    <row r="796" spans="1:14" x14ac:dyDescent="0.25">
      <c r="A796">
        <v>5202</v>
      </c>
      <c r="B796">
        <v>2306</v>
      </c>
      <c r="C796">
        <f>1/COUNTIF(B:B,pizza_sales[[#This Row],[order_id]])</f>
        <v>0.5</v>
      </c>
      <c r="D796" t="s">
        <v>25</v>
      </c>
      <c r="E796">
        <v>1</v>
      </c>
      <c r="F796" s="1">
        <v>42218</v>
      </c>
      <c r="G796" s="1" t="str">
        <f>TEXT(pizza_sales[[#This Row],[order_date]],"dddd")</f>
        <v>Sunday</v>
      </c>
      <c r="H796" s="2">
        <v>0.53156250000000005</v>
      </c>
      <c r="I796">
        <v>15.25</v>
      </c>
      <c r="J796">
        <v>15.25</v>
      </c>
      <c r="K796" t="s">
        <v>58</v>
      </c>
      <c r="L796" t="s">
        <v>13</v>
      </c>
      <c r="M796" t="s">
        <v>26</v>
      </c>
      <c r="N796" t="s">
        <v>27</v>
      </c>
    </row>
    <row r="797" spans="1:14" x14ac:dyDescent="0.25">
      <c r="A797">
        <v>5203</v>
      </c>
      <c r="B797">
        <v>2306</v>
      </c>
      <c r="C797">
        <f>1/COUNTIF(B:B,pizza_sales[[#This Row],[order_id]])</f>
        <v>0.5</v>
      </c>
      <c r="D797" t="s">
        <v>42</v>
      </c>
      <c r="E797">
        <v>1</v>
      </c>
      <c r="F797" s="1">
        <v>42218</v>
      </c>
      <c r="G797" s="1" t="str">
        <f>TEXT(pizza_sales[[#This Row],[order_date]],"dddd")</f>
        <v>Sunday</v>
      </c>
      <c r="H797" s="2">
        <v>0.53156250000000005</v>
      </c>
      <c r="I797">
        <v>12.5</v>
      </c>
      <c r="J797">
        <v>12.5</v>
      </c>
      <c r="K797" t="s">
        <v>59</v>
      </c>
      <c r="L797" t="s">
        <v>13</v>
      </c>
      <c r="M797" t="s">
        <v>26</v>
      </c>
      <c r="N797" t="s">
        <v>27</v>
      </c>
    </row>
    <row r="798" spans="1:14" x14ac:dyDescent="0.25">
      <c r="A798">
        <v>5215</v>
      </c>
      <c r="B798">
        <v>2309</v>
      </c>
      <c r="C798">
        <f>1/COUNTIF(B:B,pizza_sales[[#This Row],[order_id]])</f>
        <v>1</v>
      </c>
      <c r="D798" t="s">
        <v>23</v>
      </c>
      <c r="E798">
        <v>1</v>
      </c>
      <c r="F798" s="1">
        <v>42218</v>
      </c>
      <c r="G798" s="1" t="str">
        <f>TEXT(pizza_sales[[#This Row],[order_date]],"dddd")</f>
        <v>Sunday</v>
      </c>
      <c r="H798" s="2">
        <v>0.54625000000000001</v>
      </c>
      <c r="I798">
        <v>12</v>
      </c>
      <c r="J798">
        <v>12</v>
      </c>
      <c r="K798" t="s">
        <v>60</v>
      </c>
      <c r="L798" t="s">
        <v>17</v>
      </c>
      <c r="M798" t="s">
        <v>18</v>
      </c>
      <c r="N798" t="s">
        <v>19</v>
      </c>
    </row>
    <row r="799" spans="1:14" x14ac:dyDescent="0.25">
      <c r="A799">
        <v>5218</v>
      </c>
      <c r="B799">
        <v>2310</v>
      </c>
      <c r="C799">
        <f>1/COUNTIF(B:B,pizza_sales[[#This Row],[order_id]])</f>
        <v>1</v>
      </c>
      <c r="D799" t="s">
        <v>25</v>
      </c>
      <c r="E799">
        <v>1</v>
      </c>
      <c r="F799" s="1">
        <v>42218</v>
      </c>
      <c r="G799" s="1" t="str">
        <f>TEXT(pizza_sales[[#This Row],[order_date]],"dddd")</f>
        <v>Sunday</v>
      </c>
      <c r="H799" s="2">
        <v>0.5681018518518518</v>
      </c>
      <c r="I799">
        <v>15.25</v>
      </c>
      <c r="J799">
        <v>15.25</v>
      </c>
      <c r="K799" t="s">
        <v>58</v>
      </c>
      <c r="L799" t="s">
        <v>13</v>
      </c>
      <c r="M799" t="s">
        <v>26</v>
      </c>
      <c r="N799" t="s">
        <v>27</v>
      </c>
    </row>
    <row r="800" spans="1:14" x14ac:dyDescent="0.25">
      <c r="A800">
        <v>5220</v>
      </c>
      <c r="B800">
        <v>2312</v>
      </c>
      <c r="C800">
        <f>1/COUNTIF(B:B,pizza_sales[[#This Row],[order_id]])</f>
        <v>1</v>
      </c>
      <c r="D800" t="s">
        <v>47</v>
      </c>
      <c r="E800">
        <v>1</v>
      </c>
      <c r="F800" s="1">
        <v>42218</v>
      </c>
      <c r="G800" s="1" t="str">
        <f>TEXT(pizza_sales[[#This Row],[order_date]],"dddd")</f>
        <v>Sunday</v>
      </c>
      <c r="H800" s="2">
        <v>0.59059027777777773</v>
      </c>
      <c r="I800">
        <v>16.5</v>
      </c>
      <c r="J800">
        <v>16.5</v>
      </c>
      <c r="K800" t="s">
        <v>58</v>
      </c>
      <c r="L800" t="s">
        <v>13</v>
      </c>
      <c r="M800" t="s">
        <v>14</v>
      </c>
      <c r="N800" t="s">
        <v>15</v>
      </c>
    </row>
    <row r="801" spans="1:14" x14ac:dyDescent="0.25">
      <c r="A801">
        <v>5223</v>
      </c>
      <c r="B801">
        <v>2313</v>
      </c>
      <c r="C801">
        <f>1/COUNTIF(B:B,pizza_sales[[#This Row],[order_id]])</f>
        <v>0.5</v>
      </c>
      <c r="D801" t="s">
        <v>51</v>
      </c>
      <c r="E801">
        <v>1</v>
      </c>
      <c r="F801" s="1">
        <v>42218</v>
      </c>
      <c r="G801" s="1" t="str">
        <f>TEXT(pizza_sales[[#This Row],[order_date]],"dddd")</f>
        <v>Sunday</v>
      </c>
      <c r="H801" s="2">
        <v>0.59234953703703708</v>
      </c>
      <c r="I801">
        <v>23.65</v>
      </c>
      <c r="J801">
        <v>23.65</v>
      </c>
      <c r="K801" t="s">
        <v>60</v>
      </c>
      <c r="L801" t="s">
        <v>35</v>
      </c>
      <c r="M801" t="s">
        <v>52</v>
      </c>
      <c r="N801" t="s">
        <v>53</v>
      </c>
    </row>
    <row r="802" spans="1:14" x14ac:dyDescent="0.25">
      <c r="A802">
        <v>5224</v>
      </c>
      <c r="B802">
        <v>2313</v>
      </c>
      <c r="C802">
        <f>1/COUNTIF(B:B,pizza_sales[[#This Row],[order_id]])</f>
        <v>0.5</v>
      </c>
      <c r="D802" t="s">
        <v>47</v>
      </c>
      <c r="E802">
        <v>1</v>
      </c>
      <c r="F802" s="1">
        <v>42218</v>
      </c>
      <c r="G802" s="1" t="str">
        <f>TEXT(pizza_sales[[#This Row],[order_date]],"dddd")</f>
        <v>Sunday</v>
      </c>
      <c r="H802" s="2">
        <v>0.59234953703703708</v>
      </c>
      <c r="I802">
        <v>16.5</v>
      </c>
      <c r="J802">
        <v>16.5</v>
      </c>
      <c r="K802" t="s">
        <v>58</v>
      </c>
      <c r="L802" t="s">
        <v>13</v>
      </c>
      <c r="M802" t="s">
        <v>14</v>
      </c>
      <c r="N802" t="s">
        <v>15</v>
      </c>
    </row>
    <row r="803" spans="1:14" x14ac:dyDescent="0.25">
      <c r="A803">
        <v>5225</v>
      </c>
      <c r="B803">
        <v>2314</v>
      </c>
      <c r="C803">
        <f>1/COUNTIF(B:B,pizza_sales[[#This Row],[order_id]])</f>
        <v>1</v>
      </c>
      <c r="D803" t="s">
        <v>28</v>
      </c>
      <c r="E803">
        <v>1</v>
      </c>
      <c r="F803" s="1">
        <v>42218</v>
      </c>
      <c r="G803" s="1" t="str">
        <f>TEXT(pizza_sales[[#This Row],[order_date]],"dddd")</f>
        <v>Sunday</v>
      </c>
      <c r="H803" s="2">
        <v>0.60082175925925929</v>
      </c>
      <c r="I803">
        <v>12</v>
      </c>
      <c r="J803">
        <v>12</v>
      </c>
      <c r="K803" t="s">
        <v>60</v>
      </c>
      <c r="L803" t="s">
        <v>13</v>
      </c>
      <c r="M803" t="s">
        <v>29</v>
      </c>
      <c r="N803" t="s">
        <v>30</v>
      </c>
    </row>
    <row r="804" spans="1:14" x14ac:dyDescent="0.25">
      <c r="A804">
        <v>5230</v>
      </c>
      <c r="B804">
        <v>2315</v>
      </c>
      <c r="C804">
        <f>1/COUNTIF(B:B,pizza_sales[[#This Row],[order_id]])</f>
        <v>1</v>
      </c>
      <c r="D804" t="s">
        <v>44</v>
      </c>
      <c r="E804">
        <v>1</v>
      </c>
      <c r="F804" s="1">
        <v>42218</v>
      </c>
      <c r="G804" s="1" t="str">
        <f>TEXT(pizza_sales[[#This Row],[order_date]],"dddd")</f>
        <v>Sunday</v>
      </c>
      <c r="H804" s="2">
        <v>0.60685185185185186</v>
      </c>
      <c r="I804">
        <v>9.75</v>
      </c>
      <c r="J804">
        <v>9.75</v>
      </c>
      <c r="K804" t="s">
        <v>60</v>
      </c>
      <c r="L804" t="s">
        <v>13</v>
      </c>
      <c r="M804" t="s">
        <v>26</v>
      </c>
      <c r="N804" t="s">
        <v>27</v>
      </c>
    </row>
    <row r="805" spans="1:14" x14ac:dyDescent="0.25">
      <c r="A805">
        <v>5232</v>
      </c>
      <c r="B805">
        <v>2316</v>
      </c>
      <c r="C805">
        <f>1/COUNTIF(B:B,pizza_sales[[#This Row],[order_id]])</f>
        <v>1</v>
      </c>
      <c r="D805" t="s">
        <v>45</v>
      </c>
      <c r="E805">
        <v>1</v>
      </c>
      <c r="F805" s="1">
        <v>42218</v>
      </c>
      <c r="G805" s="1" t="str">
        <f>TEXT(pizza_sales[[#This Row],[order_date]],"dddd")</f>
        <v>Sunday</v>
      </c>
      <c r="H805" s="2">
        <v>0.60957175925925922</v>
      </c>
      <c r="I805">
        <v>10.5</v>
      </c>
      <c r="J805">
        <v>10.5</v>
      </c>
      <c r="K805" t="s">
        <v>60</v>
      </c>
      <c r="L805" t="s">
        <v>13</v>
      </c>
      <c r="M805" t="s">
        <v>14</v>
      </c>
      <c r="N805" t="s">
        <v>15</v>
      </c>
    </row>
    <row r="806" spans="1:14" x14ac:dyDescent="0.25">
      <c r="A806">
        <v>5236</v>
      </c>
      <c r="B806">
        <v>2317</v>
      </c>
      <c r="C806">
        <f>1/COUNTIF(B:B,pizza_sales[[#This Row],[order_id]])</f>
        <v>1</v>
      </c>
      <c r="D806" t="s">
        <v>48</v>
      </c>
      <c r="E806">
        <v>1</v>
      </c>
      <c r="F806" s="1">
        <v>42218</v>
      </c>
      <c r="G806" s="1" t="str">
        <f>TEXT(pizza_sales[[#This Row],[order_date]],"dddd")</f>
        <v>Sunday</v>
      </c>
      <c r="H806" s="2">
        <v>0.61776620370370372</v>
      </c>
      <c r="I806">
        <v>12.25</v>
      </c>
      <c r="J806">
        <v>12.25</v>
      </c>
      <c r="K806" t="s">
        <v>60</v>
      </c>
      <c r="L806" t="s">
        <v>35</v>
      </c>
      <c r="M806" t="s">
        <v>40</v>
      </c>
      <c r="N806" t="s">
        <v>41</v>
      </c>
    </row>
    <row r="807" spans="1:14" x14ac:dyDescent="0.25">
      <c r="A807">
        <v>5244</v>
      </c>
      <c r="B807">
        <v>2322</v>
      </c>
      <c r="C807">
        <f>1/COUNTIF(B:B,pizza_sales[[#This Row],[order_id]])</f>
        <v>1</v>
      </c>
      <c r="D807" t="s">
        <v>42</v>
      </c>
      <c r="E807">
        <v>1</v>
      </c>
      <c r="F807" s="1">
        <v>42218</v>
      </c>
      <c r="G807" s="1" t="str">
        <f>TEXT(pizza_sales[[#This Row],[order_date]],"dddd")</f>
        <v>Sunday</v>
      </c>
      <c r="H807" s="2">
        <v>0.65709490740740739</v>
      </c>
      <c r="I807">
        <v>12.5</v>
      </c>
      <c r="J807">
        <v>12.5</v>
      </c>
      <c r="K807" t="s">
        <v>59</v>
      </c>
      <c r="L807" t="s">
        <v>13</v>
      </c>
      <c r="M807" t="s">
        <v>26</v>
      </c>
      <c r="N807" t="s">
        <v>27</v>
      </c>
    </row>
    <row r="808" spans="1:14" x14ac:dyDescent="0.25">
      <c r="A808">
        <v>5247</v>
      </c>
      <c r="B808">
        <v>2324</v>
      </c>
      <c r="C808">
        <f>1/COUNTIF(B:B,pizza_sales[[#This Row],[order_id]])</f>
        <v>1</v>
      </c>
      <c r="D808" t="s">
        <v>48</v>
      </c>
      <c r="E808">
        <v>1</v>
      </c>
      <c r="F808" s="1">
        <v>42218</v>
      </c>
      <c r="G808" s="1" t="str">
        <f>TEXT(pizza_sales[[#This Row],[order_date]],"dddd")</f>
        <v>Sunday</v>
      </c>
      <c r="H808" s="2">
        <v>0.67802083333333329</v>
      </c>
      <c r="I808">
        <v>12.25</v>
      </c>
      <c r="J808">
        <v>12.25</v>
      </c>
      <c r="K808" t="s">
        <v>60</v>
      </c>
      <c r="L808" t="s">
        <v>35</v>
      </c>
      <c r="M808" t="s">
        <v>40</v>
      </c>
      <c r="N808" t="s">
        <v>41</v>
      </c>
    </row>
    <row r="809" spans="1:14" x14ac:dyDescent="0.25">
      <c r="A809">
        <v>5250</v>
      </c>
      <c r="B809">
        <v>2326</v>
      </c>
      <c r="C809">
        <f>1/COUNTIF(B:B,pizza_sales[[#This Row],[order_id]])</f>
        <v>0.5</v>
      </c>
      <c r="D809" t="s">
        <v>45</v>
      </c>
      <c r="E809">
        <v>1</v>
      </c>
      <c r="F809" s="1">
        <v>42218</v>
      </c>
      <c r="G809" s="1" t="str">
        <f>TEXT(pizza_sales[[#This Row],[order_date]],"dddd")</f>
        <v>Sunday</v>
      </c>
      <c r="H809" s="2">
        <v>0.68657407407407411</v>
      </c>
      <c r="I809">
        <v>10.5</v>
      </c>
      <c r="J809">
        <v>10.5</v>
      </c>
      <c r="K809" t="s">
        <v>60</v>
      </c>
      <c r="L809" t="s">
        <v>13</v>
      </c>
      <c r="M809" t="s">
        <v>14</v>
      </c>
      <c r="N809" t="s">
        <v>15</v>
      </c>
    </row>
    <row r="810" spans="1:14" x14ac:dyDescent="0.25">
      <c r="A810">
        <v>5251</v>
      </c>
      <c r="B810">
        <v>2326</v>
      </c>
      <c r="C810">
        <f>1/COUNTIF(B:B,pizza_sales[[#This Row],[order_id]])</f>
        <v>0.5</v>
      </c>
      <c r="D810" t="s">
        <v>31</v>
      </c>
      <c r="E810">
        <v>1</v>
      </c>
      <c r="F810" s="1">
        <v>42218</v>
      </c>
      <c r="G810" s="1" t="str">
        <f>TEXT(pizza_sales[[#This Row],[order_date]],"dddd")</f>
        <v>Sunday</v>
      </c>
      <c r="H810" s="2">
        <v>0.68657407407407411</v>
      </c>
      <c r="I810">
        <v>12</v>
      </c>
      <c r="J810">
        <v>12</v>
      </c>
      <c r="K810" t="s">
        <v>60</v>
      </c>
      <c r="L810" t="s">
        <v>13</v>
      </c>
      <c r="M810" t="s">
        <v>32</v>
      </c>
      <c r="N810" t="s">
        <v>33</v>
      </c>
    </row>
    <row r="811" spans="1:14" x14ac:dyDescent="0.25">
      <c r="A811">
        <v>5254</v>
      </c>
      <c r="B811">
        <v>2327</v>
      </c>
      <c r="C811">
        <f>1/COUNTIF(B:B,pizza_sales[[#This Row],[order_id]])</f>
        <v>1</v>
      </c>
      <c r="D811" t="s">
        <v>38</v>
      </c>
      <c r="E811">
        <v>1</v>
      </c>
      <c r="F811" s="1">
        <v>42218</v>
      </c>
      <c r="G811" s="1" t="str">
        <f>TEXT(pizza_sales[[#This Row],[order_date]],"dddd")</f>
        <v>Sunday</v>
      </c>
      <c r="H811" s="2">
        <v>0.70718749999999997</v>
      </c>
      <c r="I811">
        <v>20.5</v>
      </c>
      <c r="J811">
        <v>20.5</v>
      </c>
      <c r="K811" t="s">
        <v>58</v>
      </c>
      <c r="L811" t="s">
        <v>13</v>
      </c>
      <c r="M811" t="s">
        <v>32</v>
      </c>
      <c r="N811" t="s">
        <v>33</v>
      </c>
    </row>
    <row r="812" spans="1:14" x14ac:dyDescent="0.25">
      <c r="A812">
        <v>5256</v>
      </c>
      <c r="B812">
        <v>2329</v>
      </c>
      <c r="C812">
        <f>1/COUNTIF(B:B,pizza_sales[[#This Row],[order_id]])</f>
        <v>1</v>
      </c>
      <c r="D812" t="s">
        <v>45</v>
      </c>
      <c r="E812">
        <v>1</v>
      </c>
      <c r="F812" s="1">
        <v>42218</v>
      </c>
      <c r="G812" s="1" t="str">
        <f>TEXT(pizza_sales[[#This Row],[order_date]],"dddd")</f>
        <v>Sunday</v>
      </c>
      <c r="H812" s="2">
        <v>0.72152777777777777</v>
      </c>
      <c r="I812">
        <v>10.5</v>
      </c>
      <c r="J812">
        <v>10.5</v>
      </c>
      <c r="K812" t="s">
        <v>60</v>
      </c>
      <c r="L812" t="s">
        <v>13</v>
      </c>
      <c r="M812" t="s">
        <v>14</v>
      </c>
      <c r="N812" t="s">
        <v>15</v>
      </c>
    </row>
    <row r="813" spans="1:14" x14ac:dyDescent="0.25">
      <c r="A813">
        <v>5259</v>
      </c>
      <c r="B813">
        <v>2330</v>
      </c>
      <c r="C813">
        <f>1/COUNTIF(B:B,pizza_sales[[#This Row],[order_id]])</f>
        <v>1</v>
      </c>
      <c r="D813" t="s">
        <v>42</v>
      </c>
      <c r="E813">
        <v>1</v>
      </c>
      <c r="F813" s="1">
        <v>42218</v>
      </c>
      <c r="G813" s="1" t="str">
        <f>TEXT(pizza_sales[[#This Row],[order_date]],"dddd")</f>
        <v>Sunday</v>
      </c>
      <c r="H813" s="2">
        <v>0.72215277777777775</v>
      </c>
      <c r="I813">
        <v>12.5</v>
      </c>
      <c r="J813">
        <v>12.5</v>
      </c>
      <c r="K813" t="s">
        <v>59</v>
      </c>
      <c r="L813" t="s">
        <v>13</v>
      </c>
      <c r="M813" t="s">
        <v>26</v>
      </c>
      <c r="N813" t="s">
        <v>27</v>
      </c>
    </row>
    <row r="814" spans="1:14" x14ac:dyDescent="0.25">
      <c r="A814">
        <v>5263</v>
      </c>
      <c r="B814">
        <v>2332</v>
      </c>
      <c r="C814">
        <f>1/COUNTIF(B:B,pizza_sales[[#This Row],[order_id]])</f>
        <v>1</v>
      </c>
      <c r="D814" t="s">
        <v>28</v>
      </c>
      <c r="E814">
        <v>1</v>
      </c>
      <c r="F814" s="1">
        <v>42218</v>
      </c>
      <c r="G814" s="1" t="str">
        <f>TEXT(pizza_sales[[#This Row],[order_date]],"dddd")</f>
        <v>Sunday</v>
      </c>
      <c r="H814" s="2">
        <v>0.74515046296296295</v>
      </c>
      <c r="I814">
        <v>12</v>
      </c>
      <c r="J814">
        <v>12</v>
      </c>
      <c r="K814" t="s">
        <v>60</v>
      </c>
      <c r="L814" t="s">
        <v>13</v>
      </c>
      <c r="M814" t="s">
        <v>29</v>
      </c>
      <c r="N814" t="s">
        <v>30</v>
      </c>
    </row>
    <row r="815" spans="1:14" x14ac:dyDescent="0.25">
      <c r="A815">
        <v>5277</v>
      </c>
      <c r="B815">
        <v>2337</v>
      </c>
      <c r="C815">
        <f>1/COUNTIF(B:B,pizza_sales[[#This Row],[order_id]])</f>
        <v>0.5</v>
      </c>
      <c r="D815" t="s">
        <v>28</v>
      </c>
      <c r="E815">
        <v>1</v>
      </c>
      <c r="F815" s="1">
        <v>42218</v>
      </c>
      <c r="G815" s="1" t="str">
        <f>TEXT(pizza_sales[[#This Row],[order_date]],"dddd")</f>
        <v>Sunday</v>
      </c>
      <c r="H815" s="2">
        <v>0.78493055555555558</v>
      </c>
      <c r="I815">
        <v>12</v>
      </c>
      <c r="J815">
        <v>12</v>
      </c>
      <c r="K815" t="s">
        <v>60</v>
      </c>
      <c r="L815" t="s">
        <v>13</v>
      </c>
      <c r="M815" t="s">
        <v>29</v>
      </c>
      <c r="N815" t="s">
        <v>30</v>
      </c>
    </row>
    <row r="816" spans="1:14" x14ac:dyDescent="0.25">
      <c r="A816">
        <v>5278</v>
      </c>
      <c r="B816">
        <v>2337</v>
      </c>
      <c r="C816">
        <f>1/COUNTIF(B:B,pizza_sales[[#This Row],[order_id]])</f>
        <v>0.5</v>
      </c>
      <c r="D816" t="s">
        <v>45</v>
      </c>
      <c r="E816">
        <v>1</v>
      </c>
      <c r="F816" s="1">
        <v>42218</v>
      </c>
      <c r="G816" s="1" t="str">
        <f>TEXT(pizza_sales[[#This Row],[order_date]],"dddd")</f>
        <v>Sunday</v>
      </c>
      <c r="H816" s="2">
        <v>0.78493055555555558</v>
      </c>
      <c r="I816">
        <v>10.5</v>
      </c>
      <c r="J816">
        <v>10.5</v>
      </c>
      <c r="K816" t="s">
        <v>60</v>
      </c>
      <c r="L816" t="s">
        <v>13</v>
      </c>
      <c r="M816" t="s">
        <v>14</v>
      </c>
      <c r="N816" t="s">
        <v>15</v>
      </c>
    </row>
    <row r="817" spans="1:14" x14ac:dyDescent="0.25">
      <c r="A817">
        <v>5281</v>
      </c>
      <c r="B817">
        <v>2339</v>
      </c>
      <c r="C817">
        <f>1/COUNTIF(B:B,pizza_sales[[#This Row],[order_id]])</f>
        <v>1</v>
      </c>
      <c r="D817" t="s">
        <v>20</v>
      </c>
      <c r="E817">
        <v>1</v>
      </c>
      <c r="F817" s="1">
        <v>42218</v>
      </c>
      <c r="G817" s="1" t="str">
        <f>TEXT(pizza_sales[[#This Row],[order_date]],"dddd")</f>
        <v>Sunday</v>
      </c>
      <c r="H817" s="2">
        <v>0.78797453703703701</v>
      </c>
      <c r="I817">
        <v>12</v>
      </c>
      <c r="J817">
        <v>12</v>
      </c>
      <c r="K817" t="s">
        <v>60</v>
      </c>
      <c r="L817" t="s">
        <v>13</v>
      </c>
      <c r="M817" t="s">
        <v>21</v>
      </c>
      <c r="N817" t="s">
        <v>22</v>
      </c>
    </row>
    <row r="818" spans="1:14" x14ac:dyDescent="0.25">
      <c r="A818">
        <v>5291</v>
      </c>
      <c r="B818">
        <v>2344</v>
      </c>
      <c r="C818">
        <f>1/COUNTIF(B:B,pizza_sales[[#This Row],[order_id]])</f>
        <v>1</v>
      </c>
      <c r="D818" t="s">
        <v>47</v>
      </c>
      <c r="E818">
        <v>1</v>
      </c>
      <c r="F818" s="1">
        <v>42218</v>
      </c>
      <c r="G818" s="1" t="str">
        <f>TEXT(pizza_sales[[#This Row],[order_date]],"dddd")</f>
        <v>Sunday</v>
      </c>
      <c r="H818" s="2">
        <v>0.84765046296296298</v>
      </c>
      <c r="I818">
        <v>16.5</v>
      </c>
      <c r="J818">
        <v>16.5</v>
      </c>
      <c r="K818" t="s">
        <v>58</v>
      </c>
      <c r="L818" t="s">
        <v>13</v>
      </c>
      <c r="M818" t="s">
        <v>14</v>
      </c>
      <c r="N818" t="s">
        <v>15</v>
      </c>
    </row>
    <row r="819" spans="1:14" x14ac:dyDescent="0.25">
      <c r="A819">
        <v>5293</v>
      </c>
      <c r="B819">
        <v>2345</v>
      </c>
      <c r="C819">
        <f>1/COUNTIF(B:B,pizza_sales[[#This Row],[order_id]])</f>
        <v>1</v>
      </c>
      <c r="D819" t="s">
        <v>43</v>
      </c>
      <c r="E819">
        <v>1</v>
      </c>
      <c r="F819" s="1">
        <v>42218</v>
      </c>
      <c r="G819" s="1" t="str">
        <f>TEXT(pizza_sales[[#This Row],[order_date]],"dddd")</f>
        <v>Sunday</v>
      </c>
      <c r="H819" s="2">
        <v>0.84781249999999997</v>
      </c>
      <c r="I819">
        <v>16.25</v>
      </c>
      <c r="J819">
        <v>16.25</v>
      </c>
      <c r="K819" t="s">
        <v>59</v>
      </c>
      <c r="L819" t="s">
        <v>35</v>
      </c>
      <c r="M819" t="s">
        <v>40</v>
      </c>
      <c r="N819" t="s">
        <v>41</v>
      </c>
    </row>
    <row r="820" spans="1:14" x14ac:dyDescent="0.25">
      <c r="A820">
        <v>5299</v>
      </c>
      <c r="B820">
        <v>2347</v>
      </c>
      <c r="C820">
        <f>1/COUNTIF(B:B,pizza_sales[[#This Row],[order_id]])</f>
        <v>1</v>
      </c>
      <c r="D820" t="s">
        <v>25</v>
      </c>
      <c r="E820">
        <v>1</v>
      </c>
      <c r="F820" s="1">
        <v>42218</v>
      </c>
      <c r="G820" s="1" t="str">
        <f>TEXT(pizza_sales[[#This Row],[order_date]],"dddd")</f>
        <v>Sunday</v>
      </c>
      <c r="H820" s="2">
        <v>0.8531481481481481</v>
      </c>
      <c r="I820">
        <v>15.25</v>
      </c>
      <c r="J820">
        <v>15.25</v>
      </c>
      <c r="K820" t="s">
        <v>58</v>
      </c>
      <c r="L820" t="s">
        <v>13</v>
      </c>
      <c r="M820" t="s">
        <v>26</v>
      </c>
      <c r="N820" t="s">
        <v>27</v>
      </c>
    </row>
    <row r="821" spans="1:14" x14ac:dyDescent="0.25">
      <c r="A821">
        <v>5302</v>
      </c>
      <c r="B821">
        <v>2348</v>
      </c>
      <c r="C821">
        <f>1/COUNTIF(B:B,pizza_sales[[#This Row],[order_id]])</f>
        <v>1</v>
      </c>
      <c r="D821" t="s">
        <v>51</v>
      </c>
      <c r="E821">
        <v>1</v>
      </c>
      <c r="F821" s="1">
        <v>42218</v>
      </c>
      <c r="G821" s="1" t="str">
        <f>TEXT(pizza_sales[[#This Row],[order_date]],"dddd")</f>
        <v>Sunday</v>
      </c>
      <c r="H821" s="2">
        <v>0.87402777777777774</v>
      </c>
      <c r="I821">
        <v>23.65</v>
      </c>
      <c r="J821">
        <v>23.65</v>
      </c>
      <c r="K821" t="s">
        <v>60</v>
      </c>
      <c r="L821" t="s">
        <v>35</v>
      </c>
      <c r="M821" t="s">
        <v>52</v>
      </c>
      <c r="N821" t="s">
        <v>53</v>
      </c>
    </row>
    <row r="822" spans="1:14" x14ac:dyDescent="0.25">
      <c r="A822">
        <v>5305</v>
      </c>
      <c r="B822">
        <v>2350</v>
      </c>
      <c r="C822">
        <f>1/COUNTIF(B:B,pizza_sales[[#This Row],[order_id]])</f>
        <v>1</v>
      </c>
      <c r="D822" t="s">
        <v>43</v>
      </c>
      <c r="E822">
        <v>1</v>
      </c>
      <c r="F822" s="1">
        <v>42218</v>
      </c>
      <c r="G822" s="1" t="str">
        <f>TEXT(pizza_sales[[#This Row],[order_date]],"dddd")</f>
        <v>Sunday</v>
      </c>
      <c r="H822" s="2">
        <v>0.89001157407407405</v>
      </c>
      <c r="I822">
        <v>16.25</v>
      </c>
      <c r="J822">
        <v>16.25</v>
      </c>
      <c r="K822" t="s">
        <v>59</v>
      </c>
      <c r="L822" t="s">
        <v>35</v>
      </c>
      <c r="M822" t="s">
        <v>40</v>
      </c>
      <c r="N822" t="s">
        <v>41</v>
      </c>
    </row>
    <row r="823" spans="1:14" x14ac:dyDescent="0.25">
      <c r="A823">
        <v>5306</v>
      </c>
      <c r="B823">
        <v>2351</v>
      </c>
      <c r="C823">
        <f>1/COUNTIF(B:B,pizza_sales[[#This Row],[order_id]])</f>
        <v>1</v>
      </c>
      <c r="D823" t="s">
        <v>12</v>
      </c>
      <c r="E823">
        <v>1</v>
      </c>
      <c r="F823" s="1">
        <v>42218</v>
      </c>
      <c r="G823" s="1" t="str">
        <f>TEXT(pizza_sales[[#This Row],[order_date]],"dddd")</f>
        <v>Sunday</v>
      </c>
      <c r="H823" s="2">
        <v>0.91127314814814819</v>
      </c>
      <c r="I823">
        <v>13.25</v>
      </c>
      <c r="J823">
        <v>13.25</v>
      </c>
      <c r="K823" t="s">
        <v>59</v>
      </c>
      <c r="L823" t="s">
        <v>13</v>
      </c>
      <c r="M823" t="s">
        <v>14</v>
      </c>
      <c r="N823" t="s">
        <v>15</v>
      </c>
    </row>
    <row r="824" spans="1:14" x14ac:dyDescent="0.25">
      <c r="A824">
        <v>5313</v>
      </c>
      <c r="B824">
        <v>2354</v>
      </c>
      <c r="C824">
        <f>1/COUNTIF(B:B,pizza_sales[[#This Row],[order_id]])</f>
        <v>1</v>
      </c>
      <c r="D824" t="s">
        <v>23</v>
      </c>
      <c r="E824">
        <v>1</v>
      </c>
      <c r="F824" s="1">
        <v>42218</v>
      </c>
      <c r="G824" s="1" t="str">
        <f>TEXT(pizza_sales[[#This Row],[order_date]],"dddd")</f>
        <v>Sunday</v>
      </c>
      <c r="H824" s="2">
        <v>0.94199074074074074</v>
      </c>
      <c r="I824">
        <v>12</v>
      </c>
      <c r="J824">
        <v>12</v>
      </c>
      <c r="K824" t="s">
        <v>60</v>
      </c>
      <c r="L824" t="s">
        <v>17</v>
      </c>
      <c r="M824" t="s">
        <v>18</v>
      </c>
      <c r="N824" t="s">
        <v>19</v>
      </c>
    </row>
    <row r="825" spans="1:14" x14ac:dyDescent="0.25">
      <c r="A825">
        <v>5317</v>
      </c>
      <c r="B825">
        <v>2355</v>
      </c>
      <c r="C825">
        <f>1/COUNTIF(B:B,pizza_sales[[#This Row],[order_id]])</f>
        <v>1</v>
      </c>
      <c r="D825" t="s">
        <v>16</v>
      </c>
      <c r="E825">
        <v>1</v>
      </c>
      <c r="F825" s="1">
        <v>42249</v>
      </c>
      <c r="G825" s="1" t="str">
        <f>TEXT(pizza_sales[[#This Row],[order_date]],"dddd")</f>
        <v>Wednesday</v>
      </c>
      <c r="H825" s="2">
        <v>0.47667824074074072</v>
      </c>
      <c r="I825">
        <v>16</v>
      </c>
      <c r="J825">
        <v>16</v>
      </c>
      <c r="K825" t="s">
        <v>59</v>
      </c>
      <c r="L825" t="s">
        <v>17</v>
      </c>
      <c r="M825" t="s">
        <v>18</v>
      </c>
      <c r="N825" t="s">
        <v>19</v>
      </c>
    </row>
    <row r="826" spans="1:14" x14ac:dyDescent="0.25">
      <c r="A826">
        <v>5318</v>
      </c>
      <c r="B826">
        <v>2356</v>
      </c>
      <c r="C826">
        <f>1/COUNTIF(B:B,pizza_sales[[#This Row],[order_id]])</f>
        <v>1</v>
      </c>
      <c r="D826" t="s">
        <v>20</v>
      </c>
      <c r="E826">
        <v>1</v>
      </c>
      <c r="F826" s="1">
        <v>42249</v>
      </c>
      <c r="G826" s="1" t="str">
        <f>TEXT(pizza_sales[[#This Row],[order_date]],"dddd")</f>
        <v>Wednesday</v>
      </c>
      <c r="H826" s="2">
        <v>0.47997685185185185</v>
      </c>
      <c r="I826">
        <v>12</v>
      </c>
      <c r="J826">
        <v>12</v>
      </c>
      <c r="K826" t="s">
        <v>60</v>
      </c>
      <c r="L826" t="s">
        <v>13</v>
      </c>
      <c r="M826" t="s">
        <v>21</v>
      </c>
      <c r="N826" t="s">
        <v>22</v>
      </c>
    </row>
    <row r="827" spans="1:14" x14ac:dyDescent="0.25">
      <c r="A827">
        <v>5319</v>
      </c>
      <c r="B827">
        <v>2357</v>
      </c>
      <c r="C827">
        <f>1/COUNTIF(B:B,pizza_sales[[#This Row],[order_id]])</f>
        <v>1</v>
      </c>
      <c r="D827" t="s">
        <v>46</v>
      </c>
      <c r="E827">
        <v>1</v>
      </c>
      <c r="F827" s="1">
        <v>42249</v>
      </c>
      <c r="G827" s="1" t="str">
        <f>TEXT(pizza_sales[[#This Row],[order_date]],"dddd")</f>
        <v>Wednesday</v>
      </c>
      <c r="H827" s="2">
        <v>0.4894560185185185</v>
      </c>
      <c r="I827">
        <v>25.5</v>
      </c>
      <c r="J827">
        <v>25.5</v>
      </c>
      <c r="K827" t="s">
        <v>61</v>
      </c>
      <c r="L827" t="s">
        <v>13</v>
      </c>
      <c r="M827" t="s">
        <v>21</v>
      </c>
      <c r="N827" t="s">
        <v>22</v>
      </c>
    </row>
    <row r="828" spans="1:14" x14ac:dyDescent="0.25">
      <c r="A828">
        <v>5324</v>
      </c>
      <c r="B828">
        <v>2360</v>
      </c>
      <c r="C828">
        <f>1/COUNTIF(B:B,pizza_sales[[#This Row],[order_id]])</f>
        <v>1</v>
      </c>
      <c r="D828" t="s">
        <v>39</v>
      </c>
      <c r="E828">
        <v>1</v>
      </c>
      <c r="F828" s="1">
        <v>42249</v>
      </c>
      <c r="G828" s="1" t="str">
        <f>TEXT(pizza_sales[[#This Row],[order_date]],"dddd")</f>
        <v>Wednesday</v>
      </c>
      <c r="H828" s="2">
        <v>0.51373842592592589</v>
      </c>
      <c r="I828">
        <v>20.25</v>
      </c>
      <c r="J828">
        <v>20.25</v>
      </c>
      <c r="K828" t="s">
        <v>58</v>
      </c>
      <c r="L828" t="s">
        <v>35</v>
      </c>
      <c r="M828" t="s">
        <v>40</v>
      </c>
      <c r="N828" t="s">
        <v>41</v>
      </c>
    </row>
    <row r="829" spans="1:14" x14ac:dyDescent="0.25">
      <c r="A829">
        <v>5325</v>
      </c>
      <c r="B829">
        <v>2361</v>
      </c>
      <c r="C829">
        <f>1/COUNTIF(B:B,pizza_sales[[#This Row],[order_id]])</f>
        <v>1</v>
      </c>
      <c r="D829" t="s">
        <v>42</v>
      </c>
      <c r="E829">
        <v>1</v>
      </c>
      <c r="F829" s="1">
        <v>42249</v>
      </c>
      <c r="G829" s="1" t="str">
        <f>TEXT(pizza_sales[[#This Row],[order_date]],"dddd")</f>
        <v>Wednesday</v>
      </c>
      <c r="H829" s="2">
        <v>0.51664351851851853</v>
      </c>
      <c r="I829">
        <v>12.5</v>
      </c>
      <c r="J829">
        <v>12.5</v>
      </c>
      <c r="K829" t="s">
        <v>59</v>
      </c>
      <c r="L829" t="s">
        <v>13</v>
      </c>
      <c r="M829" t="s">
        <v>26</v>
      </c>
      <c r="N829" t="s">
        <v>27</v>
      </c>
    </row>
    <row r="830" spans="1:14" x14ac:dyDescent="0.25">
      <c r="A830">
        <v>5327</v>
      </c>
      <c r="B830">
        <v>2362</v>
      </c>
      <c r="C830">
        <f>1/COUNTIF(B:B,pizza_sales[[#This Row],[order_id]])</f>
        <v>1</v>
      </c>
      <c r="D830" t="s">
        <v>31</v>
      </c>
      <c r="E830">
        <v>1</v>
      </c>
      <c r="F830" s="1">
        <v>42249</v>
      </c>
      <c r="G830" s="1" t="str">
        <f>TEXT(pizza_sales[[#This Row],[order_date]],"dddd")</f>
        <v>Wednesday</v>
      </c>
      <c r="H830" s="2">
        <v>0.52089120370370368</v>
      </c>
      <c r="I830">
        <v>12</v>
      </c>
      <c r="J830">
        <v>12</v>
      </c>
      <c r="K830" t="s">
        <v>60</v>
      </c>
      <c r="L830" t="s">
        <v>13</v>
      </c>
      <c r="M830" t="s">
        <v>32</v>
      </c>
      <c r="N830" t="s">
        <v>33</v>
      </c>
    </row>
    <row r="831" spans="1:14" x14ac:dyDescent="0.25">
      <c r="A831">
        <v>5331</v>
      </c>
      <c r="B831">
        <v>2363</v>
      </c>
      <c r="C831">
        <f>1/COUNTIF(B:B,pizza_sales[[#This Row],[order_id]])</f>
        <v>1</v>
      </c>
      <c r="D831" t="s">
        <v>39</v>
      </c>
      <c r="E831">
        <v>1</v>
      </c>
      <c r="F831" s="1">
        <v>42249</v>
      </c>
      <c r="G831" s="1" t="str">
        <f>TEXT(pizza_sales[[#This Row],[order_date]],"dddd")</f>
        <v>Wednesday</v>
      </c>
      <c r="H831" s="2">
        <v>0.5248842592592593</v>
      </c>
      <c r="I831">
        <v>20.25</v>
      </c>
      <c r="J831">
        <v>20.25</v>
      </c>
      <c r="K831" t="s">
        <v>58</v>
      </c>
      <c r="L831" t="s">
        <v>35</v>
      </c>
      <c r="M831" t="s">
        <v>40</v>
      </c>
      <c r="N831" t="s">
        <v>41</v>
      </c>
    </row>
    <row r="832" spans="1:14" x14ac:dyDescent="0.25">
      <c r="A832">
        <v>5334</v>
      </c>
      <c r="B832">
        <v>2364</v>
      </c>
      <c r="C832">
        <f>1/COUNTIF(B:B,pizza_sales[[#This Row],[order_id]])</f>
        <v>0.5</v>
      </c>
      <c r="D832" t="s">
        <v>47</v>
      </c>
      <c r="E832">
        <v>1</v>
      </c>
      <c r="F832" s="1">
        <v>42249</v>
      </c>
      <c r="G832" s="1" t="str">
        <f>TEXT(pizza_sales[[#This Row],[order_date]],"dddd")</f>
        <v>Wednesday</v>
      </c>
      <c r="H832" s="2">
        <v>0.53652777777777783</v>
      </c>
      <c r="I832">
        <v>16.5</v>
      </c>
      <c r="J832">
        <v>16.5</v>
      </c>
      <c r="K832" t="s">
        <v>58</v>
      </c>
      <c r="L832" t="s">
        <v>13</v>
      </c>
      <c r="M832" t="s">
        <v>14</v>
      </c>
      <c r="N832" t="s">
        <v>15</v>
      </c>
    </row>
    <row r="833" spans="1:14" x14ac:dyDescent="0.25">
      <c r="A833">
        <v>5340</v>
      </c>
      <c r="B833">
        <v>2364</v>
      </c>
      <c r="C833">
        <f>1/COUNTIF(B:B,pizza_sales[[#This Row],[order_id]])</f>
        <v>0.5</v>
      </c>
      <c r="D833" t="s">
        <v>39</v>
      </c>
      <c r="E833">
        <v>1</v>
      </c>
      <c r="F833" s="1">
        <v>42249</v>
      </c>
      <c r="G833" s="1" t="str">
        <f>TEXT(pizza_sales[[#This Row],[order_date]],"dddd")</f>
        <v>Wednesday</v>
      </c>
      <c r="H833" s="2">
        <v>0.53652777777777783</v>
      </c>
      <c r="I833">
        <v>20.25</v>
      </c>
      <c r="J833">
        <v>20.25</v>
      </c>
      <c r="K833" t="s">
        <v>58</v>
      </c>
      <c r="L833" t="s">
        <v>35</v>
      </c>
      <c r="M833" t="s">
        <v>40</v>
      </c>
      <c r="N833" t="s">
        <v>41</v>
      </c>
    </row>
    <row r="834" spans="1:14" x14ac:dyDescent="0.25">
      <c r="A834">
        <v>5342</v>
      </c>
      <c r="B834">
        <v>2365</v>
      </c>
      <c r="C834">
        <f>1/COUNTIF(B:B,pizza_sales[[#This Row],[order_id]])</f>
        <v>1</v>
      </c>
      <c r="D834" t="s">
        <v>47</v>
      </c>
      <c r="E834">
        <v>1</v>
      </c>
      <c r="F834" s="1">
        <v>42249</v>
      </c>
      <c r="G834" s="1" t="str">
        <f>TEXT(pizza_sales[[#This Row],[order_date]],"dddd")</f>
        <v>Wednesday</v>
      </c>
      <c r="H834" s="2">
        <v>0.54343750000000002</v>
      </c>
      <c r="I834">
        <v>16.5</v>
      </c>
      <c r="J834">
        <v>16.5</v>
      </c>
      <c r="K834" t="s">
        <v>58</v>
      </c>
      <c r="L834" t="s">
        <v>13</v>
      </c>
      <c r="M834" t="s">
        <v>14</v>
      </c>
      <c r="N834" t="s">
        <v>15</v>
      </c>
    </row>
    <row r="835" spans="1:14" x14ac:dyDescent="0.25">
      <c r="A835">
        <v>5349</v>
      </c>
      <c r="B835">
        <v>2369</v>
      </c>
      <c r="C835">
        <f>1/COUNTIF(B:B,pizza_sales[[#This Row],[order_id]])</f>
        <v>0.2</v>
      </c>
      <c r="D835" t="s">
        <v>28</v>
      </c>
      <c r="E835">
        <v>1</v>
      </c>
      <c r="F835" s="1">
        <v>42249</v>
      </c>
      <c r="G835" s="1" t="str">
        <f>TEXT(pizza_sales[[#This Row],[order_date]],"dddd")</f>
        <v>Wednesday</v>
      </c>
      <c r="H835" s="2">
        <v>0.58355324074074078</v>
      </c>
      <c r="I835">
        <v>12</v>
      </c>
      <c r="J835">
        <v>12</v>
      </c>
      <c r="K835" t="s">
        <v>60</v>
      </c>
      <c r="L835" t="s">
        <v>13</v>
      </c>
      <c r="M835" t="s">
        <v>29</v>
      </c>
      <c r="N835" t="s">
        <v>30</v>
      </c>
    </row>
    <row r="836" spans="1:14" x14ac:dyDescent="0.25">
      <c r="A836">
        <v>5353</v>
      </c>
      <c r="B836">
        <v>2369</v>
      </c>
      <c r="C836">
        <f>1/COUNTIF(B:B,pizza_sales[[#This Row],[order_id]])</f>
        <v>0.2</v>
      </c>
      <c r="D836" t="s">
        <v>42</v>
      </c>
      <c r="E836">
        <v>1</v>
      </c>
      <c r="F836" s="1">
        <v>42249</v>
      </c>
      <c r="G836" s="1" t="str">
        <f>TEXT(pizza_sales[[#This Row],[order_date]],"dddd")</f>
        <v>Wednesday</v>
      </c>
      <c r="H836" s="2">
        <v>0.58355324074074078</v>
      </c>
      <c r="I836">
        <v>12.5</v>
      </c>
      <c r="J836">
        <v>12.5</v>
      </c>
      <c r="K836" t="s">
        <v>59</v>
      </c>
      <c r="L836" t="s">
        <v>13</v>
      </c>
      <c r="M836" t="s">
        <v>26</v>
      </c>
      <c r="N836" t="s">
        <v>27</v>
      </c>
    </row>
    <row r="837" spans="1:14" x14ac:dyDescent="0.25">
      <c r="A837">
        <v>5355</v>
      </c>
      <c r="B837">
        <v>2369</v>
      </c>
      <c r="C837">
        <f>1/COUNTIF(B:B,pizza_sales[[#This Row],[order_id]])</f>
        <v>0.2</v>
      </c>
      <c r="D837" t="s">
        <v>48</v>
      </c>
      <c r="E837">
        <v>1</v>
      </c>
      <c r="F837" s="1">
        <v>42249</v>
      </c>
      <c r="G837" s="1" t="str">
        <f>TEXT(pizza_sales[[#This Row],[order_date]],"dddd")</f>
        <v>Wednesday</v>
      </c>
      <c r="H837" s="2">
        <v>0.58355324074074078</v>
      </c>
      <c r="I837">
        <v>12.25</v>
      </c>
      <c r="J837">
        <v>12.25</v>
      </c>
      <c r="K837" t="s">
        <v>60</v>
      </c>
      <c r="L837" t="s">
        <v>35</v>
      </c>
      <c r="M837" t="s">
        <v>40</v>
      </c>
      <c r="N837" t="s">
        <v>41</v>
      </c>
    </row>
    <row r="838" spans="1:14" x14ac:dyDescent="0.25">
      <c r="A838">
        <v>5359</v>
      </c>
      <c r="B838">
        <v>2369</v>
      </c>
      <c r="C838">
        <f>1/COUNTIF(B:B,pizza_sales[[#This Row],[order_id]])</f>
        <v>0.2</v>
      </c>
      <c r="D838" t="s">
        <v>20</v>
      </c>
      <c r="E838">
        <v>1</v>
      </c>
      <c r="F838" s="1">
        <v>42249</v>
      </c>
      <c r="G838" s="1" t="str">
        <f>TEXT(pizza_sales[[#This Row],[order_date]],"dddd")</f>
        <v>Wednesday</v>
      </c>
      <c r="H838" s="2">
        <v>0.58355324074074078</v>
      </c>
      <c r="I838">
        <v>12</v>
      </c>
      <c r="J838">
        <v>12</v>
      </c>
      <c r="K838" t="s">
        <v>60</v>
      </c>
      <c r="L838" t="s">
        <v>13</v>
      </c>
      <c r="M838" t="s">
        <v>21</v>
      </c>
      <c r="N838" t="s">
        <v>22</v>
      </c>
    </row>
    <row r="839" spans="1:14" x14ac:dyDescent="0.25">
      <c r="A839">
        <v>5360</v>
      </c>
      <c r="B839">
        <v>2369</v>
      </c>
      <c r="C839">
        <f>1/COUNTIF(B:B,pizza_sales[[#This Row],[order_id]])</f>
        <v>0.2</v>
      </c>
      <c r="D839" t="s">
        <v>46</v>
      </c>
      <c r="E839">
        <v>1</v>
      </c>
      <c r="F839" s="1">
        <v>42249</v>
      </c>
      <c r="G839" s="1" t="str">
        <f>TEXT(pizza_sales[[#This Row],[order_date]],"dddd")</f>
        <v>Wednesday</v>
      </c>
      <c r="H839" s="2">
        <v>0.58355324074074078</v>
      </c>
      <c r="I839">
        <v>25.5</v>
      </c>
      <c r="J839">
        <v>25.5</v>
      </c>
      <c r="K839" t="s">
        <v>61</v>
      </c>
      <c r="L839" t="s">
        <v>13</v>
      </c>
      <c r="M839" t="s">
        <v>21</v>
      </c>
      <c r="N839" t="s">
        <v>22</v>
      </c>
    </row>
    <row r="840" spans="1:14" x14ac:dyDescent="0.25">
      <c r="A840">
        <v>5364</v>
      </c>
      <c r="B840">
        <v>2372</v>
      </c>
      <c r="C840">
        <f>1/COUNTIF(B:B,pizza_sales[[#This Row],[order_id]])</f>
        <v>1</v>
      </c>
      <c r="D840" t="s">
        <v>28</v>
      </c>
      <c r="E840">
        <v>1</v>
      </c>
      <c r="F840" s="1">
        <v>42249</v>
      </c>
      <c r="G840" s="1" t="str">
        <f>TEXT(pizza_sales[[#This Row],[order_date]],"dddd")</f>
        <v>Wednesday</v>
      </c>
      <c r="H840" s="2">
        <v>0.58650462962962968</v>
      </c>
      <c r="I840">
        <v>12</v>
      </c>
      <c r="J840">
        <v>12</v>
      </c>
      <c r="K840" t="s">
        <v>60</v>
      </c>
      <c r="L840" t="s">
        <v>13</v>
      </c>
      <c r="M840" t="s">
        <v>29</v>
      </c>
      <c r="N840" t="s">
        <v>30</v>
      </c>
    </row>
    <row r="841" spans="1:14" x14ac:dyDescent="0.25">
      <c r="A841">
        <v>5372</v>
      </c>
      <c r="B841">
        <v>2374</v>
      </c>
      <c r="C841">
        <f>1/COUNTIF(B:B,pizza_sales[[#This Row],[order_id]])</f>
        <v>1</v>
      </c>
      <c r="D841" t="s">
        <v>42</v>
      </c>
      <c r="E841">
        <v>1</v>
      </c>
      <c r="F841" s="1">
        <v>42249</v>
      </c>
      <c r="G841" s="1" t="str">
        <f>TEXT(pizza_sales[[#This Row],[order_date]],"dddd")</f>
        <v>Wednesday</v>
      </c>
      <c r="H841" s="2">
        <v>0.60826388888888894</v>
      </c>
      <c r="I841">
        <v>12.5</v>
      </c>
      <c r="J841">
        <v>12.5</v>
      </c>
      <c r="K841" t="s">
        <v>59</v>
      </c>
      <c r="L841" t="s">
        <v>13</v>
      </c>
      <c r="M841" t="s">
        <v>26</v>
      </c>
      <c r="N841" t="s">
        <v>27</v>
      </c>
    </row>
    <row r="842" spans="1:14" x14ac:dyDescent="0.25">
      <c r="A842">
        <v>5374</v>
      </c>
      <c r="B842">
        <v>2375</v>
      </c>
      <c r="C842">
        <f>1/COUNTIF(B:B,pizza_sales[[#This Row],[order_id]])</f>
        <v>1</v>
      </c>
      <c r="D842" t="s">
        <v>38</v>
      </c>
      <c r="E842">
        <v>1</v>
      </c>
      <c r="F842" s="1">
        <v>42249</v>
      </c>
      <c r="G842" s="1" t="str">
        <f>TEXT(pizza_sales[[#This Row],[order_date]],"dddd")</f>
        <v>Wednesday</v>
      </c>
      <c r="H842" s="2">
        <v>0.63520833333333337</v>
      </c>
      <c r="I842">
        <v>20.5</v>
      </c>
      <c r="J842">
        <v>20.5</v>
      </c>
      <c r="K842" t="s">
        <v>58</v>
      </c>
      <c r="L842" t="s">
        <v>13</v>
      </c>
      <c r="M842" t="s">
        <v>32</v>
      </c>
      <c r="N842" t="s">
        <v>33</v>
      </c>
    </row>
    <row r="843" spans="1:14" x14ac:dyDescent="0.25">
      <c r="A843">
        <v>5380</v>
      </c>
      <c r="B843">
        <v>2377</v>
      </c>
      <c r="C843">
        <f>1/COUNTIF(B:B,pizza_sales[[#This Row],[order_id]])</f>
        <v>1</v>
      </c>
      <c r="D843" t="s">
        <v>45</v>
      </c>
      <c r="E843">
        <v>1</v>
      </c>
      <c r="F843" s="1">
        <v>42249</v>
      </c>
      <c r="G843" s="1" t="str">
        <f>TEXT(pizza_sales[[#This Row],[order_date]],"dddd")</f>
        <v>Wednesday</v>
      </c>
      <c r="H843" s="2">
        <v>0.64324074074074078</v>
      </c>
      <c r="I843">
        <v>10.5</v>
      </c>
      <c r="J843">
        <v>10.5</v>
      </c>
      <c r="K843" t="s">
        <v>60</v>
      </c>
      <c r="L843" t="s">
        <v>13</v>
      </c>
      <c r="M843" t="s">
        <v>14</v>
      </c>
      <c r="N843" t="s">
        <v>15</v>
      </c>
    </row>
    <row r="844" spans="1:14" x14ac:dyDescent="0.25">
      <c r="A844">
        <v>5382</v>
      </c>
      <c r="B844">
        <v>2378</v>
      </c>
      <c r="C844">
        <f>1/COUNTIF(B:B,pizza_sales[[#This Row],[order_id]])</f>
        <v>1</v>
      </c>
      <c r="D844" t="s">
        <v>38</v>
      </c>
      <c r="E844">
        <v>1</v>
      </c>
      <c r="F844" s="1">
        <v>42249</v>
      </c>
      <c r="G844" s="1" t="str">
        <f>TEXT(pizza_sales[[#This Row],[order_date]],"dddd")</f>
        <v>Wednesday</v>
      </c>
      <c r="H844" s="2">
        <v>0.67048611111111112</v>
      </c>
      <c r="I844">
        <v>20.5</v>
      </c>
      <c r="J844">
        <v>20.5</v>
      </c>
      <c r="K844" t="s">
        <v>58</v>
      </c>
      <c r="L844" t="s">
        <v>13</v>
      </c>
      <c r="M844" t="s">
        <v>32</v>
      </c>
      <c r="N844" t="s">
        <v>33</v>
      </c>
    </row>
    <row r="845" spans="1:14" x14ac:dyDescent="0.25">
      <c r="A845">
        <v>5385</v>
      </c>
      <c r="B845">
        <v>2379</v>
      </c>
      <c r="C845">
        <f>1/COUNTIF(B:B,pizza_sales[[#This Row],[order_id]])</f>
        <v>1</v>
      </c>
      <c r="D845" t="s">
        <v>23</v>
      </c>
      <c r="E845">
        <v>1</v>
      </c>
      <c r="F845" s="1">
        <v>42249</v>
      </c>
      <c r="G845" s="1" t="str">
        <f>TEXT(pizza_sales[[#This Row],[order_date]],"dddd")</f>
        <v>Wednesday</v>
      </c>
      <c r="H845" s="2">
        <v>0.67932870370370368</v>
      </c>
      <c r="I845">
        <v>12</v>
      </c>
      <c r="J845">
        <v>12</v>
      </c>
      <c r="K845" t="s">
        <v>60</v>
      </c>
      <c r="L845" t="s">
        <v>17</v>
      </c>
      <c r="M845" t="s">
        <v>18</v>
      </c>
      <c r="N845" t="s">
        <v>19</v>
      </c>
    </row>
    <row r="846" spans="1:14" x14ac:dyDescent="0.25">
      <c r="A846">
        <v>5387</v>
      </c>
      <c r="B846">
        <v>2380</v>
      </c>
      <c r="C846">
        <f>1/COUNTIF(B:B,pizza_sales[[#This Row],[order_id]])</f>
        <v>1</v>
      </c>
      <c r="D846" t="s">
        <v>50</v>
      </c>
      <c r="E846">
        <v>1</v>
      </c>
      <c r="F846" s="1">
        <v>42249</v>
      </c>
      <c r="G846" s="1" t="str">
        <f>TEXT(pizza_sales[[#This Row],[order_date]],"dddd")</f>
        <v>Wednesday</v>
      </c>
      <c r="H846" s="2">
        <v>0.68224537037037036</v>
      </c>
      <c r="I846">
        <v>16</v>
      </c>
      <c r="J846">
        <v>16</v>
      </c>
      <c r="K846" t="s">
        <v>59</v>
      </c>
      <c r="L846" t="s">
        <v>13</v>
      </c>
      <c r="M846" t="s">
        <v>32</v>
      </c>
      <c r="N846" t="s">
        <v>33</v>
      </c>
    </row>
    <row r="847" spans="1:14" x14ac:dyDescent="0.25">
      <c r="A847">
        <v>5390</v>
      </c>
      <c r="B847">
        <v>2381</v>
      </c>
      <c r="C847">
        <f>1/COUNTIF(B:B,pizza_sales[[#This Row],[order_id]])</f>
        <v>0.5</v>
      </c>
      <c r="D847" t="s">
        <v>44</v>
      </c>
      <c r="E847">
        <v>1</v>
      </c>
      <c r="F847" s="1">
        <v>42249</v>
      </c>
      <c r="G847" s="1" t="str">
        <f>TEXT(pizza_sales[[#This Row],[order_date]],"dddd")</f>
        <v>Wednesday</v>
      </c>
      <c r="H847" s="2">
        <v>0.7011574074074074</v>
      </c>
      <c r="I847">
        <v>9.75</v>
      </c>
      <c r="J847">
        <v>9.75</v>
      </c>
      <c r="K847" t="s">
        <v>60</v>
      </c>
      <c r="L847" t="s">
        <v>13</v>
      </c>
      <c r="M847" t="s">
        <v>26</v>
      </c>
      <c r="N847" t="s">
        <v>27</v>
      </c>
    </row>
    <row r="848" spans="1:14" x14ac:dyDescent="0.25">
      <c r="A848">
        <v>5391</v>
      </c>
      <c r="B848">
        <v>2381</v>
      </c>
      <c r="C848">
        <f>1/COUNTIF(B:B,pizza_sales[[#This Row],[order_id]])</f>
        <v>0.5</v>
      </c>
      <c r="D848" t="s">
        <v>48</v>
      </c>
      <c r="E848">
        <v>1</v>
      </c>
      <c r="F848" s="1">
        <v>42249</v>
      </c>
      <c r="G848" s="1" t="str">
        <f>TEXT(pizza_sales[[#This Row],[order_date]],"dddd")</f>
        <v>Wednesday</v>
      </c>
      <c r="H848" s="2">
        <v>0.7011574074074074</v>
      </c>
      <c r="I848">
        <v>12.25</v>
      </c>
      <c r="J848">
        <v>12.25</v>
      </c>
      <c r="K848" t="s">
        <v>60</v>
      </c>
      <c r="L848" t="s">
        <v>35</v>
      </c>
      <c r="M848" t="s">
        <v>40</v>
      </c>
      <c r="N848" t="s">
        <v>41</v>
      </c>
    </row>
    <row r="849" spans="1:14" x14ac:dyDescent="0.25">
      <c r="A849">
        <v>5393</v>
      </c>
      <c r="B849">
        <v>2382</v>
      </c>
      <c r="C849">
        <f>1/COUNTIF(B:B,pizza_sales[[#This Row],[order_id]])</f>
        <v>0.5</v>
      </c>
      <c r="D849" t="s">
        <v>28</v>
      </c>
      <c r="E849">
        <v>1</v>
      </c>
      <c r="F849" s="1">
        <v>42249</v>
      </c>
      <c r="G849" s="1" t="str">
        <f>TEXT(pizza_sales[[#This Row],[order_date]],"dddd")</f>
        <v>Wednesday</v>
      </c>
      <c r="H849" s="2">
        <v>0.71497685185185189</v>
      </c>
      <c r="I849">
        <v>12</v>
      </c>
      <c r="J849">
        <v>12</v>
      </c>
      <c r="K849" t="s">
        <v>60</v>
      </c>
      <c r="L849" t="s">
        <v>13</v>
      </c>
      <c r="M849" t="s">
        <v>29</v>
      </c>
      <c r="N849" t="s">
        <v>30</v>
      </c>
    </row>
    <row r="850" spans="1:14" x14ac:dyDescent="0.25">
      <c r="A850">
        <v>5395</v>
      </c>
      <c r="B850">
        <v>2382</v>
      </c>
      <c r="C850">
        <f>1/COUNTIF(B:B,pizza_sales[[#This Row],[order_id]])</f>
        <v>0.5</v>
      </c>
      <c r="D850" t="s">
        <v>20</v>
      </c>
      <c r="E850">
        <v>1</v>
      </c>
      <c r="F850" s="1">
        <v>42249</v>
      </c>
      <c r="G850" s="1" t="str">
        <f>TEXT(pizza_sales[[#This Row],[order_date]],"dddd")</f>
        <v>Wednesday</v>
      </c>
      <c r="H850" s="2">
        <v>0.71497685185185189</v>
      </c>
      <c r="I850">
        <v>12</v>
      </c>
      <c r="J850">
        <v>12</v>
      </c>
      <c r="K850" t="s">
        <v>60</v>
      </c>
      <c r="L850" t="s">
        <v>13</v>
      </c>
      <c r="M850" t="s">
        <v>21</v>
      </c>
      <c r="N850" t="s">
        <v>22</v>
      </c>
    </row>
    <row r="851" spans="1:14" x14ac:dyDescent="0.25">
      <c r="A851">
        <v>5396</v>
      </c>
      <c r="B851">
        <v>2383</v>
      </c>
      <c r="C851">
        <f>1/COUNTIF(B:B,pizza_sales[[#This Row],[order_id]])</f>
        <v>1</v>
      </c>
      <c r="D851" t="s">
        <v>45</v>
      </c>
      <c r="E851">
        <v>1</v>
      </c>
      <c r="F851" s="1">
        <v>42249</v>
      </c>
      <c r="G851" s="1" t="str">
        <f>TEXT(pizza_sales[[#This Row],[order_date]],"dddd")</f>
        <v>Wednesday</v>
      </c>
      <c r="H851" s="2">
        <v>0.7167013888888889</v>
      </c>
      <c r="I851">
        <v>10.5</v>
      </c>
      <c r="J851">
        <v>10.5</v>
      </c>
      <c r="K851" t="s">
        <v>60</v>
      </c>
      <c r="L851" t="s">
        <v>13</v>
      </c>
      <c r="M851" t="s">
        <v>14</v>
      </c>
      <c r="N851" t="s">
        <v>15</v>
      </c>
    </row>
    <row r="852" spans="1:14" x14ac:dyDescent="0.25">
      <c r="A852">
        <v>5400</v>
      </c>
      <c r="B852">
        <v>2386</v>
      </c>
      <c r="C852">
        <f>1/COUNTIF(B:B,pizza_sales[[#This Row],[order_id]])</f>
        <v>0.5</v>
      </c>
      <c r="D852" t="s">
        <v>45</v>
      </c>
      <c r="E852">
        <v>1</v>
      </c>
      <c r="F852" s="1">
        <v>42249</v>
      </c>
      <c r="G852" s="1" t="str">
        <f>TEXT(pizza_sales[[#This Row],[order_date]],"dddd")</f>
        <v>Wednesday</v>
      </c>
      <c r="H852" s="2">
        <v>0.73353009259259261</v>
      </c>
      <c r="I852">
        <v>10.5</v>
      </c>
      <c r="J852">
        <v>10.5</v>
      </c>
      <c r="K852" t="s">
        <v>60</v>
      </c>
      <c r="L852" t="s">
        <v>13</v>
      </c>
      <c r="M852" t="s">
        <v>14</v>
      </c>
      <c r="N852" t="s">
        <v>15</v>
      </c>
    </row>
    <row r="853" spans="1:14" x14ac:dyDescent="0.25">
      <c r="A853">
        <v>5401</v>
      </c>
      <c r="B853">
        <v>2386</v>
      </c>
      <c r="C853">
        <f>1/COUNTIF(B:B,pizza_sales[[#This Row],[order_id]])</f>
        <v>0.5</v>
      </c>
      <c r="D853" t="s">
        <v>23</v>
      </c>
      <c r="E853">
        <v>1</v>
      </c>
      <c r="F853" s="1">
        <v>42249</v>
      </c>
      <c r="G853" s="1" t="str">
        <f>TEXT(pizza_sales[[#This Row],[order_date]],"dddd")</f>
        <v>Wednesday</v>
      </c>
      <c r="H853" s="2">
        <v>0.73353009259259261</v>
      </c>
      <c r="I853">
        <v>12</v>
      </c>
      <c r="J853">
        <v>12</v>
      </c>
      <c r="K853" t="s">
        <v>60</v>
      </c>
      <c r="L853" t="s">
        <v>17</v>
      </c>
      <c r="M853" t="s">
        <v>18</v>
      </c>
      <c r="N853" t="s">
        <v>19</v>
      </c>
    </row>
    <row r="854" spans="1:14" x14ac:dyDescent="0.25">
      <c r="A854">
        <v>5407</v>
      </c>
      <c r="B854">
        <v>2389</v>
      </c>
      <c r="C854">
        <f>1/COUNTIF(B:B,pizza_sales[[#This Row],[order_id]])</f>
        <v>1</v>
      </c>
      <c r="D854" t="s">
        <v>39</v>
      </c>
      <c r="E854">
        <v>1</v>
      </c>
      <c r="F854" s="1">
        <v>42249</v>
      </c>
      <c r="G854" s="1" t="str">
        <f>TEXT(pizza_sales[[#This Row],[order_date]],"dddd")</f>
        <v>Wednesday</v>
      </c>
      <c r="H854" s="2">
        <v>0.74850694444444443</v>
      </c>
      <c r="I854">
        <v>20.25</v>
      </c>
      <c r="J854">
        <v>20.25</v>
      </c>
      <c r="K854" t="s">
        <v>58</v>
      </c>
      <c r="L854" t="s">
        <v>35</v>
      </c>
      <c r="M854" t="s">
        <v>40</v>
      </c>
      <c r="N854" t="s">
        <v>41</v>
      </c>
    </row>
    <row r="855" spans="1:14" x14ac:dyDescent="0.25">
      <c r="A855">
        <v>5408</v>
      </c>
      <c r="B855">
        <v>2390</v>
      </c>
      <c r="C855">
        <f>1/COUNTIF(B:B,pizza_sales[[#This Row],[order_id]])</f>
        <v>1</v>
      </c>
      <c r="D855" t="s">
        <v>24</v>
      </c>
      <c r="E855">
        <v>1</v>
      </c>
      <c r="F855" s="1">
        <v>42249</v>
      </c>
      <c r="G855" s="1" t="str">
        <f>TEXT(pizza_sales[[#This Row],[order_date]],"dddd")</f>
        <v>Wednesday</v>
      </c>
      <c r="H855" s="2">
        <v>0.75172453703703701</v>
      </c>
      <c r="I855">
        <v>20.25</v>
      </c>
      <c r="J855">
        <v>20.25</v>
      </c>
      <c r="K855" t="s">
        <v>58</v>
      </c>
      <c r="L855" t="s">
        <v>17</v>
      </c>
      <c r="M855" t="s">
        <v>18</v>
      </c>
      <c r="N855" t="s">
        <v>19</v>
      </c>
    </row>
    <row r="856" spans="1:14" x14ac:dyDescent="0.25">
      <c r="A856">
        <v>5414</v>
      </c>
      <c r="B856">
        <v>2393</v>
      </c>
      <c r="C856">
        <f>1/COUNTIF(B:B,pizza_sales[[#This Row],[order_id]])</f>
        <v>1</v>
      </c>
      <c r="D856" t="s">
        <v>25</v>
      </c>
      <c r="E856">
        <v>1</v>
      </c>
      <c r="F856" s="1">
        <v>42249</v>
      </c>
      <c r="G856" s="1" t="str">
        <f>TEXT(pizza_sales[[#This Row],[order_date]],"dddd")</f>
        <v>Wednesday</v>
      </c>
      <c r="H856" s="2">
        <v>0.75479166666666664</v>
      </c>
      <c r="I856">
        <v>15.25</v>
      </c>
      <c r="J856">
        <v>15.25</v>
      </c>
      <c r="K856" t="s">
        <v>58</v>
      </c>
      <c r="L856" t="s">
        <v>13</v>
      </c>
      <c r="M856" t="s">
        <v>26</v>
      </c>
      <c r="N856" t="s">
        <v>27</v>
      </c>
    </row>
    <row r="857" spans="1:14" x14ac:dyDescent="0.25">
      <c r="A857">
        <v>5423</v>
      </c>
      <c r="B857">
        <v>2396</v>
      </c>
      <c r="C857">
        <f>1/COUNTIF(B:B,pizza_sales[[#This Row],[order_id]])</f>
        <v>1</v>
      </c>
      <c r="D857" t="s">
        <v>49</v>
      </c>
      <c r="E857">
        <v>1</v>
      </c>
      <c r="F857" s="1">
        <v>42249</v>
      </c>
      <c r="G857" s="1" t="str">
        <f>TEXT(pizza_sales[[#This Row],[order_date]],"dddd")</f>
        <v>Wednesday</v>
      </c>
      <c r="H857" s="2">
        <v>0.77369212962962963</v>
      </c>
      <c r="I857">
        <v>16</v>
      </c>
      <c r="J857">
        <v>16</v>
      </c>
      <c r="K857" t="s">
        <v>59</v>
      </c>
      <c r="L857" t="s">
        <v>13</v>
      </c>
      <c r="M857" t="s">
        <v>21</v>
      </c>
      <c r="N857" t="s">
        <v>22</v>
      </c>
    </row>
    <row r="858" spans="1:14" x14ac:dyDescent="0.25">
      <c r="A858">
        <v>5425</v>
      </c>
      <c r="B858">
        <v>2397</v>
      </c>
      <c r="C858">
        <f>1/COUNTIF(B:B,pizza_sales[[#This Row],[order_id]])</f>
        <v>1</v>
      </c>
      <c r="D858" t="s">
        <v>31</v>
      </c>
      <c r="E858">
        <v>1</v>
      </c>
      <c r="F858" s="1">
        <v>42249</v>
      </c>
      <c r="G858" s="1" t="str">
        <f>TEXT(pizza_sales[[#This Row],[order_date]],"dddd")</f>
        <v>Wednesday</v>
      </c>
      <c r="H858" s="2">
        <v>0.77452546296296299</v>
      </c>
      <c r="I858">
        <v>12</v>
      </c>
      <c r="J858">
        <v>12</v>
      </c>
      <c r="K858" t="s">
        <v>60</v>
      </c>
      <c r="L858" t="s">
        <v>13</v>
      </c>
      <c r="M858" t="s">
        <v>32</v>
      </c>
      <c r="N858" t="s">
        <v>33</v>
      </c>
    </row>
    <row r="859" spans="1:14" x14ac:dyDescent="0.25">
      <c r="A859">
        <v>5428</v>
      </c>
      <c r="B859">
        <v>2398</v>
      </c>
      <c r="C859">
        <f>1/COUNTIF(B:B,pizza_sales[[#This Row],[order_id]])</f>
        <v>1</v>
      </c>
      <c r="D859" t="s">
        <v>20</v>
      </c>
      <c r="E859">
        <v>2</v>
      </c>
      <c r="F859" s="1">
        <v>42249</v>
      </c>
      <c r="G859" s="1" t="str">
        <f>TEXT(pizza_sales[[#This Row],[order_date]],"dddd")</f>
        <v>Wednesday</v>
      </c>
      <c r="H859" s="2">
        <v>0.7873148148148148</v>
      </c>
      <c r="I859">
        <v>12</v>
      </c>
      <c r="J859">
        <v>24</v>
      </c>
      <c r="K859" t="s">
        <v>60</v>
      </c>
      <c r="L859" t="s">
        <v>13</v>
      </c>
      <c r="M859" t="s">
        <v>21</v>
      </c>
      <c r="N859" t="s">
        <v>22</v>
      </c>
    </row>
    <row r="860" spans="1:14" x14ac:dyDescent="0.25">
      <c r="A860">
        <v>5430</v>
      </c>
      <c r="B860">
        <v>2399</v>
      </c>
      <c r="C860">
        <f>1/COUNTIF(B:B,pizza_sales[[#This Row],[order_id]])</f>
        <v>0.5</v>
      </c>
      <c r="D860" t="s">
        <v>45</v>
      </c>
      <c r="E860">
        <v>1</v>
      </c>
      <c r="F860" s="1">
        <v>42249</v>
      </c>
      <c r="G860" s="1" t="str">
        <f>TEXT(pizza_sales[[#This Row],[order_date]],"dddd")</f>
        <v>Wednesday</v>
      </c>
      <c r="H860" s="2">
        <v>0.79231481481481481</v>
      </c>
      <c r="I860">
        <v>10.5</v>
      </c>
      <c r="J860">
        <v>10.5</v>
      </c>
      <c r="K860" t="s">
        <v>60</v>
      </c>
      <c r="L860" t="s">
        <v>13</v>
      </c>
      <c r="M860" t="s">
        <v>14</v>
      </c>
      <c r="N860" t="s">
        <v>15</v>
      </c>
    </row>
    <row r="861" spans="1:14" x14ac:dyDescent="0.25">
      <c r="A861">
        <v>5432</v>
      </c>
      <c r="B861">
        <v>2399</v>
      </c>
      <c r="C861">
        <f>1/COUNTIF(B:B,pizza_sales[[#This Row],[order_id]])</f>
        <v>0.5</v>
      </c>
      <c r="D861" t="s">
        <v>16</v>
      </c>
      <c r="E861">
        <v>1</v>
      </c>
      <c r="F861" s="1">
        <v>42249</v>
      </c>
      <c r="G861" s="1" t="str">
        <f>TEXT(pizza_sales[[#This Row],[order_date]],"dddd")</f>
        <v>Wednesday</v>
      </c>
      <c r="H861" s="2">
        <v>0.79231481481481481</v>
      </c>
      <c r="I861">
        <v>16</v>
      </c>
      <c r="J861">
        <v>16</v>
      </c>
      <c r="K861" t="s">
        <v>59</v>
      </c>
      <c r="L861" t="s">
        <v>17</v>
      </c>
      <c r="M861" t="s">
        <v>18</v>
      </c>
      <c r="N861" t="s">
        <v>19</v>
      </c>
    </row>
    <row r="862" spans="1:14" x14ac:dyDescent="0.25">
      <c r="A862">
        <v>5435</v>
      </c>
      <c r="B862">
        <v>2401</v>
      </c>
      <c r="C862">
        <f>1/COUNTIF(B:B,pizza_sales[[#This Row],[order_id]])</f>
        <v>1</v>
      </c>
      <c r="D862" t="s">
        <v>43</v>
      </c>
      <c r="E862">
        <v>1</v>
      </c>
      <c r="F862" s="1">
        <v>42249</v>
      </c>
      <c r="G862" s="1" t="str">
        <f>TEXT(pizza_sales[[#This Row],[order_date]],"dddd")</f>
        <v>Wednesday</v>
      </c>
      <c r="H862" s="2">
        <v>0.81516203703703705</v>
      </c>
      <c r="I862">
        <v>16.25</v>
      </c>
      <c r="J862">
        <v>16.25</v>
      </c>
      <c r="K862" t="s">
        <v>59</v>
      </c>
      <c r="L862" t="s">
        <v>35</v>
      </c>
      <c r="M862" t="s">
        <v>40</v>
      </c>
      <c r="N862" t="s">
        <v>41</v>
      </c>
    </row>
    <row r="863" spans="1:14" x14ac:dyDescent="0.25">
      <c r="A863">
        <v>5439</v>
      </c>
      <c r="B863">
        <v>2403</v>
      </c>
      <c r="C863">
        <f>1/COUNTIF(B:B,pizza_sales[[#This Row],[order_id]])</f>
        <v>1</v>
      </c>
      <c r="D863" t="s">
        <v>45</v>
      </c>
      <c r="E863">
        <v>1</v>
      </c>
      <c r="F863" s="1">
        <v>42249</v>
      </c>
      <c r="G863" s="1" t="str">
        <f>TEXT(pizza_sales[[#This Row],[order_date]],"dddd")</f>
        <v>Wednesday</v>
      </c>
      <c r="H863" s="2">
        <v>0.82944444444444443</v>
      </c>
      <c r="I863">
        <v>10.5</v>
      </c>
      <c r="J863">
        <v>10.5</v>
      </c>
      <c r="K863" t="s">
        <v>60</v>
      </c>
      <c r="L863" t="s">
        <v>13</v>
      </c>
      <c r="M863" t="s">
        <v>14</v>
      </c>
      <c r="N863" t="s">
        <v>15</v>
      </c>
    </row>
    <row r="864" spans="1:14" x14ac:dyDescent="0.25">
      <c r="A864">
        <v>5442</v>
      </c>
      <c r="B864">
        <v>2404</v>
      </c>
      <c r="C864">
        <f>1/COUNTIF(B:B,pizza_sales[[#This Row],[order_id]])</f>
        <v>1</v>
      </c>
      <c r="D864" t="s">
        <v>45</v>
      </c>
      <c r="E864">
        <v>1</v>
      </c>
      <c r="F864" s="1">
        <v>42249</v>
      </c>
      <c r="G864" s="1" t="str">
        <f>TEXT(pizza_sales[[#This Row],[order_date]],"dddd")</f>
        <v>Wednesday</v>
      </c>
      <c r="H864" s="2">
        <v>0.84009259259259261</v>
      </c>
      <c r="I864">
        <v>10.5</v>
      </c>
      <c r="J864">
        <v>10.5</v>
      </c>
      <c r="K864" t="s">
        <v>60</v>
      </c>
      <c r="L864" t="s">
        <v>13</v>
      </c>
      <c r="M864" t="s">
        <v>14</v>
      </c>
      <c r="N864" t="s">
        <v>15</v>
      </c>
    </row>
    <row r="865" spans="1:14" x14ac:dyDescent="0.25">
      <c r="A865">
        <v>5446</v>
      </c>
      <c r="B865">
        <v>2406</v>
      </c>
      <c r="C865">
        <f>1/COUNTIF(B:B,pizza_sales[[#This Row],[order_id]])</f>
        <v>0.5</v>
      </c>
      <c r="D865" t="s">
        <v>28</v>
      </c>
      <c r="E865">
        <v>1</v>
      </c>
      <c r="F865" s="1">
        <v>42249</v>
      </c>
      <c r="G865" s="1" t="str">
        <f>TEXT(pizza_sales[[#This Row],[order_date]],"dddd")</f>
        <v>Wednesday</v>
      </c>
      <c r="H865" s="2">
        <v>0.88079861111111113</v>
      </c>
      <c r="I865">
        <v>12</v>
      </c>
      <c r="J865">
        <v>12</v>
      </c>
      <c r="K865" t="s">
        <v>60</v>
      </c>
      <c r="L865" t="s">
        <v>13</v>
      </c>
      <c r="M865" t="s">
        <v>29</v>
      </c>
      <c r="N865" t="s">
        <v>30</v>
      </c>
    </row>
    <row r="866" spans="1:14" x14ac:dyDescent="0.25">
      <c r="A866">
        <v>5447</v>
      </c>
      <c r="B866">
        <v>2406</v>
      </c>
      <c r="C866">
        <f>1/COUNTIF(B:B,pizza_sales[[#This Row],[order_id]])</f>
        <v>0.5</v>
      </c>
      <c r="D866" t="s">
        <v>25</v>
      </c>
      <c r="E866">
        <v>1</v>
      </c>
      <c r="F866" s="1">
        <v>42249</v>
      </c>
      <c r="G866" s="1" t="str">
        <f>TEXT(pizza_sales[[#This Row],[order_date]],"dddd")</f>
        <v>Wednesday</v>
      </c>
      <c r="H866" s="2">
        <v>0.88079861111111113</v>
      </c>
      <c r="I866">
        <v>15.25</v>
      </c>
      <c r="J866">
        <v>15.25</v>
      </c>
      <c r="K866" t="s">
        <v>58</v>
      </c>
      <c r="L866" t="s">
        <v>13</v>
      </c>
      <c r="M866" t="s">
        <v>26</v>
      </c>
      <c r="N866" t="s">
        <v>27</v>
      </c>
    </row>
    <row r="867" spans="1:14" x14ac:dyDescent="0.25">
      <c r="A867">
        <v>5452</v>
      </c>
      <c r="B867">
        <v>2409</v>
      </c>
      <c r="C867">
        <f>1/COUNTIF(B:B,pizza_sales[[#This Row],[order_id]])</f>
        <v>0.5</v>
      </c>
      <c r="D867" t="s">
        <v>25</v>
      </c>
      <c r="E867">
        <v>1</v>
      </c>
      <c r="F867" s="1">
        <v>42279</v>
      </c>
      <c r="G867" s="1" t="str">
        <f>TEXT(pizza_sales[[#This Row],[order_date]],"dddd")</f>
        <v>Friday</v>
      </c>
      <c r="H867" s="2">
        <v>0.47796296296296298</v>
      </c>
      <c r="I867">
        <v>15.25</v>
      </c>
      <c r="J867">
        <v>15.25</v>
      </c>
      <c r="K867" t="s">
        <v>58</v>
      </c>
      <c r="L867" t="s">
        <v>13</v>
      </c>
      <c r="M867" t="s">
        <v>26</v>
      </c>
      <c r="N867" t="s">
        <v>27</v>
      </c>
    </row>
    <row r="868" spans="1:14" x14ac:dyDescent="0.25">
      <c r="A868">
        <v>5454</v>
      </c>
      <c r="B868">
        <v>2409</v>
      </c>
      <c r="C868">
        <f>1/COUNTIF(B:B,pizza_sales[[#This Row],[order_id]])</f>
        <v>0.5</v>
      </c>
      <c r="D868" t="s">
        <v>55</v>
      </c>
      <c r="E868">
        <v>1</v>
      </c>
      <c r="F868" s="1">
        <v>42279</v>
      </c>
      <c r="G868" s="1" t="str">
        <f>TEXT(pizza_sales[[#This Row],[order_date]],"dddd")</f>
        <v>Friday</v>
      </c>
      <c r="H868" s="2">
        <v>0.47796296296296298</v>
      </c>
      <c r="I868">
        <v>20.5</v>
      </c>
      <c r="J868">
        <v>20.5</v>
      </c>
      <c r="K868" t="s">
        <v>58</v>
      </c>
      <c r="L868" t="s">
        <v>13</v>
      </c>
      <c r="M868" t="s">
        <v>21</v>
      </c>
      <c r="N868" t="s">
        <v>22</v>
      </c>
    </row>
    <row r="869" spans="1:14" x14ac:dyDescent="0.25">
      <c r="A869">
        <v>5455</v>
      </c>
      <c r="B869">
        <v>2410</v>
      </c>
      <c r="C869">
        <f>1/COUNTIF(B:B,pizza_sales[[#This Row],[order_id]])</f>
        <v>1</v>
      </c>
      <c r="D869" t="s">
        <v>31</v>
      </c>
      <c r="E869">
        <v>1</v>
      </c>
      <c r="F869" s="1">
        <v>42279</v>
      </c>
      <c r="G869" s="1" t="str">
        <f>TEXT(pizza_sales[[#This Row],[order_date]],"dddd")</f>
        <v>Friday</v>
      </c>
      <c r="H869" s="2">
        <v>0.48829861111111111</v>
      </c>
      <c r="I869">
        <v>12</v>
      </c>
      <c r="J869">
        <v>12</v>
      </c>
      <c r="K869" t="s">
        <v>60</v>
      </c>
      <c r="L869" t="s">
        <v>13</v>
      </c>
      <c r="M869" t="s">
        <v>32</v>
      </c>
      <c r="N869" t="s">
        <v>33</v>
      </c>
    </row>
    <row r="870" spans="1:14" x14ac:dyDescent="0.25">
      <c r="A870">
        <v>5458</v>
      </c>
      <c r="B870">
        <v>2411</v>
      </c>
      <c r="C870">
        <f>1/COUNTIF(B:B,pizza_sales[[#This Row],[order_id]])</f>
        <v>1</v>
      </c>
      <c r="D870" t="s">
        <v>34</v>
      </c>
      <c r="E870">
        <v>1</v>
      </c>
      <c r="F870" s="1">
        <v>42279</v>
      </c>
      <c r="G870" s="1" t="str">
        <f>TEXT(pizza_sales[[#This Row],[order_date]],"dddd")</f>
        <v>Friday</v>
      </c>
      <c r="H870" s="2">
        <v>0.49547453703703703</v>
      </c>
      <c r="I870">
        <v>16.25</v>
      </c>
      <c r="J870">
        <v>16.25</v>
      </c>
      <c r="K870" t="s">
        <v>59</v>
      </c>
      <c r="L870" t="s">
        <v>35</v>
      </c>
      <c r="M870" t="s">
        <v>36</v>
      </c>
      <c r="N870" t="s">
        <v>37</v>
      </c>
    </row>
    <row r="871" spans="1:14" x14ac:dyDescent="0.25">
      <c r="A871">
        <v>5462</v>
      </c>
      <c r="B871">
        <v>2415</v>
      </c>
      <c r="C871">
        <f>1/COUNTIF(B:B,pizza_sales[[#This Row],[order_id]])</f>
        <v>1</v>
      </c>
      <c r="D871" t="s">
        <v>48</v>
      </c>
      <c r="E871">
        <v>1</v>
      </c>
      <c r="F871" s="1">
        <v>42279</v>
      </c>
      <c r="G871" s="1" t="str">
        <f>TEXT(pizza_sales[[#This Row],[order_date]],"dddd")</f>
        <v>Friday</v>
      </c>
      <c r="H871" s="2">
        <v>0.52406249999999999</v>
      </c>
      <c r="I871">
        <v>12.25</v>
      </c>
      <c r="J871">
        <v>12.25</v>
      </c>
      <c r="K871" t="s">
        <v>60</v>
      </c>
      <c r="L871" t="s">
        <v>35</v>
      </c>
      <c r="M871" t="s">
        <v>40</v>
      </c>
      <c r="N871" t="s">
        <v>41</v>
      </c>
    </row>
    <row r="872" spans="1:14" x14ac:dyDescent="0.25">
      <c r="A872">
        <v>5468</v>
      </c>
      <c r="B872">
        <v>2417</v>
      </c>
      <c r="C872">
        <f>1/COUNTIF(B:B,pizza_sales[[#This Row],[order_id]])</f>
        <v>1</v>
      </c>
      <c r="D872" t="s">
        <v>31</v>
      </c>
      <c r="E872">
        <v>1</v>
      </c>
      <c r="F872" s="1">
        <v>42279</v>
      </c>
      <c r="G872" s="1" t="str">
        <f>TEXT(pizza_sales[[#This Row],[order_date]],"dddd")</f>
        <v>Friday</v>
      </c>
      <c r="H872" s="2">
        <v>0.52680555555555553</v>
      </c>
      <c r="I872">
        <v>12</v>
      </c>
      <c r="J872">
        <v>12</v>
      </c>
      <c r="K872" t="s">
        <v>60</v>
      </c>
      <c r="L872" t="s">
        <v>13</v>
      </c>
      <c r="M872" t="s">
        <v>32</v>
      </c>
      <c r="N872" t="s">
        <v>33</v>
      </c>
    </row>
    <row r="873" spans="1:14" x14ac:dyDescent="0.25">
      <c r="A873">
        <v>5471</v>
      </c>
      <c r="B873">
        <v>2419</v>
      </c>
      <c r="C873">
        <f>1/COUNTIF(B:B,pizza_sales[[#This Row],[order_id]])</f>
        <v>1</v>
      </c>
      <c r="D873" t="s">
        <v>43</v>
      </c>
      <c r="E873">
        <v>1</v>
      </c>
      <c r="F873" s="1">
        <v>42279</v>
      </c>
      <c r="G873" s="1" t="str">
        <f>TEXT(pizza_sales[[#This Row],[order_date]],"dddd")</f>
        <v>Friday</v>
      </c>
      <c r="H873" s="2">
        <v>0.52866898148148145</v>
      </c>
      <c r="I873">
        <v>16.25</v>
      </c>
      <c r="J873">
        <v>16.25</v>
      </c>
      <c r="K873" t="s">
        <v>59</v>
      </c>
      <c r="L873" t="s">
        <v>35</v>
      </c>
      <c r="M873" t="s">
        <v>40</v>
      </c>
      <c r="N873" t="s">
        <v>41</v>
      </c>
    </row>
    <row r="874" spans="1:14" x14ac:dyDescent="0.25">
      <c r="A874">
        <v>5476</v>
      </c>
      <c r="B874">
        <v>2422</v>
      </c>
      <c r="C874">
        <f>1/COUNTIF(B:B,pizza_sales[[#This Row],[order_id]])</f>
        <v>1</v>
      </c>
      <c r="D874" t="s">
        <v>42</v>
      </c>
      <c r="E874">
        <v>1</v>
      </c>
      <c r="F874" s="1">
        <v>42279</v>
      </c>
      <c r="G874" s="1" t="str">
        <f>TEXT(pizza_sales[[#This Row],[order_date]],"dddd")</f>
        <v>Friday</v>
      </c>
      <c r="H874" s="2">
        <v>0.5406481481481481</v>
      </c>
      <c r="I874">
        <v>12.5</v>
      </c>
      <c r="J874">
        <v>12.5</v>
      </c>
      <c r="K874" t="s">
        <v>59</v>
      </c>
      <c r="L874" t="s">
        <v>13</v>
      </c>
      <c r="M874" t="s">
        <v>26</v>
      </c>
      <c r="N874" t="s">
        <v>27</v>
      </c>
    </row>
    <row r="875" spans="1:14" x14ac:dyDescent="0.25">
      <c r="A875">
        <v>5478</v>
      </c>
      <c r="B875">
        <v>2423</v>
      </c>
      <c r="C875">
        <f>1/COUNTIF(B:B,pizza_sales[[#This Row],[order_id]])</f>
        <v>0.5</v>
      </c>
      <c r="D875" t="s">
        <v>12</v>
      </c>
      <c r="E875">
        <v>1</v>
      </c>
      <c r="F875" s="1">
        <v>42279</v>
      </c>
      <c r="G875" s="1" t="str">
        <f>TEXT(pizza_sales[[#This Row],[order_date]],"dddd")</f>
        <v>Friday</v>
      </c>
      <c r="H875" s="2">
        <v>0.54451388888888885</v>
      </c>
      <c r="I875">
        <v>13.25</v>
      </c>
      <c r="J875">
        <v>13.25</v>
      </c>
      <c r="K875" t="s">
        <v>59</v>
      </c>
      <c r="L875" t="s">
        <v>13</v>
      </c>
      <c r="M875" t="s">
        <v>14</v>
      </c>
      <c r="N875" t="s">
        <v>15</v>
      </c>
    </row>
    <row r="876" spans="1:14" x14ac:dyDescent="0.25">
      <c r="A876">
        <v>5479</v>
      </c>
      <c r="B876">
        <v>2423</v>
      </c>
      <c r="C876">
        <f>1/COUNTIF(B:B,pizza_sales[[#This Row],[order_id]])</f>
        <v>0.5</v>
      </c>
      <c r="D876" t="s">
        <v>50</v>
      </c>
      <c r="E876">
        <v>1</v>
      </c>
      <c r="F876" s="1">
        <v>42279</v>
      </c>
      <c r="G876" s="1" t="str">
        <f>TEXT(pizza_sales[[#This Row],[order_date]],"dddd")</f>
        <v>Friday</v>
      </c>
      <c r="H876" s="2">
        <v>0.54451388888888885</v>
      </c>
      <c r="I876">
        <v>16</v>
      </c>
      <c r="J876">
        <v>16</v>
      </c>
      <c r="K876" t="s">
        <v>59</v>
      </c>
      <c r="L876" t="s">
        <v>13</v>
      </c>
      <c r="M876" t="s">
        <v>32</v>
      </c>
      <c r="N876" t="s">
        <v>33</v>
      </c>
    </row>
    <row r="877" spans="1:14" x14ac:dyDescent="0.25">
      <c r="A877">
        <v>5481</v>
      </c>
      <c r="B877">
        <v>2424</v>
      </c>
      <c r="C877">
        <f>1/COUNTIF(B:B,pizza_sales[[#This Row],[order_id]])</f>
        <v>0.5</v>
      </c>
      <c r="D877" t="s">
        <v>51</v>
      </c>
      <c r="E877">
        <v>1</v>
      </c>
      <c r="F877" s="1">
        <v>42279</v>
      </c>
      <c r="G877" s="1" t="str">
        <f>TEXT(pizza_sales[[#This Row],[order_date]],"dddd")</f>
        <v>Friday</v>
      </c>
      <c r="H877" s="2">
        <v>0.54471064814814818</v>
      </c>
      <c r="I877">
        <v>23.65</v>
      </c>
      <c r="J877">
        <v>23.65</v>
      </c>
      <c r="K877" t="s">
        <v>60</v>
      </c>
      <c r="L877" t="s">
        <v>35</v>
      </c>
      <c r="M877" t="s">
        <v>52</v>
      </c>
      <c r="N877" t="s">
        <v>53</v>
      </c>
    </row>
    <row r="878" spans="1:14" x14ac:dyDescent="0.25">
      <c r="A878">
        <v>5482</v>
      </c>
      <c r="B878">
        <v>2424</v>
      </c>
      <c r="C878">
        <f>1/COUNTIF(B:B,pizza_sales[[#This Row],[order_id]])</f>
        <v>0.5</v>
      </c>
      <c r="D878" t="s">
        <v>50</v>
      </c>
      <c r="E878">
        <v>1</v>
      </c>
      <c r="F878" s="1">
        <v>42279</v>
      </c>
      <c r="G878" s="1" t="str">
        <f>TEXT(pizza_sales[[#This Row],[order_date]],"dddd")</f>
        <v>Friday</v>
      </c>
      <c r="H878" s="2">
        <v>0.54471064814814818</v>
      </c>
      <c r="I878">
        <v>16</v>
      </c>
      <c r="J878">
        <v>16</v>
      </c>
      <c r="K878" t="s">
        <v>59</v>
      </c>
      <c r="L878" t="s">
        <v>13</v>
      </c>
      <c r="M878" t="s">
        <v>32</v>
      </c>
      <c r="N878" t="s">
        <v>33</v>
      </c>
    </row>
    <row r="879" spans="1:14" x14ac:dyDescent="0.25">
      <c r="A879">
        <v>5488</v>
      </c>
      <c r="B879">
        <v>2428</v>
      </c>
      <c r="C879">
        <f>1/COUNTIF(B:B,pizza_sales[[#This Row],[order_id]])</f>
        <v>1</v>
      </c>
      <c r="D879" t="s">
        <v>39</v>
      </c>
      <c r="E879">
        <v>1</v>
      </c>
      <c r="F879" s="1">
        <v>42279</v>
      </c>
      <c r="G879" s="1" t="str">
        <f>TEXT(pizza_sales[[#This Row],[order_date]],"dddd")</f>
        <v>Friday</v>
      </c>
      <c r="H879" s="2">
        <v>0.57318287037037041</v>
      </c>
      <c r="I879">
        <v>20.25</v>
      </c>
      <c r="J879">
        <v>20.25</v>
      </c>
      <c r="K879" t="s">
        <v>58</v>
      </c>
      <c r="L879" t="s">
        <v>35</v>
      </c>
      <c r="M879" t="s">
        <v>40</v>
      </c>
      <c r="N879" t="s">
        <v>41</v>
      </c>
    </row>
    <row r="880" spans="1:14" x14ac:dyDescent="0.25">
      <c r="A880">
        <v>5490</v>
      </c>
      <c r="B880">
        <v>2430</v>
      </c>
      <c r="C880">
        <f>1/COUNTIF(B:B,pizza_sales[[#This Row],[order_id]])</f>
        <v>0.5</v>
      </c>
      <c r="D880" t="s">
        <v>24</v>
      </c>
      <c r="E880">
        <v>1</v>
      </c>
      <c r="F880" s="1">
        <v>42279</v>
      </c>
      <c r="G880" s="1" t="str">
        <f>TEXT(pizza_sales[[#This Row],[order_date]],"dddd")</f>
        <v>Friday</v>
      </c>
      <c r="H880" s="2">
        <v>0.57976851851851852</v>
      </c>
      <c r="I880">
        <v>20.25</v>
      </c>
      <c r="J880">
        <v>20.25</v>
      </c>
      <c r="K880" t="s">
        <v>58</v>
      </c>
      <c r="L880" t="s">
        <v>17</v>
      </c>
      <c r="M880" t="s">
        <v>18</v>
      </c>
      <c r="N880" t="s">
        <v>19</v>
      </c>
    </row>
    <row r="881" spans="1:14" x14ac:dyDescent="0.25">
      <c r="A881">
        <v>5491</v>
      </c>
      <c r="B881">
        <v>2430</v>
      </c>
      <c r="C881">
        <f>1/COUNTIF(B:B,pizza_sales[[#This Row],[order_id]])</f>
        <v>0.5</v>
      </c>
      <c r="D881" t="s">
        <v>38</v>
      </c>
      <c r="E881">
        <v>1</v>
      </c>
      <c r="F881" s="1">
        <v>42279</v>
      </c>
      <c r="G881" s="1" t="str">
        <f>TEXT(pizza_sales[[#This Row],[order_date]],"dddd")</f>
        <v>Friday</v>
      </c>
      <c r="H881" s="2">
        <v>0.57976851851851852</v>
      </c>
      <c r="I881">
        <v>20.5</v>
      </c>
      <c r="J881">
        <v>20.5</v>
      </c>
      <c r="K881" t="s">
        <v>58</v>
      </c>
      <c r="L881" t="s">
        <v>13</v>
      </c>
      <c r="M881" t="s">
        <v>32</v>
      </c>
      <c r="N881" t="s">
        <v>33</v>
      </c>
    </row>
    <row r="882" spans="1:14" x14ac:dyDescent="0.25">
      <c r="A882">
        <v>5497</v>
      </c>
      <c r="B882">
        <v>2431</v>
      </c>
      <c r="C882">
        <f>1/COUNTIF(B:B,pizza_sales[[#This Row],[order_id]])</f>
        <v>0.33333333333333331</v>
      </c>
      <c r="D882" t="s">
        <v>38</v>
      </c>
      <c r="E882">
        <v>1</v>
      </c>
      <c r="F882" s="1">
        <v>42279</v>
      </c>
      <c r="G882" s="1" t="str">
        <f>TEXT(pizza_sales[[#This Row],[order_date]],"dddd")</f>
        <v>Friday</v>
      </c>
      <c r="H882" s="2">
        <v>0.58782407407407411</v>
      </c>
      <c r="I882">
        <v>20.5</v>
      </c>
      <c r="J882">
        <v>20.5</v>
      </c>
      <c r="K882" t="s">
        <v>58</v>
      </c>
      <c r="L882" t="s">
        <v>13</v>
      </c>
      <c r="M882" t="s">
        <v>32</v>
      </c>
      <c r="N882" t="s">
        <v>33</v>
      </c>
    </row>
    <row r="883" spans="1:14" x14ac:dyDescent="0.25">
      <c r="A883">
        <v>5498</v>
      </c>
      <c r="B883">
        <v>2431</v>
      </c>
      <c r="C883">
        <f>1/COUNTIF(B:B,pizza_sales[[#This Row],[order_id]])</f>
        <v>0.33333333333333331</v>
      </c>
      <c r="D883" t="s">
        <v>43</v>
      </c>
      <c r="E883">
        <v>1</v>
      </c>
      <c r="F883" s="1">
        <v>42279</v>
      </c>
      <c r="G883" s="1" t="str">
        <f>TEXT(pizza_sales[[#This Row],[order_date]],"dddd")</f>
        <v>Friday</v>
      </c>
      <c r="H883" s="2">
        <v>0.58782407407407411</v>
      </c>
      <c r="I883">
        <v>16.25</v>
      </c>
      <c r="J883">
        <v>16.25</v>
      </c>
      <c r="K883" t="s">
        <v>59</v>
      </c>
      <c r="L883" t="s">
        <v>35</v>
      </c>
      <c r="M883" t="s">
        <v>40</v>
      </c>
      <c r="N883" t="s">
        <v>41</v>
      </c>
    </row>
    <row r="884" spans="1:14" x14ac:dyDescent="0.25">
      <c r="A884">
        <v>5499</v>
      </c>
      <c r="B884">
        <v>2431</v>
      </c>
      <c r="C884">
        <f>1/COUNTIF(B:B,pizza_sales[[#This Row],[order_id]])</f>
        <v>0.33333333333333331</v>
      </c>
      <c r="D884" t="s">
        <v>48</v>
      </c>
      <c r="E884">
        <v>2</v>
      </c>
      <c r="F884" s="1">
        <v>42279</v>
      </c>
      <c r="G884" s="1" t="str">
        <f>TEXT(pizza_sales[[#This Row],[order_date]],"dddd")</f>
        <v>Friday</v>
      </c>
      <c r="H884" s="2">
        <v>0.58782407407407411</v>
      </c>
      <c r="I884">
        <v>12.25</v>
      </c>
      <c r="J884">
        <v>24.5</v>
      </c>
      <c r="K884" t="s">
        <v>60</v>
      </c>
      <c r="L884" t="s">
        <v>35</v>
      </c>
      <c r="M884" t="s">
        <v>40</v>
      </c>
      <c r="N884" t="s">
        <v>41</v>
      </c>
    </row>
    <row r="885" spans="1:14" x14ac:dyDescent="0.25">
      <c r="A885">
        <v>5503</v>
      </c>
      <c r="B885">
        <v>2432</v>
      </c>
      <c r="C885">
        <f>1/COUNTIF(B:B,pizza_sales[[#This Row],[order_id]])</f>
        <v>0.5</v>
      </c>
      <c r="D885" t="s">
        <v>48</v>
      </c>
      <c r="E885">
        <v>1</v>
      </c>
      <c r="F885" s="1">
        <v>42279</v>
      </c>
      <c r="G885" s="1" t="str">
        <f>TEXT(pizza_sales[[#This Row],[order_date]],"dddd")</f>
        <v>Friday</v>
      </c>
      <c r="H885" s="2">
        <v>0.5915393518518518</v>
      </c>
      <c r="I885">
        <v>12.25</v>
      </c>
      <c r="J885">
        <v>12.25</v>
      </c>
      <c r="K885" t="s">
        <v>60</v>
      </c>
      <c r="L885" t="s">
        <v>35</v>
      </c>
      <c r="M885" t="s">
        <v>40</v>
      </c>
      <c r="N885" t="s">
        <v>41</v>
      </c>
    </row>
    <row r="886" spans="1:14" x14ac:dyDescent="0.25">
      <c r="A886">
        <v>5504</v>
      </c>
      <c r="B886">
        <v>2432</v>
      </c>
      <c r="C886">
        <f>1/COUNTIF(B:B,pizza_sales[[#This Row],[order_id]])</f>
        <v>0.5</v>
      </c>
      <c r="D886" t="s">
        <v>46</v>
      </c>
      <c r="E886">
        <v>1</v>
      </c>
      <c r="F886" s="1">
        <v>42279</v>
      </c>
      <c r="G886" s="1" t="str">
        <f>TEXT(pizza_sales[[#This Row],[order_date]],"dddd")</f>
        <v>Friday</v>
      </c>
      <c r="H886" s="2">
        <v>0.5915393518518518</v>
      </c>
      <c r="I886">
        <v>25.5</v>
      </c>
      <c r="J886">
        <v>25.5</v>
      </c>
      <c r="K886" t="s">
        <v>61</v>
      </c>
      <c r="L886" t="s">
        <v>13</v>
      </c>
      <c r="M886" t="s">
        <v>21</v>
      </c>
      <c r="N886" t="s">
        <v>22</v>
      </c>
    </row>
    <row r="887" spans="1:14" x14ac:dyDescent="0.25">
      <c r="A887">
        <v>5509</v>
      </c>
      <c r="B887">
        <v>2435</v>
      </c>
      <c r="C887">
        <f>1/COUNTIF(B:B,pizza_sales[[#This Row],[order_id]])</f>
        <v>1</v>
      </c>
      <c r="D887" t="s">
        <v>16</v>
      </c>
      <c r="E887">
        <v>1</v>
      </c>
      <c r="F887" s="1">
        <v>42279</v>
      </c>
      <c r="G887" s="1" t="str">
        <f>TEXT(pizza_sales[[#This Row],[order_date]],"dddd")</f>
        <v>Friday</v>
      </c>
      <c r="H887" s="2">
        <v>0.60333333333333339</v>
      </c>
      <c r="I887">
        <v>16</v>
      </c>
      <c r="J887">
        <v>16</v>
      </c>
      <c r="K887" t="s">
        <v>59</v>
      </c>
      <c r="L887" t="s">
        <v>17</v>
      </c>
      <c r="M887" t="s">
        <v>18</v>
      </c>
      <c r="N887" t="s">
        <v>19</v>
      </c>
    </row>
    <row r="888" spans="1:14" x14ac:dyDescent="0.25">
      <c r="A888">
        <v>5513</v>
      </c>
      <c r="B888">
        <v>2437</v>
      </c>
      <c r="C888">
        <f>1/COUNTIF(B:B,pizza_sales[[#This Row],[order_id]])</f>
        <v>1</v>
      </c>
      <c r="D888" t="s">
        <v>48</v>
      </c>
      <c r="E888">
        <v>1</v>
      </c>
      <c r="F888" s="1">
        <v>42279</v>
      </c>
      <c r="G888" s="1" t="str">
        <f>TEXT(pizza_sales[[#This Row],[order_date]],"dddd")</f>
        <v>Friday</v>
      </c>
      <c r="H888" s="2">
        <v>0.62578703703703709</v>
      </c>
      <c r="I888">
        <v>12.25</v>
      </c>
      <c r="J888">
        <v>12.25</v>
      </c>
      <c r="K888" t="s">
        <v>60</v>
      </c>
      <c r="L888" t="s">
        <v>35</v>
      </c>
      <c r="M888" t="s">
        <v>40</v>
      </c>
      <c r="N888" t="s">
        <v>41</v>
      </c>
    </row>
    <row r="889" spans="1:14" x14ac:dyDescent="0.25">
      <c r="A889">
        <v>5514</v>
      </c>
      <c r="B889">
        <v>2438</v>
      </c>
      <c r="C889">
        <f>1/COUNTIF(B:B,pizza_sales[[#This Row],[order_id]])</f>
        <v>1</v>
      </c>
      <c r="D889" t="s">
        <v>48</v>
      </c>
      <c r="E889">
        <v>1</v>
      </c>
      <c r="F889" s="1">
        <v>42279</v>
      </c>
      <c r="G889" s="1" t="str">
        <f>TEXT(pizza_sales[[#This Row],[order_date]],"dddd")</f>
        <v>Friday</v>
      </c>
      <c r="H889" s="2">
        <v>0.64687499999999998</v>
      </c>
      <c r="I889">
        <v>12.25</v>
      </c>
      <c r="J889">
        <v>12.25</v>
      </c>
      <c r="K889" t="s">
        <v>60</v>
      </c>
      <c r="L889" t="s">
        <v>35</v>
      </c>
      <c r="M889" t="s">
        <v>40</v>
      </c>
      <c r="N889" t="s">
        <v>41</v>
      </c>
    </row>
    <row r="890" spans="1:14" x14ac:dyDescent="0.25">
      <c r="A890">
        <v>5515</v>
      </c>
      <c r="B890">
        <v>2439</v>
      </c>
      <c r="C890">
        <f>1/COUNTIF(B:B,pizza_sales[[#This Row],[order_id]])</f>
        <v>1</v>
      </c>
      <c r="D890" t="s">
        <v>38</v>
      </c>
      <c r="E890">
        <v>1</v>
      </c>
      <c r="F890" s="1">
        <v>42279</v>
      </c>
      <c r="G890" s="1" t="str">
        <f>TEXT(pizza_sales[[#This Row],[order_date]],"dddd")</f>
        <v>Friday</v>
      </c>
      <c r="H890" s="2">
        <v>0.69682870370370376</v>
      </c>
      <c r="I890">
        <v>20.5</v>
      </c>
      <c r="J890">
        <v>20.5</v>
      </c>
      <c r="K890" t="s">
        <v>58</v>
      </c>
      <c r="L890" t="s">
        <v>13</v>
      </c>
      <c r="M890" t="s">
        <v>32</v>
      </c>
      <c r="N890" t="s">
        <v>33</v>
      </c>
    </row>
    <row r="891" spans="1:14" x14ac:dyDescent="0.25">
      <c r="A891">
        <v>5519</v>
      </c>
      <c r="B891">
        <v>2440</v>
      </c>
      <c r="C891">
        <f>1/COUNTIF(B:B,pizza_sales[[#This Row],[order_id]])</f>
        <v>1</v>
      </c>
      <c r="D891" t="s">
        <v>44</v>
      </c>
      <c r="E891">
        <v>1</v>
      </c>
      <c r="F891" s="1">
        <v>42279</v>
      </c>
      <c r="G891" s="1" t="str">
        <f>TEXT(pizza_sales[[#This Row],[order_date]],"dddd")</f>
        <v>Friday</v>
      </c>
      <c r="H891" s="2">
        <v>0.69716435185185188</v>
      </c>
      <c r="I891">
        <v>9.75</v>
      </c>
      <c r="J891">
        <v>9.75</v>
      </c>
      <c r="K891" t="s">
        <v>60</v>
      </c>
      <c r="L891" t="s">
        <v>13</v>
      </c>
      <c r="M891" t="s">
        <v>26</v>
      </c>
      <c r="N891" t="s">
        <v>27</v>
      </c>
    </row>
    <row r="892" spans="1:14" x14ac:dyDescent="0.25">
      <c r="A892">
        <v>5522</v>
      </c>
      <c r="B892">
        <v>2442</v>
      </c>
      <c r="C892">
        <f>1/COUNTIF(B:B,pizza_sales[[#This Row],[order_id]])</f>
        <v>1</v>
      </c>
      <c r="D892" t="s">
        <v>51</v>
      </c>
      <c r="E892">
        <v>1</v>
      </c>
      <c r="F892" s="1">
        <v>42279</v>
      </c>
      <c r="G892" s="1" t="str">
        <f>TEXT(pizza_sales[[#This Row],[order_date]],"dddd")</f>
        <v>Friday</v>
      </c>
      <c r="H892" s="2">
        <v>0.70113425925925921</v>
      </c>
      <c r="I892">
        <v>23.65</v>
      </c>
      <c r="J892">
        <v>23.65</v>
      </c>
      <c r="K892" t="s">
        <v>60</v>
      </c>
      <c r="L892" t="s">
        <v>35</v>
      </c>
      <c r="M892" t="s">
        <v>52</v>
      </c>
      <c r="N892" t="s">
        <v>53</v>
      </c>
    </row>
    <row r="893" spans="1:14" x14ac:dyDescent="0.25">
      <c r="A893">
        <v>5526</v>
      </c>
      <c r="B893">
        <v>2444</v>
      </c>
      <c r="C893">
        <f>1/COUNTIF(B:B,pizza_sales[[#This Row],[order_id]])</f>
        <v>1</v>
      </c>
      <c r="D893" t="s">
        <v>44</v>
      </c>
      <c r="E893">
        <v>1</v>
      </c>
      <c r="F893" s="1">
        <v>42279</v>
      </c>
      <c r="G893" s="1" t="str">
        <f>TEXT(pizza_sales[[#This Row],[order_date]],"dddd")</f>
        <v>Friday</v>
      </c>
      <c r="H893" s="2">
        <v>0.71038194444444447</v>
      </c>
      <c r="I893">
        <v>9.75</v>
      </c>
      <c r="J893">
        <v>9.75</v>
      </c>
      <c r="K893" t="s">
        <v>60</v>
      </c>
      <c r="L893" t="s">
        <v>13</v>
      </c>
      <c r="M893" t="s">
        <v>26</v>
      </c>
      <c r="N893" t="s">
        <v>27</v>
      </c>
    </row>
    <row r="894" spans="1:14" x14ac:dyDescent="0.25">
      <c r="A894">
        <v>5527</v>
      </c>
      <c r="B894">
        <v>2445</v>
      </c>
      <c r="C894">
        <f>1/COUNTIF(B:B,pizza_sales[[#This Row],[order_id]])</f>
        <v>0.5</v>
      </c>
      <c r="D894" t="s">
        <v>28</v>
      </c>
      <c r="E894">
        <v>1</v>
      </c>
      <c r="F894" s="1">
        <v>42279</v>
      </c>
      <c r="G894" s="1" t="str">
        <f>TEXT(pizza_sales[[#This Row],[order_date]],"dddd")</f>
        <v>Friday</v>
      </c>
      <c r="H894" s="2">
        <v>0.71581018518518513</v>
      </c>
      <c r="I894">
        <v>12</v>
      </c>
      <c r="J894">
        <v>12</v>
      </c>
      <c r="K894" t="s">
        <v>60</v>
      </c>
      <c r="L894" t="s">
        <v>13</v>
      </c>
      <c r="M894" t="s">
        <v>29</v>
      </c>
      <c r="N894" t="s">
        <v>30</v>
      </c>
    </row>
    <row r="895" spans="1:14" x14ac:dyDescent="0.25">
      <c r="A895">
        <v>5529</v>
      </c>
      <c r="B895">
        <v>2445</v>
      </c>
      <c r="C895">
        <f>1/COUNTIF(B:B,pizza_sales[[#This Row],[order_id]])</f>
        <v>0.5</v>
      </c>
      <c r="D895" t="s">
        <v>24</v>
      </c>
      <c r="E895">
        <v>1</v>
      </c>
      <c r="F895" s="1">
        <v>42279</v>
      </c>
      <c r="G895" s="1" t="str">
        <f>TEXT(pizza_sales[[#This Row],[order_date]],"dddd")</f>
        <v>Friday</v>
      </c>
      <c r="H895" s="2">
        <v>0.71581018518518513</v>
      </c>
      <c r="I895">
        <v>20.25</v>
      </c>
      <c r="J895">
        <v>20.25</v>
      </c>
      <c r="K895" t="s">
        <v>58</v>
      </c>
      <c r="L895" t="s">
        <v>17</v>
      </c>
      <c r="M895" t="s">
        <v>18</v>
      </c>
      <c r="N895" t="s">
        <v>19</v>
      </c>
    </row>
    <row r="896" spans="1:14" x14ac:dyDescent="0.25">
      <c r="A896">
        <v>5539</v>
      </c>
      <c r="B896">
        <v>2451</v>
      </c>
      <c r="C896">
        <f>1/COUNTIF(B:B,pizza_sales[[#This Row],[order_id]])</f>
        <v>1</v>
      </c>
      <c r="D896" t="s">
        <v>42</v>
      </c>
      <c r="E896">
        <v>1</v>
      </c>
      <c r="F896" s="1">
        <v>42279</v>
      </c>
      <c r="G896" s="1" t="str">
        <f>TEXT(pizza_sales[[#This Row],[order_date]],"dddd")</f>
        <v>Friday</v>
      </c>
      <c r="H896" s="2">
        <v>0.74922453703703706</v>
      </c>
      <c r="I896">
        <v>12.5</v>
      </c>
      <c r="J896">
        <v>12.5</v>
      </c>
      <c r="K896" t="s">
        <v>59</v>
      </c>
      <c r="L896" t="s">
        <v>13</v>
      </c>
      <c r="M896" t="s">
        <v>26</v>
      </c>
      <c r="N896" t="s">
        <v>27</v>
      </c>
    </row>
    <row r="897" spans="1:14" x14ac:dyDescent="0.25">
      <c r="A897">
        <v>5547</v>
      </c>
      <c r="B897">
        <v>2455</v>
      </c>
      <c r="C897">
        <f>1/COUNTIF(B:B,pizza_sales[[#This Row],[order_id]])</f>
        <v>0.5</v>
      </c>
      <c r="D897" t="s">
        <v>24</v>
      </c>
      <c r="E897">
        <v>1</v>
      </c>
      <c r="F897" s="1">
        <v>42279</v>
      </c>
      <c r="G897" s="1" t="str">
        <f>TEXT(pizza_sales[[#This Row],[order_date]],"dddd")</f>
        <v>Friday</v>
      </c>
      <c r="H897" s="2">
        <v>0.79685185185185181</v>
      </c>
      <c r="I897">
        <v>20.25</v>
      </c>
      <c r="J897">
        <v>20.25</v>
      </c>
      <c r="K897" t="s">
        <v>58</v>
      </c>
      <c r="L897" t="s">
        <v>17</v>
      </c>
      <c r="M897" t="s">
        <v>18</v>
      </c>
      <c r="N897" t="s">
        <v>19</v>
      </c>
    </row>
    <row r="898" spans="1:14" x14ac:dyDescent="0.25">
      <c r="A898">
        <v>5550</v>
      </c>
      <c r="B898">
        <v>2455</v>
      </c>
      <c r="C898">
        <f>1/COUNTIF(B:B,pizza_sales[[#This Row],[order_id]])</f>
        <v>0.5</v>
      </c>
      <c r="D898" t="s">
        <v>20</v>
      </c>
      <c r="E898">
        <v>1</v>
      </c>
      <c r="F898" s="1">
        <v>42279</v>
      </c>
      <c r="G898" s="1" t="str">
        <f>TEXT(pizza_sales[[#This Row],[order_date]],"dddd")</f>
        <v>Friday</v>
      </c>
      <c r="H898" s="2">
        <v>0.79685185185185181</v>
      </c>
      <c r="I898">
        <v>12</v>
      </c>
      <c r="J898">
        <v>12</v>
      </c>
      <c r="K898" t="s">
        <v>60</v>
      </c>
      <c r="L898" t="s">
        <v>13</v>
      </c>
      <c r="M898" t="s">
        <v>21</v>
      </c>
      <c r="N898" t="s">
        <v>22</v>
      </c>
    </row>
    <row r="899" spans="1:14" x14ac:dyDescent="0.25">
      <c r="A899">
        <v>5554</v>
      </c>
      <c r="B899">
        <v>2456</v>
      </c>
      <c r="C899">
        <f>1/COUNTIF(B:B,pizza_sales[[#This Row],[order_id]])</f>
        <v>1</v>
      </c>
      <c r="D899" t="s">
        <v>42</v>
      </c>
      <c r="E899">
        <v>1</v>
      </c>
      <c r="F899" s="1">
        <v>42279</v>
      </c>
      <c r="G899" s="1" t="str">
        <f>TEXT(pizza_sales[[#This Row],[order_date]],"dddd")</f>
        <v>Friday</v>
      </c>
      <c r="H899" s="2">
        <v>0.80486111111111114</v>
      </c>
      <c r="I899">
        <v>12.5</v>
      </c>
      <c r="J899">
        <v>12.5</v>
      </c>
      <c r="K899" t="s">
        <v>59</v>
      </c>
      <c r="L899" t="s">
        <v>13</v>
      </c>
      <c r="M899" t="s">
        <v>26</v>
      </c>
      <c r="N899" t="s">
        <v>27</v>
      </c>
    </row>
    <row r="900" spans="1:14" x14ac:dyDescent="0.25">
      <c r="A900">
        <v>5555</v>
      </c>
      <c r="B900">
        <v>2457</v>
      </c>
      <c r="C900">
        <f>1/COUNTIF(B:B,pizza_sales[[#This Row],[order_id]])</f>
        <v>1</v>
      </c>
      <c r="D900" t="s">
        <v>38</v>
      </c>
      <c r="E900">
        <v>1</v>
      </c>
      <c r="F900" s="1">
        <v>42279</v>
      </c>
      <c r="G900" s="1" t="str">
        <f>TEXT(pizza_sales[[#This Row],[order_date]],"dddd")</f>
        <v>Friday</v>
      </c>
      <c r="H900" s="2">
        <v>0.83442129629629624</v>
      </c>
      <c r="I900">
        <v>20.5</v>
      </c>
      <c r="J900">
        <v>20.5</v>
      </c>
      <c r="K900" t="s">
        <v>58</v>
      </c>
      <c r="L900" t="s">
        <v>13</v>
      </c>
      <c r="M900" t="s">
        <v>32</v>
      </c>
      <c r="N900" t="s">
        <v>33</v>
      </c>
    </row>
    <row r="901" spans="1:14" x14ac:dyDescent="0.25">
      <c r="A901">
        <v>5557</v>
      </c>
      <c r="B901">
        <v>2458</v>
      </c>
      <c r="C901">
        <f>1/COUNTIF(B:B,pizza_sales[[#This Row],[order_id]])</f>
        <v>1</v>
      </c>
      <c r="D901" t="s">
        <v>25</v>
      </c>
      <c r="E901">
        <v>1</v>
      </c>
      <c r="F901" s="1">
        <v>42279</v>
      </c>
      <c r="G901" s="1" t="str">
        <f>TEXT(pizza_sales[[#This Row],[order_date]],"dddd")</f>
        <v>Friday</v>
      </c>
      <c r="H901" s="2">
        <v>0.83978009259259256</v>
      </c>
      <c r="I901">
        <v>15.25</v>
      </c>
      <c r="J901">
        <v>15.25</v>
      </c>
      <c r="K901" t="s">
        <v>58</v>
      </c>
      <c r="L901" t="s">
        <v>13</v>
      </c>
      <c r="M901" t="s">
        <v>26</v>
      </c>
      <c r="N901" t="s">
        <v>27</v>
      </c>
    </row>
    <row r="902" spans="1:14" x14ac:dyDescent="0.25">
      <c r="A902">
        <v>5562</v>
      </c>
      <c r="B902">
        <v>2460</v>
      </c>
      <c r="C902">
        <f>1/COUNTIF(B:B,pizza_sales[[#This Row],[order_id]])</f>
        <v>1</v>
      </c>
      <c r="D902" t="s">
        <v>31</v>
      </c>
      <c r="E902">
        <v>1</v>
      </c>
      <c r="F902" s="1">
        <v>42279</v>
      </c>
      <c r="G902" s="1" t="str">
        <f>TEXT(pizza_sales[[#This Row],[order_date]],"dddd")</f>
        <v>Friday</v>
      </c>
      <c r="H902" s="2">
        <v>0.84251157407407407</v>
      </c>
      <c r="I902">
        <v>12</v>
      </c>
      <c r="J902">
        <v>12</v>
      </c>
      <c r="K902" t="s">
        <v>60</v>
      </c>
      <c r="L902" t="s">
        <v>13</v>
      </c>
      <c r="M902" t="s">
        <v>32</v>
      </c>
      <c r="N902" t="s">
        <v>33</v>
      </c>
    </row>
    <row r="903" spans="1:14" x14ac:dyDescent="0.25">
      <c r="A903">
        <v>5567</v>
      </c>
      <c r="B903">
        <v>2463</v>
      </c>
      <c r="C903">
        <f>1/COUNTIF(B:B,pizza_sales[[#This Row],[order_id]])</f>
        <v>1</v>
      </c>
      <c r="D903" t="s">
        <v>39</v>
      </c>
      <c r="E903">
        <v>1</v>
      </c>
      <c r="F903" s="1">
        <v>42279</v>
      </c>
      <c r="G903" s="1" t="str">
        <f>TEXT(pizza_sales[[#This Row],[order_date]],"dddd")</f>
        <v>Friday</v>
      </c>
      <c r="H903" s="2">
        <v>0.84745370370370365</v>
      </c>
      <c r="I903">
        <v>20.25</v>
      </c>
      <c r="J903">
        <v>20.25</v>
      </c>
      <c r="K903" t="s">
        <v>58</v>
      </c>
      <c r="L903" t="s">
        <v>35</v>
      </c>
      <c r="M903" t="s">
        <v>40</v>
      </c>
      <c r="N903" t="s">
        <v>41</v>
      </c>
    </row>
    <row r="904" spans="1:14" x14ac:dyDescent="0.25">
      <c r="A904">
        <v>5569</v>
      </c>
      <c r="B904">
        <v>2465</v>
      </c>
      <c r="C904">
        <f>1/COUNTIF(B:B,pizza_sales[[#This Row],[order_id]])</f>
        <v>0.5</v>
      </c>
      <c r="D904" t="s">
        <v>51</v>
      </c>
      <c r="E904">
        <v>1</v>
      </c>
      <c r="F904" s="1">
        <v>42279</v>
      </c>
      <c r="G904" s="1" t="str">
        <f>TEXT(pizza_sales[[#This Row],[order_date]],"dddd")</f>
        <v>Friday</v>
      </c>
      <c r="H904" s="2">
        <v>0.85667824074074073</v>
      </c>
      <c r="I904">
        <v>23.65</v>
      </c>
      <c r="J904">
        <v>23.65</v>
      </c>
      <c r="K904" t="s">
        <v>60</v>
      </c>
      <c r="L904" t="s">
        <v>35</v>
      </c>
      <c r="M904" t="s">
        <v>52</v>
      </c>
      <c r="N904" t="s">
        <v>53</v>
      </c>
    </row>
    <row r="905" spans="1:14" x14ac:dyDescent="0.25">
      <c r="A905">
        <v>5570</v>
      </c>
      <c r="B905">
        <v>2465</v>
      </c>
      <c r="C905">
        <f>1/COUNTIF(B:B,pizza_sales[[#This Row],[order_id]])</f>
        <v>0.5</v>
      </c>
      <c r="D905" t="s">
        <v>43</v>
      </c>
      <c r="E905">
        <v>1</v>
      </c>
      <c r="F905" s="1">
        <v>42279</v>
      </c>
      <c r="G905" s="1" t="str">
        <f>TEXT(pizza_sales[[#This Row],[order_date]],"dddd")</f>
        <v>Friday</v>
      </c>
      <c r="H905" s="2">
        <v>0.85667824074074073</v>
      </c>
      <c r="I905">
        <v>16.25</v>
      </c>
      <c r="J905">
        <v>16.25</v>
      </c>
      <c r="K905" t="s">
        <v>59</v>
      </c>
      <c r="L905" t="s">
        <v>35</v>
      </c>
      <c r="M905" t="s">
        <v>40</v>
      </c>
      <c r="N905" t="s">
        <v>41</v>
      </c>
    </row>
    <row r="906" spans="1:14" x14ac:dyDescent="0.25">
      <c r="A906">
        <v>5576</v>
      </c>
      <c r="B906">
        <v>2470</v>
      </c>
      <c r="C906">
        <f>1/COUNTIF(B:B,pizza_sales[[#This Row],[order_id]])</f>
        <v>1</v>
      </c>
      <c r="D906" t="s">
        <v>42</v>
      </c>
      <c r="E906">
        <v>1</v>
      </c>
      <c r="F906" s="1">
        <v>42310</v>
      </c>
      <c r="G906" s="1" t="str">
        <f>TEXT(pizza_sales[[#This Row],[order_date]],"dddd")</f>
        <v>Monday</v>
      </c>
      <c r="H906" s="2">
        <v>0.49033564814814817</v>
      </c>
      <c r="I906">
        <v>12.5</v>
      </c>
      <c r="J906">
        <v>12.5</v>
      </c>
      <c r="K906" t="s">
        <v>59</v>
      </c>
      <c r="L906" t="s">
        <v>13</v>
      </c>
      <c r="M906" t="s">
        <v>26</v>
      </c>
      <c r="N906" t="s">
        <v>27</v>
      </c>
    </row>
    <row r="907" spans="1:14" x14ac:dyDescent="0.25">
      <c r="A907">
        <v>5577</v>
      </c>
      <c r="B907">
        <v>2471</v>
      </c>
      <c r="C907">
        <f>1/COUNTIF(B:B,pizza_sales[[#This Row],[order_id]])</f>
        <v>0.5</v>
      </c>
      <c r="D907" t="s">
        <v>28</v>
      </c>
      <c r="E907">
        <v>1</v>
      </c>
      <c r="F907" s="1">
        <v>42310</v>
      </c>
      <c r="G907" s="1" t="str">
        <f>TEXT(pizza_sales[[#This Row],[order_date]],"dddd")</f>
        <v>Monday</v>
      </c>
      <c r="H907" s="2">
        <v>0.49174768518518519</v>
      </c>
      <c r="I907">
        <v>12</v>
      </c>
      <c r="J907">
        <v>12</v>
      </c>
      <c r="K907" t="s">
        <v>60</v>
      </c>
      <c r="L907" t="s">
        <v>13</v>
      </c>
      <c r="M907" t="s">
        <v>29</v>
      </c>
      <c r="N907" t="s">
        <v>30</v>
      </c>
    </row>
    <row r="908" spans="1:14" x14ac:dyDescent="0.25">
      <c r="A908">
        <v>5583</v>
      </c>
      <c r="B908">
        <v>2471</v>
      </c>
      <c r="C908">
        <f>1/COUNTIF(B:B,pizza_sales[[#This Row],[order_id]])</f>
        <v>0.5</v>
      </c>
      <c r="D908" t="s">
        <v>45</v>
      </c>
      <c r="E908">
        <v>2</v>
      </c>
      <c r="F908" s="1">
        <v>42310</v>
      </c>
      <c r="G908" s="1" t="str">
        <f>TEXT(pizza_sales[[#This Row],[order_date]],"dddd")</f>
        <v>Monday</v>
      </c>
      <c r="H908" s="2">
        <v>0.49174768518518519</v>
      </c>
      <c r="I908">
        <v>10.5</v>
      </c>
      <c r="J908">
        <v>21</v>
      </c>
      <c r="K908" t="s">
        <v>60</v>
      </c>
      <c r="L908" t="s">
        <v>13</v>
      </c>
      <c r="M908" t="s">
        <v>14</v>
      </c>
      <c r="N908" t="s">
        <v>15</v>
      </c>
    </row>
    <row r="909" spans="1:14" x14ac:dyDescent="0.25">
      <c r="A909">
        <v>5590</v>
      </c>
      <c r="B909">
        <v>2476</v>
      </c>
      <c r="C909">
        <f>1/COUNTIF(B:B,pizza_sales[[#This Row],[order_id]])</f>
        <v>1</v>
      </c>
      <c r="D909" t="s">
        <v>45</v>
      </c>
      <c r="E909">
        <v>1</v>
      </c>
      <c r="F909" s="1">
        <v>42310</v>
      </c>
      <c r="G909" s="1" t="str">
        <f>TEXT(pizza_sales[[#This Row],[order_date]],"dddd")</f>
        <v>Monday</v>
      </c>
      <c r="H909" s="2">
        <v>0.50795138888888891</v>
      </c>
      <c r="I909">
        <v>10.5</v>
      </c>
      <c r="J909">
        <v>10.5</v>
      </c>
      <c r="K909" t="s">
        <v>60</v>
      </c>
      <c r="L909" t="s">
        <v>13</v>
      </c>
      <c r="M909" t="s">
        <v>14</v>
      </c>
      <c r="N909" t="s">
        <v>15</v>
      </c>
    </row>
    <row r="910" spans="1:14" x14ac:dyDescent="0.25">
      <c r="A910">
        <v>5593</v>
      </c>
      <c r="B910">
        <v>2478</v>
      </c>
      <c r="C910">
        <f>1/COUNTIF(B:B,pizza_sales[[#This Row],[order_id]])</f>
        <v>1</v>
      </c>
      <c r="D910" t="s">
        <v>25</v>
      </c>
      <c r="E910">
        <v>1</v>
      </c>
      <c r="F910" s="1">
        <v>42310</v>
      </c>
      <c r="G910" s="1" t="str">
        <f>TEXT(pizza_sales[[#This Row],[order_date]],"dddd")</f>
        <v>Monday</v>
      </c>
      <c r="H910" s="2">
        <v>0.51920138888888889</v>
      </c>
      <c r="I910">
        <v>15.25</v>
      </c>
      <c r="J910">
        <v>15.25</v>
      </c>
      <c r="K910" t="s">
        <v>58</v>
      </c>
      <c r="L910" t="s">
        <v>13</v>
      </c>
      <c r="M910" t="s">
        <v>26</v>
      </c>
      <c r="N910" t="s">
        <v>27</v>
      </c>
    </row>
    <row r="911" spans="1:14" x14ac:dyDescent="0.25">
      <c r="A911">
        <v>5598</v>
      </c>
      <c r="B911">
        <v>2479</v>
      </c>
      <c r="C911">
        <f>1/COUNTIF(B:B,pizza_sales[[#This Row],[order_id]])</f>
        <v>1</v>
      </c>
      <c r="D911" t="s">
        <v>49</v>
      </c>
      <c r="E911">
        <v>1</v>
      </c>
      <c r="F911" s="1">
        <v>42310</v>
      </c>
      <c r="G911" s="1" t="str">
        <f>TEXT(pizza_sales[[#This Row],[order_date]],"dddd")</f>
        <v>Monday</v>
      </c>
      <c r="H911" s="2">
        <v>0.52461805555555552</v>
      </c>
      <c r="I911">
        <v>16</v>
      </c>
      <c r="J911">
        <v>16</v>
      </c>
      <c r="K911" t="s">
        <v>59</v>
      </c>
      <c r="L911" t="s">
        <v>13</v>
      </c>
      <c r="M911" t="s">
        <v>21</v>
      </c>
      <c r="N911" t="s">
        <v>22</v>
      </c>
    </row>
    <row r="912" spans="1:14" x14ac:dyDescent="0.25">
      <c r="A912">
        <v>5600</v>
      </c>
      <c r="B912">
        <v>2480</v>
      </c>
      <c r="C912">
        <f>1/COUNTIF(B:B,pizza_sales[[#This Row],[order_id]])</f>
        <v>1</v>
      </c>
      <c r="D912" t="s">
        <v>44</v>
      </c>
      <c r="E912">
        <v>1</v>
      </c>
      <c r="F912" s="1">
        <v>42310</v>
      </c>
      <c r="G912" s="1" t="str">
        <f>TEXT(pizza_sales[[#This Row],[order_date]],"dddd")</f>
        <v>Monday</v>
      </c>
      <c r="H912" s="2">
        <v>0.52947916666666661</v>
      </c>
      <c r="I912">
        <v>9.75</v>
      </c>
      <c r="J912">
        <v>9.75</v>
      </c>
      <c r="K912" t="s">
        <v>60</v>
      </c>
      <c r="L912" t="s">
        <v>13</v>
      </c>
      <c r="M912" t="s">
        <v>26</v>
      </c>
      <c r="N912" t="s">
        <v>27</v>
      </c>
    </row>
    <row r="913" spans="1:14" x14ac:dyDescent="0.25">
      <c r="A913">
        <v>5604</v>
      </c>
      <c r="B913">
        <v>2483</v>
      </c>
      <c r="C913">
        <f>1/COUNTIF(B:B,pizza_sales[[#This Row],[order_id]])</f>
        <v>1</v>
      </c>
      <c r="D913" t="s">
        <v>44</v>
      </c>
      <c r="E913">
        <v>1</v>
      </c>
      <c r="F913" s="1">
        <v>42310</v>
      </c>
      <c r="G913" s="1" t="str">
        <f>TEXT(pizza_sales[[#This Row],[order_date]],"dddd")</f>
        <v>Monday</v>
      </c>
      <c r="H913" s="2">
        <v>0.539525462962963</v>
      </c>
      <c r="I913">
        <v>9.75</v>
      </c>
      <c r="J913">
        <v>9.75</v>
      </c>
      <c r="K913" t="s">
        <v>60</v>
      </c>
      <c r="L913" t="s">
        <v>13</v>
      </c>
      <c r="M913" t="s">
        <v>26</v>
      </c>
      <c r="N913" t="s">
        <v>27</v>
      </c>
    </row>
    <row r="914" spans="1:14" x14ac:dyDescent="0.25">
      <c r="A914">
        <v>5605</v>
      </c>
      <c r="B914">
        <v>2484</v>
      </c>
      <c r="C914">
        <f>1/COUNTIF(B:B,pizza_sales[[#This Row],[order_id]])</f>
        <v>1</v>
      </c>
      <c r="D914" t="s">
        <v>24</v>
      </c>
      <c r="E914">
        <v>1</v>
      </c>
      <c r="F914" s="1">
        <v>42310</v>
      </c>
      <c r="G914" s="1" t="str">
        <f>TEXT(pizza_sales[[#This Row],[order_date]],"dddd")</f>
        <v>Monday</v>
      </c>
      <c r="H914" s="2">
        <v>0.55162037037037037</v>
      </c>
      <c r="I914">
        <v>20.25</v>
      </c>
      <c r="J914">
        <v>20.25</v>
      </c>
      <c r="K914" t="s">
        <v>58</v>
      </c>
      <c r="L914" t="s">
        <v>17</v>
      </c>
      <c r="M914" t="s">
        <v>18</v>
      </c>
      <c r="N914" t="s">
        <v>19</v>
      </c>
    </row>
    <row r="915" spans="1:14" x14ac:dyDescent="0.25">
      <c r="A915">
        <v>5608</v>
      </c>
      <c r="B915">
        <v>2485</v>
      </c>
      <c r="C915">
        <f>1/COUNTIF(B:B,pizza_sales[[#This Row],[order_id]])</f>
        <v>0.5</v>
      </c>
      <c r="D915" t="s">
        <v>24</v>
      </c>
      <c r="E915">
        <v>1</v>
      </c>
      <c r="F915" s="1">
        <v>42310</v>
      </c>
      <c r="G915" s="1" t="str">
        <f>TEXT(pizza_sales[[#This Row],[order_date]],"dddd")</f>
        <v>Monday</v>
      </c>
      <c r="H915" s="2">
        <v>0.557037037037037</v>
      </c>
      <c r="I915">
        <v>20.25</v>
      </c>
      <c r="J915">
        <v>20.25</v>
      </c>
      <c r="K915" t="s">
        <v>58</v>
      </c>
      <c r="L915" t="s">
        <v>17</v>
      </c>
      <c r="M915" t="s">
        <v>18</v>
      </c>
      <c r="N915" t="s">
        <v>19</v>
      </c>
    </row>
    <row r="916" spans="1:14" x14ac:dyDescent="0.25">
      <c r="A916">
        <v>5609</v>
      </c>
      <c r="B916">
        <v>2485</v>
      </c>
      <c r="C916">
        <f>1/COUNTIF(B:B,pizza_sales[[#This Row],[order_id]])</f>
        <v>0.5</v>
      </c>
      <c r="D916" t="s">
        <v>42</v>
      </c>
      <c r="E916">
        <v>1</v>
      </c>
      <c r="F916" s="1">
        <v>42310</v>
      </c>
      <c r="G916" s="1" t="str">
        <f>TEXT(pizza_sales[[#This Row],[order_date]],"dddd")</f>
        <v>Monday</v>
      </c>
      <c r="H916" s="2">
        <v>0.557037037037037</v>
      </c>
      <c r="I916">
        <v>12.5</v>
      </c>
      <c r="J916">
        <v>12.5</v>
      </c>
      <c r="K916" t="s">
        <v>59</v>
      </c>
      <c r="L916" t="s">
        <v>13</v>
      </c>
      <c r="M916" t="s">
        <v>26</v>
      </c>
      <c r="N916" t="s">
        <v>27</v>
      </c>
    </row>
    <row r="917" spans="1:14" x14ac:dyDescent="0.25">
      <c r="A917">
        <v>5614</v>
      </c>
      <c r="B917">
        <v>2487</v>
      </c>
      <c r="C917">
        <f>1/COUNTIF(B:B,pizza_sales[[#This Row],[order_id]])</f>
        <v>1</v>
      </c>
      <c r="D917" t="s">
        <v>46</v>
      </c>
      <c r="E917">
        <v>1</v>
      </c>
      <c r="F917" s="1">
        <v>42310</v>
      </c>
      <c r="G917" s="1" t="str">
        <f>TEXT(pizza_sales[[#This Row],[order_date]],"dddd")</f>
        <v>Monday</v>
      </c>
      <c r="H917" s="2">
        <v>0.56548611111111113</v>
      </c>
      <c r="I917">
        <v>25.5</v>
      </c>
      <c r="J917">
        <v>25.5</v>
      </c>
      <c r="K917" t="s">
        <v>61</v>
      </c>
      <c r="L917" t="s">
        <v>13</v>
      </c>
      <c r="M917" t="s">
        <v>21</v>
      </c>
      <c r="N917" t="s">
        <v>22</v>
      </c>
    </row>
    <row r="918" spans="1:14" x14ac:dyDescent="0.25">
      <c r="A918">
        <v>5622</v>
      </c>
      <c r="B918">
        <v>2491</v>
      </c>
      <c r="C918">
        <f>1/COUNTIF(B:B,pizza_sales[[#This Row],[order_id]])</f>
        <v>1</v>
      </c>
      <c r="D918" t="s">
        <v>47</v>
      </c>
      <c r="E918">
        <v>1</v>
      </c>
      <c r="F918" s="1">
        <v>42310</v>
      </c>
      <c r="G918" s="1" t="str">
        <f>TEXT(pizza_sales[[#This Row],[order_date]],"dddd")</f>
        <v>Monday</v>
      </c>
      <c r="H918" s="2">
        <v>0.58333333333333337</v>
      </c>
      <c r="I918">
        <v>16.5</v>
      </c>
      <c r="J918">
        <v>16.5</v>
      </c>
      <c r="K918" t="s">
        <v>58</v>
      </c>
      <c r="L918" t="s">
        <v>13</v>
      </c>
      <c r="M918" t="s">
        <v>14</v>
      </c>
      <c r="N918" t="s">
        <v>15</v>
      </c>
    </row>
    <row r="919" spans="1:14" x14ac:dyDescent="0.25">
      <c r="A919">
        <v>5628</v>
      </c>
      <c r="B919">
        <v>2493</v>
      </c>
      <c r="C919">
        <f>1/COUNTIF(B:B,pizza_sales[[#This Row],[order_id]])</f>
        <v>1</v>
      </c>
      <c r="D919" t="s">
        <v>28</v>
      </c>
      <c r="E919">
        <v>1</v>
      </c>
      <c r="F919" s="1">
        <v>42310</v>
      </c>
      <c r="G919" s="1" t="str">
        <f>TEXT(pizza_sales[[#This Row],[order_date]],"dddd")</f>
        <v>Monday</v>
      </c>
      <c r="H919" s="2">
        <v>0.61173611111111115</v>
      </c>
      <c r="I919">
        <v>12</v>
      </c>
      <c r="J919">
        <v>12</v>
      </c>
      <c r="K919" t="s">
        <v>60</v>
      </c>
      <c r="L919" t="s">
        <v>13</v>
      </c>
      <c r="M919" t="s">
        <v>29</v>
      </c>
      <c r="N919" t="s">
        <v>30</v>
      </c>
    </row>
    <row r="920" spans="1:14" x14ac:dyDescent="0.25">
      <c r="A920">
        <v>5631</v>
      </c>
      <c r="B920">
        <v>2495</v>
      </c>
      <c r="C920">
        <f>1/COUNTIF(B:B,pizza_sales[[#This Row],[order_id]])</f>
        <v>1</v>
      </c>
      <c r="D920" t="s">
        <v>12</v>
      </c>
      <c r="E920">
        <v>1</v>
      </c>
      <c r="F920" s="1">
        <v>42310</v>
      </c>
      <c r="G920" s="1" t="str">
        <f>TEXT(pizza_sales[[#This Row],[order_date]],"dddd")</f>
        <v>Monday</v>
      </c>
      <c r="H920" s="2">
        <v>0.61869212962962961</v>
      </c>
      <c r="I920">
        <v>13.25</v>
      </c>
      <c r="J920">
        <v>13.25</v>
      </c>
      <c r="K920" t="s">
        <v>59</v>
      </c>
      <c r="L920" t="s">
        <v>13</v>
      </c>
      <c r="M920" t="s">
        <v>14</v>
      </c>
      <c r="N920" t="s">
        <v>15</v>
      </c>
    </row>
    <row r="921" spans="1:14" x14ac:dyDescent="0.25">
      <c r="A921">
        <v>5635</v>
      </c>
      <c r="B921">
        <v>2497</v>
      </c>
      <c r="C921">
        <f>1/COUNTIF(B:B,pizza_sales[[#This Row],[order_id]])</f>
        <v>0.33333333333333331</v>
      </c>
      <c r="D921" t="s">
        <v>34</v>
      </c>
      <c r="E921">
        <v>1</v>
      </c>
      <c r="F921" s="1">
        <v>42310</v>
      </c>
      <c r="G921" s="1" t="str">
        <f>TEXT(pizza_sales[[#This Row],[order_date]],"dddd")</f>
        <v>Monday</v>
      </c>
      <c r="H921" s="2">
        <v>0.63386574074074076</v>
      </c>
      <c r="I921">
        <v>16.25</v>
      </c>
      <c r="J921">
        <v>16.25</v>
      </c>
      <c r="K921" t="s">
        <v>59</v>
      </c>
      <c r="L921" t="s">
        <v>35</v>
      </c>
      <c r="M921" t="s">
        <v>36</v>
      </c>
      <c r="N921" t="s">
        <v>37</v>
      </c>
    </row>
    <row r="922" spans="1:14" x14ac:dyDescent="0.25">
      <c r="A922">
        <v>5637</v>
      </c>
      <c r="B922">
        <v>2497</v>
      </c>
      <c r="C922">
        <f>1/COUNTIF(B:B,pizza_sales[[#This Row],[order_id]])</f>
        <v>0.33333333333333331</v>
      </c>
      <c r="D922" t="s">
        <v>16</v>
      </c>
      <c r="E922">
        <v>1</v>
      </c>
      <c r="F922" s="1">
        <v>42310</v>
      </c>
      <c r="G922" s="1" t="str">
        <f>TEXT(pizza_sales[[#This Row],[order_date]],"dddd")</f>
        <v>Monday</v>
      </c>
      <c r="H922" s="2">
        <v>0.63386574074074076</v>
      </c>
      <c r="I922">
        <v>16</v>
      </c>
      <c r="J922">
        <v>16</v>
      </c>
      <c r="K922" t="s">
        <v>59</v>
      </c>
      <c r="L922" t="s">
        <v>17</v>
      </c>
      <c r="M922" t="s">
        <v>18</v>
      </c>
      <c r="N922" t="s">
        <v>19</v>
      </c>
    </row>
    <row r="923" spans="1:14" x14ac:dyDescent="0.25">
      <c r="A923">
        <v>5638</v>
      </c>
      <c r="B923">
        <v>2497</v>
      </c>
      <c r="C923">
        <f>1/COUNTIF(B:B,pizza_sales[[#This Row],[order_id]])</f>
        <v>0.33333333333333331</v>
      </c>
      <c r="D923" t="s">
        <v>25</v>
      </c>
      <c r="E923">
        <v>1</v>
      </c>
      <c r="F923" s="1">
        <v>42310</v>
      </c>
      <c r="G923" s="1" t="str">
        <f>TEXT(pizza_sales[[#This Row],[order_date]],"dddd")</f>
        <v>Monday</v>
      </c>
      <c r="H923" s="2">
        <v>0.63386574074074076</v>
      </c>
      <c r="I923">
        <v>15.25</v>
      </c>
      <c r="J923">
        <v>15.25</v>
      </c>
      <c r="K923" t="s">
        <v>58</v>
      </c>
      <c r="L923" t="s">
        <v>13</v>
      </c>
      <c r="M923" t="s">
        <v>26</v>
      </c>
      <c r="N923" t="s">
        <v>27</v>
      </c>
    </row>
    <row r="924" spans="1:14" x14ac:dyDescent="0.25">
      <c r="A924">
        <v>5646</v>
      </c>
      <c r="B924">
        <v>2503</v>
      </c>
      <c r="C924">
        <f>1/COUNTIF(B:B,pizza_sales[[#This Row],[order_id]])</f>
        <v>1</v>
      </c>
      <c r="D924" t="s">
        <v>48</v>
      </c>
      <c r="E924">
        <v>1</v>
      </c>
      <c r="F924" s="1">
        <v>42310</v>
      </c>
      <c r="G924" s="1" t="str">
        <f>TEXT(pizza_sales[[#This Row],[order_date]],"dddd")</f>
        <v>Monday</v>
      </c>
      <c r="H924" s="2">
        <v>0.71416666666666662</v>
      </c>
      <c r="I924">
        <v>12.25</v>
      </c>
      <c r="J924">
        <v>12.25</v>
      </c>
      <c r="K924" t="s">
        <v>60</v>
      </c>
      <c r="L924" t="s">
        <v>35</v>
      </c>
      <c r="M924" t="s">
        <v>40</v>
      </c>
      <c r="N924" t="s">
        <v>41</v>
      </c>
    </row>
    <row r="925" spans="1:14" x14ac:dyDescent="0.25">
      <c r="A925">
        <v>5648</v>
      </c>
      <c r="B925">
        <v>2504</v>
      </c>
      <c r="C925">
        <f>1/COUNTIF(B:B,pizza_sales[[#This Row],[order_id]])</f>
        <v>1</v>
      </c>
      <c r="D925" t="s">
        <v>44</v>
      </c>
      <c r="E925">
        <v>1</v>
      </c>
      <c r="F925" s="1">
        <v>42310</v>
      </c>
      <c r="G925" s="1" t="str">
        <f>TEXT(pizza_sales[[#This Row],[order_date]],"dddd")</f>
        <v>Monday</v>
      </c>
      <c r="H925" s="2">
        <v>0.71695601851851853</v>
      </c>
      <c r="I925">
        <v>9.75</v>
      </c>
      <c r="J925">
        <v>9.75</v>
      </c>
      <c r="K925" t="s">
        <v>60</v>
      </c>
      <c r="L925" t="s">
        <v>13</v>
      </c>
      <c r="M925" t="s">
        <v>26</v>
      </c>
      <c r="N925" t="s">
        <v>27</v>
      </c>
    </row>
    <row r="926" spans="1:14" x14ac:dyDescent="0.25">
      <c r="A926">
        <v>5655</v>
      </c>
      <c r="B926">
        <v>2506</v>
      </c>
      <c r="C926">
        <f>1/COUNTIF(B:B,pizza_sales[[#This Row],[order_id]])</f>
        <v>1</v>
      </c>
      <c r="D926" t="s">
        <v>44</v>
      </c>
      <c r="E926">
        <v>1</v>
      </c>
      <c r="F926" s="1">
        <v>42310</v>
      </c>
      <c r="G926" s="1" t="str">
        <f>TEXT(pizza_sales[[#This Row],[order_date]],"dddd")</f>
        <v>Monday</v>
      </c>
      <c r="H926" s="2">
        <v>0.73942129629629627</v>
      </c>
      <c r="I926">
        <v>9.75</v>
      </c>
      <c r="J926">
        <v>9.75</v>
      </c>
      <c r="K926" t="s">
        <v>60</v>
      </c>
      <c r="L926" t="s">
        <v>13</v>
      </c>
      <c r="M926" t="s">
        <v>26</v>
      </c>
      <c r="N926" t="s">
        <v>27</v>
      </c>
    </row>
    <row r="927" spans="1:14" x14ac:dyDescent="0.25">
      <c r="A927">
        <v>5658</v>
      </c>
      <c r="B927">
        <v>2507</v>
      </c>
      <c r="C927">
        <f>1/COUNTIF(B:B,pizza_sales[[#This Row],[order_id]])</f>
        <v>0.5</v>
      </c>
      <c r="D927" t="s">
        <v>47</v>
      </c>
      <c r="E927">
        <v>1</v>
      </c>
      <c r="F927" s="1">
        <v>42310</v>
      </c>
      <c r="G927" s="1" t="str">
        <f>TEXT(pizza_sales[[#This Row],[order_date]],"dddd")</f>
        <v>Monday</v>
      </c>
      <c r="H927" s="2">
        <v>0.74099537037037033</v>
      </c>
      <c r="I927">
        <v>16.5</v>
      </c>
      <c r="J927">
        <v>16.5</v>
      </c>
      <c r="K927" t="s">
        <v>58</v>
      </c>
      <c r="L927" t="s">
        <v>13</v>
      </c>
      <c r="M927" t="s">
        <v>14</v>
      </c>
      <c r="N927" t="s">
        <v>15</v>
      </c>
    </row>
    <row r="928" spans="1:14" x14ac:dyDescent="0.25">
      <c r="A928">
        <v>5659</v>
      </c>
      <c r="B928">
        <v>2507</v>
      </c>
      <c r="C928">
        <f>1/COUNTIF(B:B,pizza_sales[[#This Row],[order_id]])</f>
        <v>0.5</v>
      </c>
      <c r="D928" t="s">
        <v>48</v>
      </c>
      <c r="E928">
        <v>1</v>
      </c>
      <c r="F928" s="1">
        <v>42310</v>
      </c>
      <c r="G928" s="1" t="str">
        <f>TEXT(pizza_sales[[#This Row],[order_date]],"dddd")</f>
        <v>Monday</v>
      </c>
      <c r="H928" s="2">
        <v>0.74099537037037033</v>
      </c>
      <c r="I928">
        <v>12.25</v>
      </c>
      <c r="J928">
        <v>12.25</v>
      </c>
      <c r="K928" t="s">
        <v>60</v>
      </c>
      <c r="L928" t="s">
        <v>35</v>
      </c>
      <c r="M928" t="s">
        <v>40</v>
      </c>
      <c r="N928" t="s">
        <v>41</v>
      </c>
    </row>
    <row r="929" spans="1:14" x14ac:dyDescent="0.25">
      <c r="A929">
        <v>5661</v>
      </c>
      <c r="B929">
        <v>2508</v>
      </c>
      <c r="C929">
        <f>1/COUNTIF(B:B,pizza_sales[[#This Row],[order_id]])</f>
        <v>1</v>
      </c>
      <c r="D929" t="s">
        <v>45</v>
      </c>
      <c r="E929">
        <v>1</v>
      </c>
      <c r="F929" s="1">
        <v>42310</v>
      </c>
      <c r="G929" s="1" t="str">
        <f>TEXT(pizza_sales[[#This Row],[order_date]],"dddd")</f>
        <v>Monday</v>
      </c>
      <c r="H929" s="2">
        <v>0.74131944444444442</v>
      </c>
      <c r="I929">
        <v>10.5</v>
      </c>
      <c r="J929">
        <v>10.5</v>
      </c>
      <c r="K929" t="s">
        <v>60</v>
      </c>
      <c r="L929" t="s">
        <v>13</v>
      </c>
      <c r="M929" t="s">
        <v>14</v>
      </c>
      <c r="N929" t="s">
        <v>15</v>
      </c>
    </row>
    <row r="930" spans="1:14" x14ac:dyDescent="0.25">
      <c r="A930">
        <v>5663</v>
      </c>
      <c r="B930">
        <v>2510</v>
      </c>
      <c r="C930">
        <f>1/COUNTIF(B:B,pizza_sales[[#This Row],[order_id]])</f>
        <v>1</v>
      </c>
      <c r="D930" t="s">
        <v>56</v>
      </c>
      <c r="E930">
        <v>1</v>
      </c>
      <c r="F930" s="1">
        <v>42310</v>
      </c>
      <c r="G930" s="1" t="str">
        <f>TEXT(pizza_sales[[#This Row],[order_date]],"dddd")</f>
        <v>Monday</v>
      </c>
      <c r="H930" s="2">
        <v>0.74513888888888891</v>
      </c>
      <c r="I930">
        <v>20.25</v>
      </c>
      <c r="J930">
        <v>20.25</v>
      </c>
      <c r="K930" t="s">
        <v>58</v>
      </c>
      <c r="L930" t="s">
        <v>35</v>
      </c>
      <c r="M930" t="s">
        <v>36</v>
      </c>
      <c r="N930" t="s">
        <v>37</v>
      </c>
    </row>
    <row r="931" spans="1:14" x14ac:dyDescent="0.25">
      <c r="A931">
        <v>5664</v>
      </c>
      <c r="B931">
        <v>2511</v>
      </c>
      <c r="C931">
        <f>1/COUNTIF(B:B,pizza_sales[[#This Row],[order_id]])</f>
        <v>0.33333333333333331</v>
      </c>
      <c r="D931" t="s">
        <v>47</v>
      </c>
      <c r="E931">
        <v>1</v>
      </c>
      <c r="F931" s="1">
        <v>42310</v>
      </c>
      <c r="G931" s="1" t="str">
        <f>TEXT(pizza_sales[[#This Row],[order_date]],"dddd")</f>
        <v>Monday</v>
      </c>
      <c r="H931" s="2">
        <v>0.75013888888888891</v>
      </c>
      <c r="I931">
        <v>16.5</v>
      </c>
      <c r="J931">
        <v>16.5</v>
      </c>
      <c r="K931" t="s">
        <v>58</v>
      </c>
      <c r="L931" t="s">
        <v>13</v>
      </c>
      <c r="M931" t="s">
        <v>14</v>
      </c>
      <c r="N931" t="s">
        <v>15</v>
      </c>
    </row>
    <row r="932" spans="1:14" x14ac:dyDescent="0.25">
      <c r="A932">
        <v>5665</v>
      </c>
      <c r="B932">
        <v>2511</v>
      </c>
      <c r="C932">
        <f>1/COUNTIF(B:B,pizza_sales[[#This Row],[order_id]])</f>
        <v>0.33333333333333331</v>
      </c>
      <c r="D932" t="s">
        <v>24</v>
      </c>
      <c r="E932">
        <v>1</v>
      </c>
      <c r="F932" s="1">
        <v>42310</v>
      </c>
      <c r="G932" s="1" t="str">
        <f>TEXT(pizza_sales[[#This Row],[order_date]],"dddd")</f>
        <v>Monday</v>
      </c>
      <c r="H932" s="2">
        <v>0.75013888888888891</v>
      </c>
      <c r="I932">
        <v>20.25</v>
      </c>
      <c r="J932">
        <v>20.25</v>
      </c>
      <c r="K932" t="s">
        <v>58</v>
      </c>
      <c r="L932" t="s">
        <v>17</v>
      </c>
      <c r="M932" t="s">
        <v>18</v>
      </c>
      <c r="N932" t="s">
        <v>19</v>
      </c>
    </row>
    <row r="933" spans="1:14" x14ac:dyDescent="0.25">
      <c r="A933">
        <v>5666</v>
      </c>
      <c r="B933">
        <v>2511</v>
      </c>
      <c r="C933">
        <f>1/COUNTIF(B:B,pizza_sales[[#This Row],[order_id]])</f>
        <v>0.33333333333333331</v>
      </c>
      <c r="D933" t="s">
        <v>42</v>
      </c>
      <c r="E933">
        <v>1</v>
      </c>
      <c r="F933" s="1">
        <v>42310</v>
      </c>
      <c r="G933" s="1" t="str">
        <f>TEXT(pizza_sales[[#This Row],[order_date]],"dddd")</f>
        <v>Monday</v>
      </c>
      <c r="H933" s="2">
        <v>0.75013888888888891</v>
      </c>
      <c r="I933">
        <v>12.5</v>
      </c>
      <c r="J933">
        <v>12.5</v>
      </c>
      <c r="K933" t="s">
        <v>59</v>
      </c>
      <c r="L933" t="s">
        <v>13</v>
      </c>
      <c r="M933" t="s">
        <v>26</v>
      </c>
      <c r="N933" t="s">
        <v>27</v>
      </c>
    </row>
    <row r="934" spans="1:14" x14ac:dyDescent="0.25">
      <c r="A934">
        <v>5667</v>
      </c>
      <c r="B934">
        <v>2512</v>
      </c>
      <c r="C934">
        <f>1/COUNTIF(B:B,pizza_sales[[#This Row],[order_id]])</f>
        <v>0.25</v>
      </c>
      <c r="D934" t="s">
        <v>28</v>
      </c>
      <c r="E934">
        <v>1</v>
      </c>
      <c r="F934" s="1">
        <v>42310</v>
      </c>
      <c r="G934" s="1" t="str">
        <f>TEXT(pizza_sales[[#This Row],[order_date]],"dddd")</f>
        <v>Monday</v>
      </c>
      <c r="H934" s="2">
        <v>0.75201388888888887</v>
      </c>
      <c r="I934">
        <v>12</v>
      </c>
      <c r="J934">
        <v>12</v>
      </c>
      <c r="K934" t="s">
        <v>60</v>
      </c>
      <c r="L934" t="s">
        <v>13</v>
      </c>
      <c r="M934" t="s">
        <v>29</v>
      </c>
      <c r="N934" t="s">
        <v>30</v>
      </c>
    </row>
    <row r="935" spans="1:14" x14ac:dyDescent="0.25">
      <c r="A935">
        <v>5668</v>
      </c>
      <c r="B935">
        <v>2512</v>
      </c>
      <c r="C935">
        <f>1/COUNTIF(B:B,pizza_sales[[#This Row],[order_id]])</f>
        <v>0.25</v>
      </c>
      <c r="D935" t="s">
        <v>45</v>
      </c>
      <c r="E935">
        <v>1</v>
      </c>
      <c r="F935" s="1">
        <v>42310</v>
      </c>
      <c r="G935" s="1" t="str">
        <f>TEXT(pizza_sales[[#This Row],[order_date]],"dddd")</f>
        <v>Monday</v>
      </c>
      <c r="H935" s="2">
        <v>0.75201388888888887</v>
      </c>
      <c r="I935">
        <v>10.5</v>
      </c>
      <c r="J935">
        <v>10.5</v>
      </c>
      <c r="K935" t="s">
        <v>60</v>
      </c>
      <c r="L935" t="s">
        <v>13</v>
      </c>
      <c r="M935" t="s">
        <v>14</v>
      </c>
      <c r="N935" t="s">
        <v>15</v>
      </c>
    </row>
    <row r="936" spans="1:14" x14ac:dyDescent="0.25">
      <c r="A936">
        <v>5669</v>
      </c>
      <c r="B936">
        <v>2512</v>
      </c>
      <c r="C936">
        <f>1/COUNTIF(B:B,pizza_sales[[#This Row],[order_id]])</f>
        <v>0.25</v>
      </c>
      <c r="D936" t="s">
        <v>24</v>
      </c>
      <c r="E936">
        <v>1</v>
      </c>
      <c r="F936" s="1">
        <v>42310</v>
      </c>
      <c r="G936" s="1" t="str">
        <f>TEXT(pizza_sales[[#This Row],[order_date]],"dddd")</f>
        <v>Monday</v>
      </c>
      <c r="H936" s="2">
        <v>0.75201388888888887</v>
      </c>
      <c r="I936">
        <v>20.25</v>
      </c>
      <c r="J936">
        <v>20.25</v>
      </c>
      <c r="K936" t="s">
        <v>58</v>
      </c>
      <c r="L936" t="s">
        <v>17</v>
      </c>
      <c r="M936" t="s">
        <v>18</v>
      </c>
      <c r="N936" t="s">
        <v>19</v>
      </c>
    </row>
    <row r="937" spans="1:14" x14ac:dyDescent="0.25">
      <c r="A937">
        <v>5670</v>
      </c>
      <c r="B937">
        <v>2512</v>
      </c>
      <c r="C937">
        <f>1/COUNTIF(B:B,pizza_sales[[#This Row],[order_id]])</f>
        <v>0.25</v>
      </c>
      <c r="D937" t="s">
        <v>48</v>
      </c>
      <c r="E937">
        <v>1</v>
      </c>
      <c r="F937" s="1">
        <v>42310</v>
      </c>
      <c r="G937" s="1" t="str">
        <f>TEXT(pizza_sales[[#This Row],[order_date]],"dddd")</f>
        <v>Monday</v>
      </c>
      <c r="H937" s="2">
        <v>0.75201388888888887</v>
      </c>
      <c r="I937">
        <v>12.25</v>
      </c>
      <c r="J937">
        <v>12.25</v>
      </c>
      <c r="K937" t="s">
        <v>60</v>
      </c>
      <c r="L937" t="s">
        <v>35</v>
      </c>
      <c r="M937" t="s">
        <v>40</v>
      </c>
      <c r="N937" t="s">
        <v>41</v>
      </c>
    </row>
    <row r="938" spans="1:14" x14ac:dyDescent="0.25">
      <c r="A938">
        <v>5671</v>
      </c>
      <c r="B938">
        <v>2513</v>
      </c>
      <c r="C938">
        <f>1/COUNTIF(B:B,pizza_sales[[#This Row],[order_id]])</f>
        <v>1</v>
      </c>
      <c r="D938" t="s">
        <v>43</v>
      </c>
      <c r="E938">
        <v>1</v>
      </c>
      <c r="F938" s="1">
        <v>42310</v>
      </c>
      <c r="G938" s="1" t="str">
        <f>TEXT(pizza_sales[[#This Row],[order_date]],"dddd")</f>
        <v>Monday</v>
      </c>
      <c r="H938" s="2">
        <v>0.76487268518518514</v>
      </c>
      <c r="I938">
        <v>16.25</v>
      </c>
      <c r="J938">
        <v>16.25</v>
      </c>
      <c r="K938" t="s">
        <v>59</v>
      </c>
      <c r="L938" t="s">
        <v>35</v>
      </c>
      <c r="M938" t="s">
        <v>40</v>
      </c>
      <c r="N938" t="s">
        <v>41</v>
      </c>
    </row>
    <row r="939" spans="1:14" x14ac:dyDescent="0.25">
      <c r="A939">
        <v>5672</v>
      </c>
      <c r="B939">
        <v>2514</v>
      </c>
      <c r="C939">
        <f>1/COUNTIF(B:B,pizza_sales[[#This Row],[order_id]])</f>
        <v>1</v>
      </c>
      <c r="D939" t="s">
        <v>45</v>
      </c>
      <c r="E939">
        <v>1</v>
      </c>
      <c r="F939" s="1">
        <v>42310</v>
      </c>
      <c r="G939" s="1" t="str">
        <f>TEXT(pizza_sales[[#This Row],[order_date]],"dddd")</f>
        <v>Monday</v>
      </c>
      <c r="H939" s="2">
        <v>0.7678935185185185</v>
      </c>
      <c r="I939">
        <v>10.5</v>
      </c>
      <c r="J939">
        <v>10.5</v>
      </c>
      <c r="K939" t="s">
        <v>60</v>
      </c>
      <c r="L939" t="s">
        <v>13</v>
      </c>
      <c r="M939" t="s">
        <v>14</v>
      </c>
      <c r="N939" t="s">
        <v>15</v>
      </c>
    </row>
    <row r="940" spans="1:14" x14ac:dyDescent="0.25">
      <c r="A940">
        <v>5676</v>
      </c>
      <c r="B940">
        <v>2515</v>
      </c>
      <c r="C940">
        <f>1/COUNTIF(B:B,pizza_sales[[#This Row],[order_id]])</f>
        <v>1</v>
      </c>
      <c r="D940" t="s">
        <v>39</v>
      </c>
      <c r="E940">
        <v>1</v>
      </c>
      <c r="F940" s="1">
        <v>42310</v>
      </c>
      <c r="G940" s="1" t="str">
        <f>TEXT(pizza_sales[[#This Row],[order_date]],"dddd")</f>
        <v>Monday</v>
      </c>
      <c r="H940" s="2">
        <v>0.78208333333333335</v>
      </c>
      <c r="I940">
        <v>20.25</v>
      </c>
      <c r="J940">
        <v>20.25</v>
      </c>
      <c r="K940" t="s">
        <v>58</v>
      </c>
      <c r="L940" t="s">
        <v>35</v>
      </c>
      <c r="M940" t="s">
        <v>40</v>
      </c>
      <c r="N940" t="s">
        <v>41</v>
      </c>
    </row>
    <row r="941" spans="1:14" x14ac:dyDescent="0.25">
      <c r="A941">
        <v>5681</v>
      </c>
      <c r="B941">
        <v>2518</v>
      </c>
      <c r="C941">
        <f>1/COUNTIF(B:B,pizza_sales[[#This Row],[order_id]])</f>
        <v>1</v>
      </c>
      <c r="D941" t="s">
        <v>34</v>
      </c>
      <c r="E941">
        <v>1</v>
      </c>
      <c r="F941" s="1">
        <v>42310</v>
      </c>
      <c r="G941" s="1" t="str">
        <f>TEXT(pizza_sales[[#This Row],[order_date]],"dddd")</f>
        <v>Monday</v>
      </c>
      <c r="H941" s="2">
        <v>0.79327546296296292</v>
      </c>
      <c r="I941">
        <v>16.25</v>
      </c>
      <c r="J941">
        <v>16.25</v>
      </c>
      <c r="K941" t="s">
        <v>59</v>
      </c>
      <c r="L941" t="s">
        <v>35</v>
      </c>
      <c r="M941" t="s">
        <v>36</v>
      </c>
      <c r="N941" t="s">
        <v>37</v>
      </c>
    </row>
    <row r="942" spans="1:14" x14ac:dyDescent="0.25">
      <c r="A942">
        <v>5685</v>
      </c>
      <c r="B942">
        <v>2519</v>
      </c>
      <c r="C942">
        <f>1/COUNTIF(B:B,pizza_sales[[#This Row],[order_id]])</f>
        <v>1</v>
      </c>
      <c r="D942" t="s">
        <v>25</v>
      </c>
      <c r="E942">
        <v>1</v>
      </c>
      <c r="F942" s="1">
        <v>42310</v>
      </c>
      <c r="G942" s="1" t="str">
        <f>TEXT(pizza_sales[[#This Row],[order_date]],"dddd")</f>
        <v>Monday</v>
      </c>
      <c r="H942" s="2">
        <v>0.79453703703703704</v>
      </c>
      <c r="I942">
        <v>15.25</v>
      </c>
      <c r="J942">
        <v>15.25</v>
      </c>
      <c r="K942" t="s">
        <v>58</v>
      </c>
      <c r="L942" t="s">
        <v>13</v>
      </c>
      <c r="M942" t="s">
        <v>26</v>
      </c>
      <c r="N942" t="s">
        <v>27</v>
      </c>
    </row>
    <row r="943" spans="1:14" x14ac:dyDescent="0.25">
      <c r="A943">
        <v>5688</v>
      </c>
      <c r="B943">
        <v>2521</v>
      </c>
      <c r="C943">
        <f>1/COUNTIF(B:B,pizza_sales[[#This Row],[order_id]])</f>
        <v>0.5</v>
      </c>
      <c r="D943" t="s">
        <v>44</v>
      </c>
      <c r="E943">
        <v>1</v>
      </c>
      <c r="F943" s="1">
        <v>42310</v>
      </c>
      <c r="G943" s="1" t="str">
        <f>TEXT(pizza_sales[[#This Row],[order_date]],"dddd")</f>
        <v>Monday</v>
      </c>
      <c r="H943" s="2">
        <v>0.79997685185185186</v>
      </c>
      <c r="I943">
        <v>9.75</v>
      </c>
      <c r="J943">
        <v>9.75</v>
      </c>
      <c r="K943" t="s">
        <v>60</v>
      </c>
      <c r="L943" t="s">
        <v>13</v>
      </c>
      <c r="M943" t="s">
        <v>26</v>
      </c>
      <c r="N943" t="s">
        <v>27</v>
      </c>
    </row>
    <row r="944" spans="1:14" x14ac:dyDescent="0.25">
      <c r="A944">
        <v>5689</v>
      </c>
      <c r="B944">
        <v>2521</v>
      </c>
      <c r="C944">
        <f>1/COUNTIF(B:B,pizza_sales[[#This Row],[order_id]])</f>
        <v>0.5</v>
      </c>
      <c r="D944" t="s">
        <v>39</v>
      </c>
      <c r="E944">
        <v>1</v>
      </c>
      <c r="F944" s="1">
        <v>42310</v>
      </c>
      <c r="G944" s="1" t="str">
        <f>TEXT(pizza_sales[[#This Row],[order_date]],"dddd")</f>
        <v>Monday</v>
      </c>
      <c r="H944" s="2">
        <v>0.79997685185185186</v>
      </c>
      <c r="I944">
        <v>20.25</v>
      </c>
      <c r="J944">
        <v>20.25</v>
      </c>
      <c r="K944" t="s">
        <v>58</v>
      </c>
      <c r="L944" t="s">
        <v>35</v>
      </c>
      <c r="M944" t="s">
        <v>40</v>
      </c>
      <c r="N944" t="s">
        <v>41</v>
      </c>
    </row>
    <row r="945" spans="1:14" x14ac:dyDescent="0.25">
      <c r="A945">
        <v>5691</v>
      </c>
      <c r="B945">
        <v>2522</v>
      </c>
      <c r="C945">
        <f>1/COUNTIF(B:B,pizza_sales[[#This Row],[order_id]])</f>
        <v>1</v>
      </c>
      <c r="D945" t="s">
        <v>38</v>
      </c>
      <c r="E945">
        <v>1</v>
      </c>
      <c r="F945" s="1">
        <v>42310</v>
      </c>
      <c r="G945" s="1" t="str">
        <f>TEXT(pizza_sales[[#This Row],[order_date]],"dddd")</f>
        <v>Monday</v>
      </c>
      <c r="H945" s="2">
        <v>0.80956018518518513</v>
      </c>
      <c r="I945">
        <v>20.5</v>
      </c>
      <c r="J945">
        <v>20.5</v>
      </c>
      <c r="K945" t="s">
        <v>58</v>
      </c>
      <c r="L945" t="s">
        <v>13</v>
      </c>
      <c r="M945" t="s">
        <v>32</v>
      </c>
      <c r="N945" t="s">
        <v>33</v>
      </c>
    </row>
    <row r="946" spans="1:14" x14ac:dyDescent="0.25">
      <c r="A946">
        <v>5703</v>
      </c>
      <c r="B946">
        <v>2526</v>
      </c>
      <c r="C946">
        <f>1/COUNTIF(B:B,pizza_sales[[#This Row],[order_id]])</f>
        <v>1</v>
      </c>
      <c r="D946" t="s">
        <v>28</v>
      </c>
      <c r="E946">
        <v>1</v>
      </c>
      <c r="F946" s="1">
        <v>42310</v>
      </c>
      <c r="G946" s="1" t="str">
        <f>TEXT(pizza_sales[[#This Row],[order_date]],"dddd")</f>
        <v>Monday</v>
      </c>
      <c r="H946" s="2">
        <v>0.81701388888888893</v>
      </c>
      <c r="I946">
        <v>12</v>
      </c>
      <c r="J946">
        <v>12</v>
      </c>
      <c r="K946" t="s">
        <v>60</v>
      </c>
      <c r="L946" t="s">
        <v>13</v>
      </c>
      <c r="M946" t="s">
        <v>29</v>
      </c>
      <c r="N946" t="s">
        <v>30</v>
      </c>
    </row>
    <row r="947" spans="1:14" x14ac:dyDescent="0.25">
      <c r="A947">
        <v>5709</v>
      </c>
      <c r="B947">
        <v>2528</v>
      </c>
      <c r="C947">
        <f>1/COUNTIF(B:B,pizza_sales[[#This Row],[order_id]])</f>
        <v>1</v>
      </c>
      <c r="D947" t="s">
        <v>44</v>
      </c>
      <c r="E947">
        <v>1</v>
      </c>
      <c r="F947" s="1">
        <v>42310</v>
      </c>
      <c r="G947" s="1" t="str">
        <f>TEXT(pizza_sales[[#This Row],[order_date]],"dddd")</f>
        <v>Monday</v>
      </c>
      <c r="H947" s="2">
        <v>0.82962962962962961</v>
      </c>
      <c r="I947">
        <v>9.75</v>
      </c>
      <c r="J947">
        <v>9.75</v>
      </c>
      <c r="K947" t="s">
        <v>60</v>
      </c>
      <c r="L947" t="s">
        <v>13</v>
      </c>
      <c r="M947" t="s">
        <v>26</v>
      </c>
      <c r="N947" t="s">
        <v>27</v>
      </c>
    </row>
    <row r="948" spans="1:14" x14ac:dyDescent="0.25">
      <c r="A948">
        <v>5711</v>
      </c>
      <c r="B948">
        <v>2529</v>
      </c>
      <c r="C948">
        <f>1/COUNTIF(B:B,pizza_sales[[#This Row],[order_id]])</f>
        <v>0.5</v>
      </c>
      <c r="D948" t="s">
        <v>45</v>
      </c>
      <c r="E948">
        <v>1</v>
      </c>
      <c r="F948" s="1">
        <v>42310</v>
      </c>
      <c r="G948" s="1" t="str">
        <f>TEXT(pizza_sales[[#This Row],[order_date]],"dddd")</f>
        <v>Monday</v>
      </c>
      <c r="H948" s="2">
        <v>0.83762731481481478</v>
      </c>
      <c r="I948">
        <v>10.5</v>
      </c>
      <c r="J948">
        <v>10.5</v>
      </c>
      <c r="K948" t="s">
        <v>60</v>
      </c>
      <c r="L948" t="s">
        <v>13</v>
      </c>
      <c r="M948" t="s">
        <v>14</v>
      </c>
      <c r="N948" t="s">
        <v>15</v>
      </c>
    </row>
    <row r="949" spans="1:14" x14ac:dyDescent="0.25">
      <c r="A949">
        <v>5712</v>
      </c>
      <c r="B949">
        <v>2529</v>
      </c>
      <c r="C949">
        <f>1/COUNTIF(B:B,pizza_sales[[#This Row],[order_id]])</f>
        <v>0.5</v>
      </c>
      <c r="D949" t="s">
        <v>25</v>
      </c>
      <c r="E949">
        <v>1</v>
      </c>
      <c r="F949" s="1">
        <v>42310</v>
      </c>
      <c r="G949" s="1" t="str">
        <f>TEXT(pizza_sales[[#This Row],[order_date]],"dddd")</f>
        <v>Monday</v>
      </c>
      <c r="H949" s="2">
        <v>0.83762731481481478</v>
      </c>
      <c r="I949">
        <v>15.25</v>
      </c>
      <c r="J949">
        <v>15.25</v>
      </c>
      <c r="K949" t="s">
        <v>58</v>
      </c>
      <c r="L949" t="s">
        <v>13</v>
      </c>
      <c r="M949" t="s">
        <v>26</v>
      </c>
      <c r="N949" t="s">
        <v>27</v>
      </c>
    </row>
    <row r="950" spans="1:14" x14ac:dyDescent="0.25">
      <c r="A950">
        <v>5715</v>
      </c>
      <c r="B950">
        <v>2530</v>
      </c>
      <c r="C950">
        <f>1/COUNTIF(B:B,pizza_sales[[#This Row],[order_id]])</f>
        <v>0.5</v>
      </c>
      <c r="D950" t="s">
        <v>48</v>
      </c>
      <c r="E950">
        <v>1</v>
      </c>
      <c r="F950" s="1">
        <v>42310</v>
      </c>
      <c r="G950" s="1" t="str">
        <f>TEXT(pizza_sales[[#This Row],[order_date]],"dddd")</f>
        <v>Monday</v>
      </c>
      <c r="H950" s="2">
        <v>0.84127314814814813</v>
      </c>
      <c r="I950">
        <v>12.25</v>
      </c>
      <c r="J950">
        <v>12.25</v>
      </c>
      <c r="K950" t="s">
        <v>60</v>
      </c>
      <c r="L950" t="s">
        <v>35</v>
      </c>
      <c r="M950" t="s">
        <v>40</v>
      </c>
      <c r="N950" t="s">
        <v>41</v>
      </c>
    </row>
    <row r="951" spans="1:14" x14ac:dyDescent="0.25">
      <c r="A951">
        <v>5716</v>
      </c>
      <c r="B951">
        <v>2530</v>
      </c>
      <c r="C951">
        <f>1/COUNTIF(B:B,pizza_sales[[#This Row],[order_id]])</f>
        <v>0.5</v>
      </c>
      <c r="D951" t="s">
        <v>55</v>
      </c>
      <c r="E951">
        <v>1</v>
      </c>
      <c r="F951" s="1">
        <v>42310</v>
      </c>
      <c r="G951" s="1" t="str">
        <f>TEXT(pizza_sales[[#This Row],[order_date]],"dddd")</f>
        <v>Monday</v>
      </c>
      <c r="H951" s="2">
        <v>0.84127314814814813</v>
      </c>
      <c r="I951">
        <v>20.5</v>
      </c>
      <c r="J951">
        <v>20.5</v>
      </c>
      <c r="K951" t="s">
        <v>58</v>
      </c>
      <c r="L951" t="s">
        <v>13</v>
      </c>
      <c r="M951" t="s">
        <v>21</v>
      </c>
      <c r="N951" t="s">
        <v>22</v>
      </c>
    </row>
    <row r="952" spans="1:14" x14ac:dyDescent="0.25">
      <c r="A952">
        <v>5718</v>
      </c>
      <c r="B952">
        <v>2531</v>
      </c>
      <c r="C952">
        <f>1/COUNTIF(B:B,pizza_sales[[#This Row],[order_id]])</f>
        <v>1</v>
      </c>
      <c r="D952" t="s">
        <v>43</v>
      </c>
      <c r="E952">
        <v>1</v>
      </c>
      <c r="F952" s="1">
        <v>42310</v>
      </c>
      <c r="G952" s="1" t="str">
        <f>TEXT(pizza_sales[[#This Row],[order_date]],"dddd")</f>
        <v>Monday</v>
      </c>
      <c r="H952" s="2">
        <v>0.84864583333333332</v>
      </c>
      <c r="I952">
        <v>16.25</v>
      </c>
      <c r="J952">
        <v>16.25</v>
      </c>
      <c r="K952" t="s">
        <v>59</v>
      </c>
      <c r="L952" t="s">
        <v>35</v>
      </c>
      <c r="M952" t="s">
        <v>40</v>
      </c>
      <c r="N952" t="s">
        <v>41</v>
      </c>
    </row>
    <row r="953" spans="1:14" x14ac:dyDescent="0.25">
      <c r="A953">
        <v>5719</v>
      </c>
      <c r="B953">
        <v>2532</v>
      </c>
      <c r="C953">
        <f>1/COUNTIF(B:B,pizza_sales[[#This Row],[order_id]])</f>
        <v>1</v>
      </c>
      <c r="D953" t="s">
        <v>45</v>
      </c>
      <c r="E953">
        <v>1</v>
      </c>
      <c r="F953" s="1">
        <v>42310</v>
      </c>
      <c r="G953" s="1" t="str">
        <f>TEXT(pizza_sales[[#This Row],[order_date]],"dddd")</f>
        <v>Monday</v>
      </c>
      <c r="H953" s="2">
        <v>0.85642361111111109</v>
      </c>
      <c r="I953">
        <v>10.5</v>
      </c>
      <c r="J953">
        <v>10.5</v>
      </c>
      <c r="K953" t="s">
        <v>60</v>
      </c>
      <c r="L953" t="s">
        <v>13</v>
      </c>
      <c r="M953" t="s">
        <v>14</v>
      </c>
      <c r="N953" t="s">
        <v>15</v>
      </c>
    </row>
    <row r="954" spans="1:14" x14ac:dyDescent="0.25">
      <c r="A954">
        <v>5731</v>
      </c>
      <c r="B954">
        <v>2540</v>
      </c>
      <c r="C954">
        <f>1/COUNTIF(B:B,pizza_sales[[#This Row],[order_id]])</f>
        <v>1</v>
      </c>
      <c r="D954" t="s">
        <v>12</v>
      </c>
      <c r="E954">
        <v>1</v>
      </c>
      <c r="F954" s="1">
        <v>42340</v>
      </c>
      <c r="G954" s="1" t="str">
        <f>TEXT(pizza_sales[[#This Row],[order_date]],"dddd")</f>
        <v>Wednesday</v>
      </c>
      <c r="H954" s="2">
        <v>0.49224537037037036</v>
      </c>
      <c r="I954">
        <v>13.25</v>
      </c>
      <c r="J954">
        <v>13.25</v>
      </c>
      <c r="K954" t="s">
        <v>59</v>
      </c>
      <c r="L954" t="s">
        <v>13</v>
      </c>
      <c r="M954" t="s">
        <v>14</v>
      </c>
      <c r="N954" t="s">
        <v>15</v>
      </c>
    </row>
    <row r="955" spans="1:14" x14ac:dyDescent="0.25">
      <c r="A955">
        <v>5733</v>
      </c>
      <c r="B955">
        <v>2541</v>
      </c>
      <c r="C955">
        <f>1/COUNTIF(B:B,pizza_sales[[#This Row],[order_id]])</f>
        <v>1</v>
      </c>
      <c r="D955" t="s">
        <v>16</v>
      </c>
      <c r="E955">
        <v>1</v>
      </c>
      <c r="F955" s="1">
        <v>42340</v>
      </c>
      <c r="G955" s="1" t="str">
        <f>TEXT(pizza_sales[[#This Row],[order_date]],"dddd")</f>
        <v>Wednesday</v>
      </c>
      <c r="H955" s="2">
        <v>0.49634259259259261</v>
      </c>
      <c r="I955">
        <v>16</v>
      </c>
      <c r="J955">
        <v>16</v>
      </c>
      <c r="K955" t="s">
        <v>59</v>
      </c>
      <c r="L955" t="s">
        <v>17</v>
      </c>
      <c r="M955" t="s">
        <v>18</v>
      </c>
      <c r="N955" t="s">
        <v>19</v>
      </c>
    </row>
    <row r="956" spans="1:14" x14ac:dyDescent="0.25">
      <c r="A956">
        <v>5739</v>
      </c>
      <c r="B956">
        <v>2544</v>
      </c>
      <c r="C956">
        <f>1/COUNTIF(B:B,pizza_sales[[#This Row],[order_id]])</f>
        <v>1</v>
      </c>
      <c r="D956" t="s">
        <v>42</v>
      </c>
      <c r="E956">
        <v>1</v>
      </c>
      <c r="F956" s="1">
        <v>42340</v>
      </c>
      <c r="G956" s="1" t="str">
        <f>TEXT(pizza_sales[[#This Row],[order_date]],"dddd")</f>
        <v>Wednesday</v>
      </c>
      <c r="H956" s="2">
        <v>0.50239583333333337</v>
      </c>
      <c r="I956">
        <v>12.5</v>
      </c>
      <c r="J956">
        <v>12.5</v>
      </c>
      <c r="K956" t="s">
        <v>59</v>
      </c>
      <c r="L956" t="s">
        <v>13</v>
      </c>
      <c r="M956" t="s">
        <v>26</v>
      </c>
      <c r="N956" t="s">
        <v>27</v>
      </c>
    </row>
    <row r="957" spans="1:14" x14ac:dyDescent="0.25">
      <c r="A957">
        <v>5741</v>
      </c>
      <c r="B957">
        <v>2546</v>
      </c>
      <c r="C957">
        <f>1/COUNTIF(B:B,pizza_sales[[#This Row],[order_id]])</f>
        <v>1</v>
      </c>
      <c r="D957" t="s">
        <v>28</v>
      </c>
      <c r="E957">
        <v>1</v>
      </c>
      <c r="F957" s="1">
        <v>42340</v>
      </c>
      <c r="G957" s="1" t="str">
        <f>TEXT(pizza_sales[[#This Row],[order_date]],"dddd")</f>
        <v>Wednesday</v>
      </c>
      <c r="H957" s="2">
        <v>0.52849537037037042</v>
      </c>
      <c r="I957">
        <v>12</v>
      </c>
      <c r="J957">
        <v>12</v>
      </c>
      <c r="K957" t="s">
        <v>60</v>
      </c>
      <c r="L957" t="s">
        <v>13</v>
      </c>
      <c r="M957" t="s">
        <v>29</v>
      </c>
      <c r="N957" t="s">
        <v>30</v>
      </c>
    </row>
    <row r="958" spans="1:14" x14ac:dyDescent="0.25">
      <c r="A958">
        <v>5744</v>
      </c>
      <c r="B958">
        <v>2547</v>
      </c>
      <c r="C958">
        <f>1/COUNTIF(B:B,pizza_sales[[#This Row],[order_id]])</f>
        <v>0.25</v>
      </c>
      <c r="D958" t="s">
        <v>51</v>
      </c>
      <c r="E958">
        <v>1</v>
      </c>
      <c r="F958" s="1">
        <v>42340</v>
      </c>
      <c r="G958" s="1" t="str">
        <f>TEXT(pizza_sales[[#This Row],[order_date]],"dddd")</f>
        <v>Wednesday</v>
      </c>
      <c r="H958" s="2">
        <v>0.53181712962962968</v>
      </c>
      <c r="I958">
        <v>23.65</v>
      </c>
      <c r="J958">
        <v>23.65</v>
      </c>
      <c r="K958" t="s">
        <v>60</v>
      </c>
      <c r="L958" t="s">
        <v>35</v>
      </c>
      <c r="M958" t="s">
        <v>52</v>
      </c>
      <c r="N958" t="s">
        <v>53</v>
      </c>
    </row>
    <row r="959" spans="1:14" x14ac:dyDescent="0.25">
      <c r="A959">
        <v>5748</v>
      </c>
      <c r="B959">
        <v>2547</v>
      </c>
      <c r="C959">
        <f>1/COUNTIF(B:B,pizza_sales[[#This Row],[order_id]])</f>
        <v>0.25</v>
      </c>
      <c r="D959" t="s">
        <v>47</v>
      </c>
      <c r="E959">
        <v>1</v>
      </c>
      <c r="F959" s="1">
        <v>42340</v>
      </c>
      <c r="G959" s="1" t="str">
        <f>TEXT(pizza_sales[[#This Row],[order_date]],"dddd")</f>
        <v>Wednesday</v>
      </c>
      <c r="H959" s="2">
        <v>0.53181712962962968</v>
      </c>
      <c r="I959">
        <v>16.5</v>
      </c>
      <c r="J959">
        <v>16.5</v>
      </c>
      <c r="K959" t="s">
        <v>58</v>
      </c>
      <c r="L959" t="s">
        <v>13</v>
      </c>
      <c r="M959" t="s">
        <v>14</v>
      </c>
      <c r="N959" t="s">
        <v>15</v>
      </c>
    </row>
    <row r="960" spans="1:14" x14ac:dyDescent="0.25">
      <c r="A960">
        <v>5751</v>
      </c>
      <c r="B960">
        <v>2547</v>
      </c>
      <c r="C960">
        <f>1/COUNTIF(B:B,pizza_sales[[#This Row],[order_id]])</f>
        <v>0.25</v>
      </c>
      <c r="D960" t="s">
        <v>24</v>
      </c>
      <c r="E960">
        <v>1</v>
      </c>
      <c r="F960" s="1">
        <v>42340</v>
      </c>
      <c r="G960" s="1" t="str">
        <f>TEXT(pizza_sales[[#This Row],[order_date]],"dddd")</f>
        <v>Wednesday</v>
      </c>
      <c r="H960" s="2">
        <v>0.53181712962962968</v>
      </c>
      <c r="I960">
        <v>20.25</v>
      </c>
      <c r="J960">
        <v>20.25</v>
      </c>
      <c r="K960" t="s">
        <v>58</v>
      </c>
      <c r="L960" t="s">
        <v>17</v>
      </c>
      <c r="M960" t="s">
        <v>18</v>
      </c>
      <c r="N960" t="s">
        <v>19</v>
      </c>
    </row>
    <row r="961" spans="1:14" x14ac:dyDescent="0.25">
      <c r="A961">
        <v>5752</v>
      </c>
      <c r="B961">
        <v>2547</v>
      </c>
      <c r="C961">
        <f>1/COUNTIF(B:B,pizza_sales[[#This Row],[order_id]])</f>
        <v>0.25</v>
      </c>
      <c r="D961" t="s">
        <v>42</v>
      </c>
      <c r="E961">
        <v>1</v>
      </c>
      <c r="F961" s="1">
        <v>42340</v>
      </c>
      <c r="G961" s="1" t="str">
        <f>TEXT(pizza_sales[[#This Row],[order_date]],"dddd")</f>
        <v>Wednesday</v>
      </c>
      <c r="H961" s="2">
        <v>0.53181712962962968</v>
      </c>
      <c r="I961">
        <v>12.5</v>
      </c>
      <c r="J961">
        <v>12.5</v>
      </c>
      <c r="K961" t="s">
        <v>59</v>
      </c>
      <c r="L961" t="s">
        <v>13</v>
      </c>
      <c r="M961" t="s">
        <v>26</v>
      </c>
      <c r="N961" t="s">
        <v>27</v>
      </c>
    </row>
    <row r="962" spans="1:14" x14ac:dyDescent="0.25">
      <c r="A962">
        <v>5756</v>
      </c>
      <c r="B962">
        <v>2548</v>
      </c>
      <c r="C962">
        <f>1/COUNTIF(B:B,pizza_sales[[#This Row],[order_id]])</f>
        <v>1</v>
      </c>
      <c r="D962" t="s">
        <v>51</v>
      </c>
      <c r="E962">
        <v>1</v>
      </c>
      <c r="F962" s="1">
        <v>42340</v>
      </c>
      <c r="G962" s="1" t="str">
        <f>TEXT(pizza_sales[[#This Row],[order_date]],"dddd")</f>
        <v>Wednesday</v>
      </c>
      <c r="H962" s="2">
        <v>0.53336805555555555</v>
      </c>
      <c r="I962">
        <v>23.65</v>
      </c>
      <c r="J962">
        <v>23.65</v>
      </c>
      <c r="K962" t="s">
        <v>60</v>
      </c>
      <c r="L962" t="s">
        <v>35</v>
      </c>
      <c r="M962" t="s">
        <v>52</v>
      </c>
      <c r="N962" t="s">
        <v>53</v>
      </c>
    </row>
    <row r="963" spans="1:14" x14ac:dyDescent="0.25">
      <c r="A963">
        <v>5761</v>
      </c>
      <c r="B963">
        <v>2550</v>
      </c>
      <c r="C963">
        <f>1/COUNTIF(B:B,pizza_sales[[#This Row],[order_id]])</f>
        <v>1</v>
      </c>
      <c r="D963" t="s">
        <v>39</v>
      </c>
      <c r="E963">
        <v>1</v>
      </c>
      <c r="F963" s="1">
        <v>42340</v>
      </c>
      <c r="G963" s="1" t="str">
        <f>TEXT(pizza_sales[[#This Row],[order_date]],"dddd")</f>
        <v>Wednesday</v>
      </c>
      <c r="H963" s="2">
        <v>0.55479166666666668</v>
      </c>
      <c r="I963">
        <v>20.25</v>
      </c>
      <c r="J963">
        <v>20.25</v>
      </c>
      <c r="K963" t="s">
        <v>58</v>
      </c>
      <c r="L963" t="s">
        <v>35</v>
      </c>
      <c r="M963" t="s">
        <v>40</v>
      </c>
      <c r="N963" t="s">
        <v>41</v>
      </c>
    </row>
    <row r="964" spans="1:14" x14ac:dyDescent="0.25">
      <c r="A964">
        <v>5762</v>
      </c>
      <c r="B964">
        <v>2551</v>
      </c>
      <c r="C964">
        <f>1/COUNTIF(B:B,pizza_sales[[#This Row],[order_id]])</f>
        <v>0.5</v>
      </c>
      <c r="D964" t="s">
        <v>56</v>
      </c>
      <c r="E964">
        <v>1</v>
      </c>
      <c r="F964" s="1">
        <v>42340</v>
      </c>
      <c r="G964" s="1" t="str">
        <f>TEXT(pizza_sales[[#This Row],[order_date]],"dddd")</f>
        <v>Wednesday</v>
      </c>
      <c r="H964" s="2">
        <v>0.56135416666666671</v>
      </c>
      <c r="I964">
        <v>20.25</v>
      </c>
      <c r="J964">
        <v>20.25</v>
      </c>
      <c r="K964" t="s">
        <v>58</v>
      </c>
      <c r="L964" t="s">
        <v>35</v>
      </c>
      <c r="M964" t="s">
        <v>36</v>
      </c>
      <c r="N964" t="s">
        <v>37</v>
      </c>
    </row>
    <row r="965" spans="1:14" x14ac:dyDescent="0.25">
      <c r="A965">
        <v>5763</v>
      </c>
      <c r="B965">
        <v>2551</v>
      </c>
      <c r="C965">
        <f>1/COUNTIF(B:B,pizza_sales[[#This Row],[order_id]])</f>
        <v>0.5</v>
      </c>
      <c r="D965" t="s">
        <v>47</v>
      </c>
      <c r="E965">
        <v>1</v>
      </c>
      <c r="F965" s="1">
        <v>42340</v>
      </c>
      <c r="G965" s="1" t="str">
        <f>TEXT(pizza_sales[[#This Row],[order_date]],"dddd")</f>
        <v>Wednesday</v>
      </c>
      <c r="H965" s="2">
        <v>0.56135416666666671</v>
      </c>
      <c r="I965">
        <v>16.5</v>
      </c>
      <c r="J965">
        <v>16.5</v>
      </c>
      <c r="K965" t="s">
        <v>58</v>
      </c>
      <c r="L965" t="s">
        <v>13</v>
      </c>
      <c r="M965" t="s">
        <v>14</v>
      </c>
      <c r="N965" t="s">
        <v>15</v>
      </c>
    </row>
    <row r="966" spans="1:14" x14ac:dyDescent="0.25">
      <c r="A966">
        <v>5765</v>
      </c>
      <c r="B966">
        <v>2553</v>
      </c>
      <c r="C966">
        <f>1/COUNTIF(B:B,pizza_sales[[#This Row],[order_id]])</f>
        <v>1</v>
      </c>
      <c r="D966" t="s">
        <v>20</v>
      </c>
      <c r="E966">
        <v>1</v>
      </c>
      <c r="F966" s="1">
        <v>42340</v>
      </c>
      <c r="G966" s="1" t="str">
        <f>TEXT(pizza_sales[[#This Row],[order_date]],"dddd")</f>
        <v>Wednesday</v>
      </c>
      <c r="H966" s="2">
        <v>0.57438657407407412</v>
      </c>
      <c r="I966">
        <v>12</v>
      </c>
      <c r="J966">
        <v>12</v>
      </c>
      <c r="K966" t="s">
        <v>60</v>
      </c>
      <c r="L966" t="s">
        <v>13</v>
      </c>
      <c r="M966" t="s">
        <v>21</v>
      </c>
      <c r="N966" t="s">
        <v>22</v>
      </c>
    </row>
    <row r="967" spans="1:14" x14ac:dyDescent="0.25">
      <c r="A967">
        <v>5768</v>
      </c>
      <c r="B967">
        <v>2555</v>
      </c>
      <c r="C967">
        <f>1/COUNTIF(B:B,pizza_sales[[#This Row],[order_id]])</f>
        <v>1</v>
      </c>
      <c r="D967" t="s">
        <v>51</v>
      </c>
      <c r="E967">
        <v>1</v>
      </c>
      <c r="F967" s="1">
        <v>42340</v>
      </c>
      <c r="G967" s="1" t="str">
        <f>TEXT(pizza_sales[[#This Row],[order_date]],"dddd")</f>
        <v>Wednesday</v>
      </c>
      <c r="H967" s="2">
        <v>0.58333333333333337</v>
      </c>
      <c r="I967">
        <v>23.65</v>
      </c>
      <c r="J967">
        <v>23.65</v>
      </c>
      <c r="K967" t="s">
        <v>60</v>
      </c>
      <c r="L967" t="s">
        <v>35</v>
      </c>
      <c r="M967" t="s">
        <v>52</v>
      </c>
      <c r="N967" t="s">
        <v>53</v>
      </c>
    </row>
    <row r="968" spans="1:14" x14ac:dyDescent="0.25">
      <c r="A968">
        <v>5772</v>
      </c>
      <c r="B968">
        <v>2557</v>
      </c>
      <c r="C968">
        <f>1/COUNTIF(B:B,pizza_sales[[#This Row],[order_id]])</f>
        <v>0.33333333333333331</v>
      </c>
      <c r="D968" t="s">
        <v>39</v>
      </c>
      <c r="E968">
        <v>1</v>
      </c>
      <c r="F968" s="1">
        <v>42340</v>
      </c>
      <c r="G968" s="1" t="str">
        <f>TEXT(pizza_sales[[#This Row],[order_date]],"dddd")</f>
        <v>Wednesday</v>
      </c>
      <c r="H968" s="2">
        <v>0.59012731481481484</v>
      </c>
      <c r="I968">
        <v>20.25</v>
      </c>
      <c r="J968">
        <v>20.25</v>
      </c>
      <c r="K968" t="s">
        <v>58</v>
      </c>
      <c r="L968" t="s">
        <v>35</v>
      </c>
      <c r="M968" t="s">
        <v>40</v>
      </c>
      <c r="N968" t="s">
        <v>41</v>
      </c>
    </row>
    <row r="969" spans="1:14" x14ac:dyDescent="0.25">
      <c r="A969">
        <v>5773</v>
      </c>
      <c r="B969">
        <v>2557</v>
      </c>
      <c r="C969">
        <f>1/COUNTIF(B:B,pizza_sales[[#This Row],[order_id]])</f>
        <v>0.33333333333333331</v>
      </c>
      <c r="D969" t="s">
        <v>49</v>
      </c>
      <c r="E969">
        <v>1</v>
      </c>
      <c r="F969" s="1">
        <v>42340</v>
      </c>
      <c r="G969" s="1" t="str">
        <f>TEXT(pizza_sales[[#This Row],[order_date]],"dddd")</f>
        <v>Wednesday</v>
      </c>
      <c r="H969" s="2">
        <v>0.59012731481481484</v>
      </c>
      <c r="I969">
        <v>16</v>
      </c>
      <c r="J969">
        <v>16</v>
      </c>
      <c r="K969" t="s">
        <v>59</v>
      </c>
      <c r="L969" t="s">
        <v>13</v>
      </c>
      <c r="M969" t="s">
        <v>21</v>
      </c>
      <c r="N969" t="s">
        <v>22</v>
      </c>
    </row>
    <row r="970" spans="1:14" x14ac:dyDescent="0.25">
      <c r="A970">
        <v>5774</v>
      </c>
      <c r="B970">
        <v>2557</v>
      </c>
      <c r="C970">
        <f>1/COUNTIF(B:B,pizza_sales[[#This Row],[order_id]])</f>
        <v>0.33333333333333331</v>
      </c>
      <c r="D970" t="s">
        <v>20</v>
      </c>
      <c r="E970">
        <v>1</v>
      </c>
      <c r="F970" s="1">
        <v>42340</v>
      </c>
      <c r="G970" s="1" t="str">
        <f>TEXT(pizza_sales[[#This Row],[order_date]],"dddd")</f>
        <v>Wednesday</v>
      </c>
      <c r="H970" s="2">
        <v>0.59012731481481484</v>
      </c>
      <c r="I970">
        <v>12</v>
      </c>
      <c r="J970">
        <v>12</v>
      </c>
      <c r="K970" t="s">
        <v>60</v>
      </c>
      <c r="L970" t="s">
        <v>13</v>
      </c>
      <c r="M970" t="s">
        <v>21</v>
      </c>
      <c r="N970" t="s">
        <v>22</v>
      </c>
    </row>
    <row r="971" spans="1:14" x14ac:dyDescent="0.25">
      <c r="A971">
        <v>5776</v>
      </c>
      <c r="B971">
        <v>2558</v>
      </c>
      <c r="C971">
        <f>1/COUNTIF(B:B,pizza_sales[[#This Row],[order_id]])</f>
        <v>1</v>
      </c>
      <c r="D971" t="s">
        <v>47</v>
      </c>
      <c r="E971">
        <v>1</v>
      </c>
      <c r="F971" s="1">
        <v>42340</v>
      </c>
      <c r="G971" s="1" t="str">
        <f>TEXT(pizza_sales[[#This Row],[order_date]],"dddd")</f>
        <v>Wednesday</v>
      </c>
      <c r="H971" s="2">
        <v>0.59738425925925931</v>
      </c>
      <c r="I971">
        <v>16.5</v>
      </c>
      <c r="J971">
        <v>16.5</v>
      </c>
      <c r="K971" t="s">
        <v>58</v>
      </c>
      <c r="L971" t="s">
        <v>13</v>
      </c>
      <c r="M971" t="s">
        <v>14</v>
      </c>
      <c r="N971" t="s">
        <v>15</v>
      </c>
    </row>
    <row r="972" spans="1:14" x14ac:dyDescent="0.25">
      <c r="A972">
        <v>5778</v>
      </c>
      <c r="B972">
        <v>2560</v>
      </c>
      <c r="C972">
        <f>1/COUNTIF(B:B,pizza_sales[[#This Row],[order_id]])</f>
        <v>1</v>
      </c>
      <c r="D972" t="s">
        <v>51</v>
      </c>
      <c r="E972">
        <v>1</v>
      </c>
      <c r="F972" s="1">
        <v>42340</v>
      </c>
      <c r="G972" s="1" t="str">
        <f>TEXT(pizza_sales[[#This Row],[order_date]],"dddd")</f>
        <v>Wednesday</v>
      </c>
      <c r="H972" s="2">
        <v>0.60226851851851848</v>
      </c>
      <c r="I972">
        <v>23.65</v>
      </c>
      <c r="J972">
        <v>23.65</v>
      </c>
      <c r="K972" t="s">
        <v>60</v>
      </c>
      <c r="L972" t="s">
        <v>35</v>
      </c>
      <c r="M972" t="s">
        <v>52</v>
      </c>
      <c r="N972" t="s">
        <v>53</v>
      </c>
    </row>
    <row r="973" spans="1:14" x14ac:dyDescent="0.25">
      <c r="A973">
        <v>5781</v>
      </c>
      <c r="B973">
        <v>2562</v>
      </c>
      <c r="C973">
        <f>1/COUNTIF(B:B,pizza_sales[[#This Row],[order_id]])</f>
        <v>0.5</v>
      </c>
      <c r="D973" t="s">
        <v>16</v>
      </c>
      <c r="E973">
        <v>1</v>
      </c>
      <c r="F973" s="1">
        <v>42340</v>
      </c>
      <c r="G973" s="1" t="str">
        <f>TEXT(pizza_sales[[#This Row],[order_date]],"dddd")</f>
        <v>Wednesday</v>
      </c>
      <c r="H973" s="2">
        <v>0.60442129629629626</v>
      </c>
      <c r="I973">
        <v>16</v>
      </c>
      <c r="J973">
        <v>16</v>
      </c>
      <c r="K973" t="s">
        <v>59</v>
      </c>
      <c r="L973" t="s">
        <v>17</v>
      </c>
      <c r="M973" t="s">
        <v>18</v>
      </c>
      <c r="N973" t="s">
        <v>19</v>
      </c>
    </row>
    <row r="974" spans="1:14" x14ac:dyDescent="0.25">
      <c r="A974">
        <v>5782</v>
      </c>
      <c r="B974">
        <v>2562</v>
      </c>
      <c r="C974">
        <f>1/COUNTIF(B:B,pizza_sales[[#This Row],[order_id]])</f>
        <v>0.5</v>
      </c>
      <c r="D974" t="s">
        <v>25</v>
      </c>
      <c r="E974">
        <v>1</v>
      </c>
      <c r="F974" s="1">
        <v>42340</v>
      </c>
      <c r="G974" s="1" t="str">
        <f>TEXT(pizza_sales[[#This Row],[order_date]],"dddd")</f>
        <v>Wednesday</v>
      </c>
      <c r="H974" s="2">
        <v>0.60442129629629626</v>
      </c>
      <c r="I974">
        <v>15.25</v>
      </c>
      <c r="J974">
        <v>15.25</v>
      </c>
      <c r="K974" t="s">
        <v>58</v>
      </c>
      <c r="L974" t="s">
        <v>13</v>
      </c>
      <c r="M974" t="s">
        <v>26</v>
      </c>
      <c r="N974" t="s">
        <v>27</v>
      </c>
    </row>
    <row r="975" spans="1:14" x14ac:dyDescent="0.25">
      <c r="A975">
        <v>5784</v>
      </c>
      <c r="B975">
        <v>2563</v>
      </c>
      <c r="C975">
        <f>1/COUNTIF(B:B,pizza_sales[[#This Row],[order_id]])</f>
        <v>0.33333333333333331</v>
      </c>
      <c r="D975" t="s">
        <v>34</v>
      </c>
      <c r="E975">
        <v>1</v>
      </c>
      <c r="F975" s="1">
        <v>42340</v>
      </c>
      <c r="G975" s="1" t="str">
        <f>TEXT(pizza_sales[[#This Row],[order_date]],"dddd")</f>
        <v>Wednesday</v>
      </c>
      <c r="H975" s="2">
        <v>0.6136342592592593</v>
      </c>
      <c r="I975">
        <v>16.25</v>
      </c>
      <c r="J975">
        <v>16.25</v>
      </c>
      <c r="K975" t="s">
        <v>59</v>
      </c>
      <c r="L975" t="s">
        <v>35</v>
      </c>
      <c r="M975" t="s">
        <v>36</v>
      </c>
      <c r="N975" t="s">
        <v>37</v>
      </c>
    </row>
    <row r="976" spans="1:14" x14ac:dyDescent="0.25">
      <c r="A976">
        <v>5785</v>
      </c>
      <c r="B976">
        <v>2563</v>
      </c>
      <c r="C976">
        <f>1/COUNTIF(B:B,pizza_sales[[#This Row],[order_id]])</f>
        <v>0.33333333333333331</v>
      </c>
      <c r="D976" t="s">
        <v>38</v>
      </c>
      <c r="E976">
        <v>1</v>
      </c>
      <c r="F976" s="1">
        <v>42340</v>
      </c>
      <c r="G976" s="1" t="str">
        <f>TEXT(pizza_sales[[#This Row],[order_date]],"dddd")</f>
        <v>Wednesday</v>
      </c>
      <c r="H976" s="2">
        <v>0.6136342592592593</v>
      </c>
      <c r="I976">
        <v>20.5</v>
      </c>
      <c r="J976">
        <v>20.5</v>
      </c>
      <c r="K976" t="s">
        <v>58</v>
      </c>
      <c r="L976" t="s">
        <v>13</v>
      </c>
      <c r="M976" t="s">
        <v>32</v>
      </c>
      <c r="N976" t="s">
        <v>33</v>
      </c>
    </row>
    <row r="977" spans="1:14" x14ac:dyDescent="0.25">
      <c r="A977">
        <v>5786</v>
      </c>
      <c r="B977">
        <v>2563</v>
      </c>
      <c r="C977">
        <f>1/COUNTIF(B:B,pizza_sales[[#This Row],[order_id]])</f>
        <v>0.33333333333333331</v>
      </c>
      <c r="D977" t="s">
        <v>55</v>
      </c>
      <c r="E977">
        <v>1</v>
      </c>
      <c r="F977" s="1">
        <v>42340</v>
      </c>
      <c r="G977" s="1" t="str">
        <f>TEXT(pizza_sales[[#This Row],[order_date]],"dddd")</f>
        <v>Wednesday</v>
      </c>
      <c r="H977" s="2">
        <v>0.6136342592592593</v>
      </c>
      <c r="I977">
        <v>20.5</v>
      </c>
      <c r="J977">
        <v>20.5</v>
      </c>
      <c r="K977" t="s">
        <v>58</v>
      </c>
      <c r="L977" t="s">
        <v>13</v>
      </c>
      <c r="M977" t="s">
        <v>21</v>
      </c>
      <c r="N977" t="s">
        <v>22</v>
      </c>
    </row>
    <row r="978" spans="1:14" x14ac:dyDescent="0.25">
      <c r="A978">
        <v>5790</v>
      </c>
      <c r="B978">
        <v>2565</v>
      </c>
      <c r="C978">
        <f>1/COUNTIF(B:B,pizza_sales[[#This Row],[order_id]])</f>
        <v>1</v>
      </c>
      <c r="D978" t="s">
        <v>45</v>
      </c>
      <c r="E978">
        <v>1</v>
      </c>
      <c r="F978" s="1">
        <v>42340</v>
      </c>
      <c r="G978" s="1" t="str">
        <f>TEXT(pizza_sales[[#This Row],[order_date]],"dddd")</f>
        <v>Wednesday</v>
      </c>
      <c r="H978" s="2">
        <v>0.62834490740740745</v>
      </c>
      <c r="I978">
        <v>10.5</v>
      </c>
      <c r="J978">
        <v>10.5</v>
      </c>
      <c r="K978" t="s">
        <v>60</v>
      </c>
      <c r="L978" t="s">
        <v>13</v>
      </c>
      <c r="M978" t="s">
        <v>14</v>
      </c>
      <c r="N978" t="s">
        <v>15</v>
      </c>
    </row>
    <row r="979" spans="1:14" x14ac:dyDescent="0.25">
      <c r="A979">
        <v>5799</v>
      </c>
      <c r="B979">
        <v>2569</v>
      </c>
      <c r="C979">
        <f>1/COUNTIF(B:B,pizza_sales[[#This Row],[order_id]])</f>
        <v>1</v>
      </c>
      <c r="D979" t="s">
        <v>55</v>
      </c>
      <c r="E979">
        <v>1</v>
      </c>
      <c r="F979" s="1">
        <v>42340</v>
      </c>
      <c r="G979" s="1" t="str">
        <f>TEXT(pizza_sales[[#This Row],[order_date]],"dddd")</f>
        <v>Wednesday</v>
      </c>
      <c r="H979" s="2">
        <v>0.66248842592592594</v>
      </c>
      <c r="I979">
        <v>20.5</v>
      </c>
      <c r="J979">
        <v>20.5</v>
      </c>
      <c r="K979" t="s">
        <v>58</v>
      </c>
      <c r="L979" t="s">
        <v>13</v>
      </c>
      <c r="M979" t="s">
        <v>21</v>
      </c>
      <c r="N979" t="s">
        <v>22</v>
      </c>
    </row>
    <row r="980" spans="1:14" x14ac:dyDescent="0.25">
      <c r="A980">
        <v>5800</v>
      </c>
      <c r="B980">
        <v>2570</v>
      </c>
      <c r="C980">
        <f>1/COUNTIF(B:B,pizza_sales[[#This Row],[order_id]])</f>
        <v>1</v>
      </c>
      <c r="D980" t="s">
        <v>12</v>
      </c>
      <c r="E980">
        <v>2</v>
      </c>
      <c r="F980" s="1">
        <v>42340</v>
      </c>
      <c r="G980" s="1" t="str">
        <f>TEXT(pizza_sales[[#This Row],[order_date]],"dddd")</f>
        <v>Wednesday</v>
      </c>
      <c r="H980" s="2">
        <v>0.66306712962962966</v>
      </c>
      <c r="I980">
        <v>13.25</v>
      </c>
      <c r="J980">
        <v>26.5</v>
      </c>
      <c r="K980" t="s">
        <v>59</v>
      </c>
      <c r="L980" t="s">
        <v>13</v>
      </c>
      <c r="M980" t="s">
        <v>14</v>
      </c>
      <c r="N980" t="s">
        <v>15</v>
      </c>
    </row>
    <row r="981" spans="1:14" x14ac:dyDescent="0.25">
      <c r="A981">
        <v>5801</v>
      </c>
      <c r="B981">
        <v>2571</v>
      </c>
      <c r="C981">
        <f>1/COUNTIF(B:B,pizza_sales[[#This Row],[order_id]])</f>
        <v>1</v>
      </c>
      <c r="D981" t="s">
        <v>28</v>
      </c>
      <c r="E981">
        <v>1</v>
      </c>
      <c r="F981" s="1">
        <v>42340</v>
      </c>
      <c r="G981" s="1" t="str">
        <f>TEXT(pizza_sales[[#This Row],[order_date]],"dddd")</f>
        <v>Wednesday</v>
      </c>
      <c r="H981" s="2">
        <v>0.66582175925925924</v>
      </c>
      <c r="I981">
        <v>12</v>
      </c>
      <c r="J981">
        <v>12</v>
      </c>
      <c r="K981" t="s">
        <v>60</v>
      </c>
      <c r="L981" t="s">
        <v>13</v>
      </c>
      <c r="M981" t="s">
        <v>29</v>
      </c>
      <c r="N981" t="s">
        <v>30</v>
      </c>
    </row>
    <row r="982" spans="1:14" x14ac:dyDescent="0.25">
      <c r="A982">
        <v>5810</v>
      </c>
      <c r="B982">
        <v>2576</v>
      </c>
      <c r="C982">
        <f>1/COUNTIF(B:B,pizza_sales[[#This Row],[order_id]])</f>
        <v>0.5</v>
      </c>
      <c r="D982" t="s">
        <v>28</v>
      </c>
      <c r="E982">
        <v>1</v>
      </c>
      <c r="F982" s="1">
        <v>42340</v>
      </c>
      <c r="G982" s="1" t="str">
        <f>TEXT(pizza_sales[[#This Row],[order_date]],"dddd")</f>
        <v>Wednesday</v>
      </c>
      <c r="H982" s="2">
        <v>0.70728009259259261</v>
      </c>
      <c r="I982">
        <v>12</v>
      </c>
      <c r="J982">
        <v>12</v>
      </c>
      <c r="K982" t="s">
        <v>60</v>
      </c>
      <c r="L982" t="s">
        <v>13</v>
      </c>
      <c r="M982" t="s">
        <v>29</v>
      </c>
      <c r="N982" t="s">
        <v>30</v>
      </c>
    </row>
    <row r="983" spans="1:14" x14ac:dyDescent="0.25">
      <c r="A983">
        <v>5811</v>
      </c>
      <c r="B983">
        <v>2576</v>
      </c>
      <c r="C983">
        <f>1/COUNTIF(B:B,pizza_sales[[#This Row],[order_id]])</f>
        <v>0.5</v>
      </c>
      <c r="D983" t="s">
        <v>42</v>
      </c>
      <c r="E983">
        <v>1</v>
      </c>
      <c r="F983" s="1">
        <v>42340</v>
      </c>
      <c r="G983" s="1" t="str">
        <f>TEXT(pizza_sales[[#This Row],[order_date]],"dddd")</f>
        <v>Wednesday</v>
      </c>
      <c r="H983" s="2">
        <v>0.70728009259259261</v>
      </c>
      <c r="I983">
        <v>12.5</v>
      </c>
      <c r="J983">
        <v>12.5</v>
      </c>
      <c r="K983" t="s">
        <v>59</v>
      </c>
      <c r="L983" t="s">
        <v>13</v>
      </c>
      <c r="M983" t="s">
        <v>26</v>
      </c>
      <c r="N983" t="s">
        <v>27</v>
      </c>
    </row>
    <row r="984" spans="1:14" x14ac:dyDescent="0.25">
      <c r="A984">
        <v>5813</v>
      </c>
      <c r="B984">
        <v>2577</v>
      </c>
      <c r="C984">
        <f>1/COUNTIF(B:B,pizza_sales[[#This Row],[order_id]])</f>
        <v>1</v>
      </c>
      <c r="D984" t="s">
        <v>39</v>
      </c>
      <c r="E984">
        <v>1</v>
      </c>
      <c r="F984" s="1">
        <v>42340</v>
      </c>
      <c r="G984" s="1" t="str">
        <f>TEXT(pizza_sales[[#This Row],[order_date]],"dddd")</f>
        <v>Wednesday</v>
      </c>
      <c r="H984" s="2">
        <v>0.72309027777777779</v>
      </c>
      <c r="I984">
        <v>20.25</v>
      </c>
      <c r="J984">
        <v>20.25</v>
      </c>
      <c r="K984" t="s">
        <v>58</v>
      </c>
      <c r="L984" t="s">
        <v>35</v>
      </c>
      <c r="M984" t="s">
        <v>40</v>
      </c>
      <c r="N984" t="s">
        <v>41</v>
      </c>
    </row>
    <row r="985" spans="1:14" x14ac:dyDescent="0.25">
      <c r="A985">
        <v>5814</v>
      </c>
      <c r="B985">
        <v>2578</v>
      </c>
      <c r="C985">
        <f>1/COUNTIF(B:B,pizza_sales[[#This Row],[order_id]])</f>
        <v>0.5</v>
      </c>
      <c r="D985" t="s">
        <v>51</v>
      </c>
      <c r="E985">
        <v>1</v>
      </c>
      <c r="F985" s="1">
        <v>42340</v>
      </c>
      <c r="G985" s="1" t="str">
        <f>TEXT(pizza_sales[[#This Row],[order_date]],"dddd")</f>
        <v>Wednesday</v>
      </c>
      <c r="H985" s="2">
        <v>0.73343749999999996</v>
      </c>
      <c r="I985">
        <v>23.65</v>
      </c>
      <c r="J985">
        <v>23.65</v>
      </c>
      <c r="K985" t="s">
        <v>60</v>
      </c>
      <c r="L985" t="s">
        <v>35</v>
      </c>
      <c r="M985" t="s">
        <v>52</v>
      </c>
      <c r="N985" t="s">
        <v>53</v>
      </c>
    </row>
    <row r="986" spans="1:14" x14ac:dyDescent="0.25">
      <c r="A986">
        <v>5816</v>
      </c>
      <c r="B986">
        <v>2578</v>
      </c>
      <c r="C986">
        <f>1/COUNTIF(B:B,pizza_sales[[#This Row],[order_id]])</f>
        <v>0.5</v>
      </c>
      <c r="D986" t="s">
        <v>39</v>
      </c>
      <c r="E986">
        <v>1</v>
      </c>
      <c r="F986" s="1">
        <v>42340</v>
      </c>
      <c r="G986" s="1" t="str">
        <f>TEXT(pizza_sales[[#This Row],[order_date]],"dddd")</f>
        <v>Wednesday</v>
      </c>
      <c r="H986" s="2">
        <v>0.73343749999999996</v>
      </c>
      <c r="I986">
        <v>20.25</v>
      </c>
      <c r="J986">
        <v>20.25</v>
      </c>
      <c r="K986" t="s">
        <v>58</v>
      </c>
      <c r="L986" t="s">
        <v>35</v>
      </c>
      <c r="M986" t="s">
        <v>40</v>
      </c>
      <c r="N986" t="s">
        <v>41</v>
      </c>
    </row>
    <row r="987" spans="1:14" x14ac:dyDescent="0.25">
      <c r="A987">
        <v>5821</v>
      </c>
      <c r="B987">
        <v>2580</v>
      </c>
      <c r="C987">
        <f>1/COUNTIF(B:B,pizza_sales[[#This Row],[order_id]])</f>
        <v>1</v>
      </c>
      <c r="D987" t="s">
        <v>16</v>
      </c>
      <c r="E987">
        <v>2</v>
      </c>
      <c r="F987" s="1">
        <v>42340</v>
      </c>
      <c r="G987" s="1" t="str">
        <f>TEXT(pizza_sales[[#This Row],[order_date]],"dddd")</f>
        <v>Wednesday</v>
      </c>
      <c r="H987" s="2">
        <v>0.73750000000000004</v>
      </c>
      <c r="I987">
        <v>16</v>
      </c>
      <c r="J987">
        <v>32</v>
      </c>
      <c r="K987" t="s">
        <v>59</v>
      </c>
      <c r="L987" t="s">
        <v>17</v>
      </c>
      <c r="M987" t="s">
        <v>18</v>
      </c>
      <c r="N987" t="s">
        <v>19</v>
      </c>
    </row>
    <row r="988" spans="1:14" x14ac:dyDescent="0.25">
      <c r="A988">
        <v>5823</v>
      </c>
      <c r="B988">
        <v>2581</v>
      </c>
      <c r="C988">
        <f>1/COUNTIF(B:B,pizza_sales[[#This Row],[order_id]])</f>
        <v>0.5</v>
      </c>
      <c r="D988" t="s">
        <v>28</v>
      </c>
      <c r="E988">
        <v>1</v>
      </c>
      <c r="F988" s="1">
        <v>42340</v>
      </c>
      <c r="G988" s="1" t="str">
        <f>TEXT(pizza_sales[[#This Row],[order_date]],"dddd")</f>
        <v>Wednesday</v>
      </c>
      <c r="H988" s="2">
        <v>0.74785879629629626</v>
      </c>
      <c r="I988">
        <v>12</v>
      </c>
      <c r="J988">
        <v>12</v>
      </c>
      <c r="K988" t="s">
        <v>60</v>
      </c>
      <c r="L988" t="s">
        <v>13</v>
      </c>
      <c r="M988" t="s">
        <v>29</v>
      </c>
      <c r="N988" t="s">
        <v>30</v>
      </c>
    </row>
    <row r="989" spans="1:14" x14ac:dyDescent="0.25">
      <c r="A989">
        <v>5824</v>
      </c>
      <c r="B989">
        <v>2581</v>
      </c>
      <c r="C989">
        <f>1/COUNTIF(B:B,pizza_sales[[#This Row],[order_id]])</f>
        <v>0.5</v>
      </c>
      <c r="D989" t="s">
        <v>47</v>
      </c>
      <c r="E989">
        <v>1</v>
      </c>
      <c r="F989" s="1">
        <v>42340</v>
      </c>
      <c r="G989" s="1" t="str">
        <f>TEXT(pizza_sales[[#This Row],[order_date]],"dddd")</f>
        <v>Wednesday</v>
      </c>
      <c r="H989" s="2">
        <v>0.74785879629629626</v>
      </c>
      <c r="I989">
        <v>16.5</v>
      </c>
      <c r="J989">
        <v>16.5</v>
      </c>
      <c r="K989" t="s">
        <v>58</v>
      </c>
      <c r="L989" t="s">
        <v>13</v>
      </c>
      <c r="M989" t="s">
        <v>14</v>
      </c>
      <c r="N989" t="s">
        <v>15</v>
      </c>
    </row>
    <row r="990" spans="1:14" x14ac:dyDescent="0.25">
      <c r="A990">
        <v>5826</v>
      </c>
      <c r="B990">
        <v>2583</v>
      </c>
      <c r="C990">
        <f>1/COUNTIF(B:B,pizza_sales[[#This Row],[order_id]])</f>
        <v>1</v>
      </c>
      <c r="D990" t="s">
        <v>42</v>
      </c>
      <c r="E990">
        <v>1</v>
      </c>
      <c r="F990" s="1">
        <v>42340</v>
      </c>
      <c r="G990" s="1" t="str">
        <f>TEXT(pizza_sales[[#This Row],[order_date]],"dddd")</f>
        <v>Wednesday</v>
      </c>
      <c r="H990" s="2">
        <v>0.75984953703703706</v>
      </c>
      <c r="I990">
        <v>12.5</v>
      </c>
      <c r="J990">
        <v>12.5</v>
      </c>
      <c r="K990" t="s">
        <v>59</v>
      </c>
      <c r="L990" t="s">
        <v>13</v>
      </c>
      <c r="M990" t="s">
        <v>26</v>
      </c>
      <c r="N990" t="s">
        <v>27</v>
      </c>
    </row>
    <row r="991" spans="1:14" x14ac:dyDescent="0.25">
      <c r="A991">
        <v>5827</v>
      </c>
      <c r="B991">
        <v>2584</v>
      </c>
      <c r="C991">
        <f>1/COUNTIF(B:B,pizza_sales[[#This Row],[order_id]])</f>
        <v>1</v>
      </c>
      <c r="D991" t="s">
        <v>12</v>
      </c>
      <c r="E991">
        <v>1</v>
      </c>
      <c r="F991" s="1">
        <v>42340</v>
      </c>
      <c r="G991" s="1" t="str">
        <f>TEXT(pizza_sales[[#This Row],[order_date]],"dddd")</f>
        <v>Wednesday</v>
      </c>
      <c r="H991" s="2">
        <v>0.76760416666666664</v>
      </c>
      <c r="I991">
        <v>13.25</v>
      </c>
      <c r="J991">
        <v>13.25</v>
      </c>
      <c r="K991" t="s">
        <v>59</v>
      </c>
      <c r="L991" t="s">
        <v>13</v>
      </c>
      <c r="M991" t="s">
        <v>14</v>
      </c>
      <c r="N991" t="s">
        <v>15</v>
      </c>
    </row>
    <row r="992" spans="1:14" x14ac:dyDescent="0.25">
      <c r="A992">
        <v>5829</v>
      </c>
      <c r="B992">
        <v>2585</v>
      </c>
      <c r="C992">
        <f>1/COUNTIF(B:B,pizza_sales[[#This Row],[order_id]])</f>
        <v>0.5</v>
      </c>
      <c r="D992" t="s">
        <v>50</v>
      </c>
      <c r="E992">
        <v>1</v>
      </c>
      <c r="F992" s="1">
        <v>42340</v>
      </c>
      <c r="G992" s="1" t="str">
        <f>TEXT(pizza_sales[[#This Row],[order_date]],"dddd")</f>
        <v>Wednesday</v>
      </c>
      <c r="H992" s="2">
        <v>0.76939814814814811</v>
      </c>
      <c r="I992">
        <v>16</v>
      </c>
      <c r="J992">
        <v>16</v>
      </c>
      <c r="K992" t="s">
        <v>59</v>
      </c>
      <c r="L992" t="s">
        <v>13</v>
      </c>
      <c r="M992" t="s">
        <v>32</v>
      </c>
      <c r="N992" t="s">
        <v>33</v>
      </c>
    </row>
    <row r="993" spans="1:14" x14ac:dyDescent="0.25">
      <c r="A993">
        <v>5830</v>
      </c>
      <c r="B993">
        <v>2585</v>
      </c>
      <c r="C993">
        <f>1/COUNTIF(B:B,pizza_sales[[#This Row],[order_id]])</f>
        <v>0.5</v>
      </c>
      <c r="D993" t="s">
        <v>25</v>
      </c>
      <c r="E993">
        <v>1</v>
      </c>
      <c r="F993" s="1">
        <v>42340</v>
      </c>
      <c r="G993" s="1" t="str">
        <f>TEXT(pizza_sales[[#This Row],[order_date]],"dddd")</f>
        <v>Wednesday</v>
      </c>
      <c r="H993" s="2">
        <v>0.76939814814814811</v>
      </c>
      <c r="I993">
        <v>15.25</v>
      </c>
      <c r="J993">
        <v>15.25</v>
      </c>
      <c r="K993" t="s">
        <v>58</v>
      </c>
      <c r="L993" t="s">
        <v>13</v>
      </c>
      <c r="M993" t="s">
        <v>26</v>
      </c>
      <c r="N993" t="s">
        <v>27</v>
      </c>
    </row>
    <row r="994" spans="1:14" x14ac:dyDescent="0.25">
      <c r="A994">
        <v>5835</v>
      </c>
      <c r="B994">
        <v>2587</v>
      </c>
      <c r="C994">
        <f>1/COUNTIF(B:B,pizza_sales[[#This Row],[order_id]])</f>
        <v>1</v>
      </c>
      <c r="D994" t="s">
        <v>48</v>
      </c>
      <c r="E994">
        <v>1</v>
      </c>
      <c r="F994" s="1">
        <v>42340</v>
      </c>
      <c r="G994" s="1" t="str">
        <f>TEXT(pizza_sales[[#This Row],[order_date]],"dddd")</f>
        <v>Wednesday</v>
      </c>
      <c r="H994" s="2">
        <v>0.79856481481481478</v>
      </c>
      <c r="I994">
        <v>12.25</v>
      </c>
      <c r="J994">
        <v>12.25</v>
      </c>
      <c r="K994" t="s">
        <v>60</v>
      </c>
      <c r="L994" t="s">
        <v>35</v>
      </c>
      <c r="M994" t="s">
        <v>40</v>
      </c>
      <c r="N994" t="s">
        <v>41</v>
      </c>
    </row>
    <row r="995" spans="1:14" x14ac:dyDescent="0.25">
      <c r="A995">
        <v>5838</v>
      </c>
      <c r="B995">
        <v>2588</v>
      </c>
      <c r="C995">
        <f>1/COUNTIF(B:B,pizza_sales[[#This Row],[order_id]])</f>
        <v>1</v>
      </c>
      <c r="D995" t="s">
        <v>39</v>
      </c>
      <c r="E995">
        <v>1</v>
      </c>
      <c r="F995" s="1">
        <v>42340</v>
      </c>
      <c r="G995" s="1" t="str">
        <f>TEXT(pizza_sales[[#This Row],[order_date]],"dddd")</f>
        <v>Wednesday</v>
      </c>
      <c r="H995" s="2">
        <v>0.83417824074074076</v>
      </c>
      <c r="I995">
        <v>20.25</v>
      </c>
      <c r="J995">
        <v>20.25</v>
      </c>
      <c r="K995" t="s">
        <v>58</v>
      </c>
      <c r="L995" t="s">
        <v>35</v>
      </c>
      <c r="M995" t="s">
        <v>40</v>
      </c>
      <c r="N995" t="s">
        <v>41</v>
      </c>
    </row>
    <row r="996" spans="1:14" x14ac:dyDescent="0.25">
      <c r="A996">
        <v>5845</v>
      </c>
      <c r="B996">
        <v>2592</v>
      </c>
      <c r="C996">
        <f>1/COUNTIF(B:B,pizza_sales[[#This Row],[order_id]])</f>
        <v>1</v>
      </c>
      <c r="D996" t="s">
        <v>28</v>
      </c>
      <c r="E996">
        <v>1</v>
      </c>
      <c r="F996" s="1">
        <v>42340</v>
      </c>
      <c r="G996" s="1" t="str">
        <f>TEXT(pizza_sales[[#This Row],[order_date]],"dddd")</f>
        <v>Wednesday</v>
      </c>
      <c r="H996" s="2">
        <v>0.90510416666666671</v>
      </c>
      <c r="I996">
        <v>12</v>
      </c>
      <c r="J996">
        <v>12</v>
      </c>
      <c r="K996" t="s">
        <v>60</v>
      </c>
      <c r="L996" t="s">
        <v>13</v>
      </c>
      <c r="M996" t="s">
        <v>29</v>
      </c>
      <c r="N996" t="s">
        <v>30</v>
      </c>
    </row>
    <row r="997" spans="1:14" x14ac:dyDescent="0.25">
      <c r="A997">
        <v>5847</v>
      </c>
      <c r="B997">
        <v>2593</v>
      </c>
      <c r="C997">
        <f>1/COUNTIF(B:B,pizza_sales[[#This Row],[order_id]])</f>
        <v>0.5</v>
      </c>
      <c r="D997" t="s">
        <v>42</v>
      </c>
      <c r="E997">
        <v>1</v>
      </c>
      <c r="F997" s="1">
        <v>42340</v>
      </c>
      <c r="G997" s="1" t="str">
        <f>TEXT(pizza_sales[[#This Row],[order_date]],"dddd")</f>
        <v>Wednesday</v>
      </c>
      <c r="H997" s="2">
        <v>0.91811342592592593</v>
      </c>
      <c r="I997">
        <v>12.5</v>
      </c>
      <c r="J997">
        <v>12.5</v>
      </c>
      <c r="K997" t="s">
        <v>59</v>
      </c>
      <c r="L997" t="s">
        <v>13</v>
      </c>
      <c r="M997" t="s">
        <v>26</v>
      </c>
      <c r="N997" t="s">
        <v>27</v>
      </c>
    </row>
    <row r="998" spans="1:14" x14ac:dyDescent="0.25">
      <c r="A998">
        <v>5848</v>
      </c>
      <c r="B998">
        <v>2593</v>
      </c>
      <c r="C998">
        <f>1/COUNTIF(B:B,pizza_sales[[#This Row],[order_id]])</f>
        <v>0.5</v>
      </c>
      <c r="D998" t="s">
        <v>48</v>
      </c>
      <c r="E998">
        <v>1</v>
      </c>
      <c r="F998" s="1">
        <v>42340</v>
      </c>
      <c r="G998" s="1" t="str">
        <f>TEXT(pizza_sales[[#This Row],[order_date]],"dddd")</f>
        <v>Wednesday</v>
      </c>
      <c r="H998" s="2">
        <v>0.91811342592592593</v>
      </c>
      <c r="I998">
        <v>12.25</v>
      </c>
      <c r="J998">
        <v>12.25</v>
      </c>
      <c r="K998" t="s">
        <v>60</v>
      </c>
      <c r="L998" t="s">
        <v>35</v>
      </c>
      <c r="M998" t="s">
        <v>40</v>
      </c>
      <c r="N998" t="s">
        <v>41</v>
      </c>
    </row>
    <row r="999" spans="1:14" x14ac:dyDescent="0.25">
      <c r="A999">
        <v>5851</v>
      </c>
      <c r="B999">
        <v>2594</v>
      </c>
      <c r="C999">
        <f>1/COUNTIF(B:B,pizza_sales[[#This Row],[order_id]])</f>
        <v>1</v>
      </c>
      <c r="D999" t="s">
        <v>49</v>
      </c>
      <c r="E999">
        <v>1</v>
      </c>
      <c r="F999" s="1">
        <v>42340</v>
      </c>
      <c r="G999" s="1" t="str">
        <f>TEXT(pizza_sales[[#This Row],[order_date]],"dddd")</f>
        <v>Wednesday</v>
      </c>
      <c r="H999" s="2">
        <v>0.95466435185185183</v>
      </c>
      <c r="I999">
        <v>16</v>
      </c>
      <c r="J999">
        <v>16</v>
      </c>
      <c r="K999" t="s">
        <v>59</v>
      </c>
      <c r="L999" t="s">
        <v>13</v>
      </c>
      <c r="M999" t="s">
        <v>21</v>
      </c>
      <c r="N999" t="s">
        <v>22</v>
      </c>
    </row>
    <row r="1000" spans="1:14" x14ac:dyDescent="0.25">
      <c r="A1000">
        <v>8049</v>
      </c>
      <c r="B1000">
        <v>3531</v>
      </c>
      <c r="C1000">
        <f>1/COUNTIF(B:B,pizza_sales[[#This Row],[order_id]])</f>
        <v>1</v>
      </c>
      <c r="D1000" t="s">
        <v>42</v>
      </c>
      <c r="E1000">
        <v>1</v>
      </c>
      <c r="F1000" s="1">
        <v>42007</v>
      </c>
      <c r="G1000" s="1" t="str">
        <f>TEXT(pizza_sales[[#This Row],[order_date]],"dddd")</f>
        <v>Saturday</v>
      </c>
      <c r="H1000" s="2">
        <v>0.48194444444444445</v>
      </c>
      <c r="I1000">
        <v>12.5</v>
      </c>
      <c r="J1000">
        <v>12.5</v>
      </c>
      <c r="K1000" t="s">
        <v>59</v>
      </c>
      <c r="L1000" t="s">
        <v>13</v>
      </c>
      <c r="M1000" t="s">
        <v>26</v>
      </c>
      <c r="N1000" t="s">
        <v>27</v>
      </c>
    </row>
    <row r="1001" spans="1:14" x14ac:dyDescent="0.25">
      <c r="A1001">
        <v>8060</v>
      </c>
      <c r="B1001">
        <v>3537</v>
      </c>
      <c r="C1001">
        <f>1/COUNTIF(B:B,pizza_sales[[#This Row],[order_id]])</f>
        <v>0.5</v>
      </c>
      <c r="D1001" t="s">
        <v>45</v>
      </c>
      <c r="E1001">
        <v>1</v>
      </c>
      <c r="F1001" s="1">
        <v>42007</v>
      </c>
      <c r="G1001" s="1" t="str">
        <f>TEXT(pizza_sales[[#This Row],[order_date]],"dddd")</f>
        <v>Saturday</v>
      </c>
      <c r="H1001" s="2">
        <v>0.536712962962963</v>
      </c>
      <c r="I1001">
        <v>10.5</v>
      </c>
      <c r="J1001">
        <v>10.5</v>
      </c>
      <c r="K1001" t="s">
        <v>60</v>
      </c>
      <c r="L1001" t="s">
        <v>13</v>
      </c>
      <c r="M1001" t="s">
        <v>14</v>
      </c>
      <c r="N1001" t="s">
        <v>15</v>
      </c>
    </row>
    <row r="1002" spans="1:14" x14ac:dyDescent="0.25">
      <c r="A1002">
        <v>8061</v>
      </c>
      <c r="B1002">
        <v>3537</v>
      </c>
      <c r="C1002">
        <f>1/COUNTIF(B:B,pizza_sales[[#This Row],[order_id]])</f>
        <v>0.5</v>
      </c>
      <c r="D1002" t="s">
        <v>39</v>
      </c>
      <c r="E1002">
        <v>1</v>
      </c>
      <c r="F1002" s="1">
        <v>42007</v>
      </c>
      <c r="G1002" s="1" t="str">
        <f>TEXT(pizza_sales[[#This Row],[order_date]],"dddd")</f>
        <v>Saturday</v>
      </c>
      <c r="H1002" s="2">
        <v>0.536712962962963</v>
      </c>
      <c r="I1002">
        <v>20.25</v>
      </c>
      <c r="J1002">
        <v>20.25</v>
      </c>
      <c r="K1002" t="s">
        <v>58</v>
      </c>
      <c r="L1002" t="s">
        <v>35</v>
      </c>
      <c r="M1002" t="s">
        <v>40</v>
      </c>
      <c r="N1002" t="s">
        <v>41</v>
      </c>
    </row>
    <row r="1003" spans="1:14" x14ac:dyDescent="0.25">
      <c r="A1003">
        <v>8063</v>
      </c>
      <c r="B1003">
        <v>3538</v>
      </c>
      <c r="C1003">
        <f>1/COUNTIF(B:B,pizza_sales[[#This Row],[order_id]])</f>
        <v>1</v>
      </c>
      <c r="D1003" t="s">
        <v>45</v>
      </c>
      <c r="E1003">
        <v>1</v>
      </c>
      <c r="F1003" s="1">
        <v>42007</v>
      </c>
      <c r="G1003" s="1" t="str">
        <f>TEXT(pizza_sales[[#This Row],[order_date]],"dddd")</f>
        <v>Saturday</v>
      </c>
      <c r="H1003" s="2">
        <v>0.55957175925925928</v>
      </c>
      <c r="I1003">
        <v>10.5</v>
      </c>
      <c r="J1003">
        <v>10.5</v>
      </c>
      <c r="K1003" t="s">
        <v>60</v>
      </c>
      <c r="L1003" t="s">
        <v>13</v>
      </c>
      <c r="M1003" t="s">
        <v>14</v>
      </c>
      <c r="N1003" t="s">
        <v>15</v>
      </c>
    </row>
    <row r="1004" spans="1:14" x14ac:dyDescent="0.25">
      <c r="A1004">
        <v>8067</v>
      </c>
      <c r="B1004">
        <v>3539</v>
      </c>
      <c r="C1004">
        <f>1/COUNTIF(B:B,pizza_sales[[#This Row],[order_id]])</f>
        <v>1</v>
      </c>
      <c r="D1004" t="s">
        <v>34</v>
      </c>
      <c r="E1004">
        <v>1</v>
      </c>
      <c r="F1004" s="1">
        <v>42007</v>
      </c>
      <c r="G1004" s="1" t="str">
        <f>TEXT(pizza_sales[[#This Row],[order_date]],"dddd")</f>
        <v>Saturday</v>
      </c>
      <c r="H1004" s="2">
        <v>0.58947916666666667</v>
      </c>
      <c r="I1004">
        <v>16.25</v>
      </c>
      <c r="J1004">
        <v>16.25</v>
      </c>
      <c r="K1004" t="s">
        <v>59</v>
      </c>
      <c r="L1004" t="s">
        <v>35</v>
      </c>
      <c r="M1004" t="s">
        <v>36</v>
      </c>
      <c r="N1004" t="s">
        <v>37</v>
      </c>
    </row>
    <row r="1005" spans="1:14" x14ac:dyDescent="0.25">
      <c r="A1005">
        <v>8072</v>
      </c>
      <c r="B1005">
        <v>3540</v>
      </c>
      <c r="C1005">
        <f>1/COUNTIF(B:B,pizza_sales[[#This Row],[order_id]])</f>
        <v>1</v>
      </c>
      <c r="D1005" t="s">
        <v>42</v>
      </c>
      <c r="E1005">
        <v>1</v>
      </c>
      <c r="F1005" s="1">
        <v>42007</v>
      </c>
      <c r="G1005" s="1" t="str">
        <f>TEXT(pizza_sales[[#This Row],[order_date]],"dddd")</f>
        <v>Saturday</v>
      </c>
      <c r="H1005" s="2">
        <v>0.59788194444444442</v>
      </c>
      <c r="I1005">
        <v>12.5</v>
      </c>
      <c r="J1005">
        <v>12.5</v>
      </c>
      <c r="K1005" t="s">
        <v>59</v>
      </c>
      <c r="L1005" t="s">
        <v>13</v>
      </c>
      <c r="M1005" t="s">
        <v>26</v>
      </c>
      <c r="N1005" t="s">
        <v>27</v>
      </c>
    </row>
    <row r="1006" spans="1:14" x14ac:dyDescent="0.25">
      <c r="A1006">
        <v>8080</v>
      </c>
      <c r="B1006">
        <v>3546</v>
      </c>
      <c r="C1006">
        <f>1/COUNTIF(B:B,pizza_sales[[#This Row],[order_id]])</f>
        <v>1</v>
      </c>
      <c r="D1006" t="s">
        <v>45</v>
      </c>
      <c r="E1006">
        <v>1</v>
      </c>
      <c r="F1006" s="1">
        <v>42007</v>
      </c>
      <c r="G1006" s="1" t="str">
        <f>TEXT(pizza_sales[[#This Row],[order_date]],"dddd")</f>
        <v>Saturday</v>
      </c>
      <c r="H1006" s="2">
        <v>0.63905092592592594</v>
      </c>
      <c r="I1006">
        <v>10.5</v>
      </c>
      <c r="J1006">
        <v>10.5</v>
      </c>
      <c r="K1006" t="s">
        <v>60</v>
      </c>
      <c r="L1006" t="s">
        <v>13</v>
      </c>
      <c r="M1006" t="s">
        <v>14</v>
      </c>
      <c r="N1006" t="s">
        <v>15</v>
      </c>
    </row>
    <row r="1007" spans="1:14" x14ac:dyDescent="0.25">
      <c r="A1007">
        <v>8084</v>
      </c>
      <c r="B1007">
        <v>3547</v>
      </c>
      <c r="C1007">
        <f>1/COUNTIF(B:B,pizza_sales[[#This Row],[order_id]])</f>
        <v>1</v>
      </c>
      <c r="D1007" t="s">
        <v>28</v>
      </c>
      <c r="E1007">
        <v>1</v>
      </c>
      <c r="F1007" s="1">
        <v>42007</v>
      </c>
      <c r="G1007" s="1" t="str">
        <f>TEXT(pizza_sales[[#This Row],[order_date]],"dddd")</f>
        <v>Saturday</v>
      </c>
      <c r="H1007" s="2">
        <v>0.65810185185185188</v>
      </c>
      <c r="I1007">
        <v>12</v>
      </c>
      <c r="J1007">
        <v>12</v>
      </c>
      <c r="K1007" t="s">
        <v>60</v>
      </c>
      <c r="L1007" t="s">
        <v>13</v>
      </c>
      <c r="M1007" t="s">
        <v>29</v>
      </c>
      <c r="N1007" t="s">
        <v>30</v>
      </c>
    </row>
    <row r="1008" spans="1:14" x14ac:dyDescent="0.25">
      <c r="A1008">
        <v>8092</v>
      </c>
      <c r="B1008">
        <v>3551</v>
      </c>
      <c r="C1008">
        <f>1/COUNTIF(B:B,pizza_sales[[#This Row],[order_id]])</f>
        <v>1</v>
      </c>
      <c r="D1008" t="s">
        <v>28</v>
      </c>
      <c r="E1008">
        <v>1</v>
      </c>
      <c r="F1008" s="1">
        <v>42007</v>
      </c>
      <c r="G1008" s="1" t="str">
        <f>TEXT(pizza_sales[[#This Row],[order_date]],"dddd")</f>
        <v>Saturday</v>
      </c>
      <c r="H1008" s="2">
        <v>0.7117013888888889</v>
      </c>
      <c r="I1008">
        <v>12</v>
      </c>
      <c r="J1008">
        <v>12</v>
      </c>
      <c r="K1008" t="s">
        <v>60</v>
      </c>
      <c r="L1008" t="s">
        <v>13</v>
      </c>
      <c r="M1008" t="s">
        <v>29</v>
      </c>
      <c r="N1008" t="s">
        <v>30</v>
      </c>
    </row>
    <row r="1009" spans="1:14" x14ac:dyDescent="0.25">
      <c r="A1009">
        <v>8094</v>
      </c>
      <c r="B1009">
        <v>3552</v>
      </c>
      <c r="C1009">
        <f>1/COUNTIF(B:B,pizza_sales[[#This Row],[order_id]])</f>
        <v>1</v>
      </c>
      <c r="D1009" t="s">
        <v>42</v>
      </c>
      <c r="E1009">
        <v>1</v>
      </c>
      <c r="F1009" s="1">
        <v>42007</v>
      </c>
      <c r="G1009" s="1" t="str">
        <f>TEXT(pizza_sales[[#This Row],[order_date]],"dddd")</f>
        <v>Saturday</v>
      </c>
      <c r="H1009" s="2">
        <v>0.71317129629629628</v>
      </c>
      <c r="I1009">
        <v>12.5</v>
      </c>
      <c r="J1009">
        <v>12.5</v>
      </c>
      <c r="K1009" t="s">
        <v>59</v>
      </c>
      <c r="L1009" t="s">
        <v>13</v>
      </c>
      <c r="M1009" t="s">
        <v>26</v>
      </c>
      <c r="N1009" t="s">
        <v>27</v>
      </c>
    </row>
    <row r="1010" spans="1:14" x14ac:dyDescent="0.25">
      <c r="A1010">
        <v>8097</v>
      </c>
      <c r="B1010">
        <v>3553</v>
      </c>
      <c r="C1010">
        <f>1/COUNTIF(B:B,pizza_sales[[#This Row],[order_id]])</f>
        <v>1</v>
      </c>
      <c r="D1010" t="s">
        <v>50</v>
      </c>
      <c r="E1010">
        <v>1</v>
      </c>
      <c r="F1010" s="1">
        <v>42007</v>
      </c>
      <c r="G1010" s="1" t="str">
        <f>TEXT(pizza_sales[[#This Row],[order_date]],"dddd")</f>
        <v>Saturday</v>
      </c>
      <c r="H1010" s="2">
        <v>0.72895833333333337</v>
      </c>
      <c r="I1010">
        <v>16</v>
      </c>
      <c r="J1010">
        <v>16</v>
      </c>
      <c r="K1010" t="s">
        <v>59</v>
      </c>
      <c r="L1010" t="s">
        <v>13</v>
      </c>
      <c r="M1010" t="s">
        <v>32</v>
      </c>
      <c r="N1010" t="s">
        <v>33</v>
      </c>
    </row>
    <row r="1011" spans="1:14" x14ac:dyDescent="0.25">
      <c r="A1011">
        <v>8101</v>
      </c>
      <c r="B1011">
        <v>3555</v>
      </c>
      <c r="C1011">
        <f>1/COUNTIF(B:B,pizza_sales[[#This Row],[order_id]])</f>
        <v>1</v>
      </c>
      <c r="D1011" t="s">
        <v>47</v>
      </c>
      <c r="E1011">
        <v>1</v>
      </c>
      <c r="F1011" s="1">
        <v>42007</v>
      </c>
      <c r="G1011" s="1" t="str">
        <f>TEXT(pizza_sales[[#This Row],[order_date]],"dddd")</f>
        <v>Saturday</v>
      </c>
      <c r="H1011" s="2">
        <v>0.74228009259259264</v>
      </c>
      <c r="I1011">
        <v>16.5</v>
      </c>
      <c r="J1011">
        <v>16.5</v>
      </c>
      <c r="K1011" t="s">
        <v>58</v>
      </c>
      <c r="L1011" t="s">
        <v>13</v>
      </c>
      <c r="M1011" t="s">
        <v>14</v>
      </c>
      <c r="N1011" t="s">
        <v>15</v>
      </c>
    </row>
    <row r="1012" spans="1:14" x14ac:dyDescent="0.25">
      <c r="A1012">
        <v>8107</v>
      </c>
      <c r="B1012">
        <v>3558</v>
      </c>
      <c r="C1012">
        <f>1/COUNTIF(B:B,pizza_sales[[#This Row],[order_id]])</f>
        <v>1</v>
      </c>
      <c r="D1012" t="s">
        <v>49</v>
      </c>
      <c r="E1012">
        <v>1</v>
      </c>
      <c r="F1012" s="1">
        <v>42007</v>
      </c>
      <c r="G1012" s="1" t="str">
        <f>TEXT(pizza_sales[[#This Row],[order_date]],"dddd")</f>
        <v>Saturday</v>
      </c>
      <c r="H1012" s="2">
        <v>0.75556712962962957</v>
      </c>
      <c r="I1012">
        <v>16</v>
      </c>
      <c r="J1012">
        <v>16</v>
      </c>
      <c r="K1012" t="s">
        <v>59</v>
      </c>
      <c r="L1012" t="s">
        <v>13</v>
      </c>
      <c r="M1012" t="s">
        <v>21</v>
      </c>
      <c r="N1012" t="s">
        <v>22</v>
      </c>
    </row>
    <row r="1013" spans="1:14" x14ac:dyDescent="0.25">
      <c r="A1013">
        <v>8109</v>
      </c>
      <c r="B1013">
        <v>3559</v>
      </c>
      <c r="C1013">
        <f>1/COUNTIF(B:B,pizza_sales[[#This Row],[order_id]])</f>
        <v>1</v>
      </c>
      <c r="D1013" t="s">
        <v>16</v>
      </c>
      <c r="E1013">
        <v>1</v>
      </c>
      <c r="F1013" s="1">
        <v>42007</v>
      </c>
      <c r="G1013" s="1" t="str">
        <f>TEXT(pizza_sales[[#This Row],[order_date]],"dddd")</f>
        <v>Saturday</v>
      </c>
      <c r="H1013" s="2">
        <v>0.76226851851851851</v>
      </c>
      <c r="I1013">
        <v>16</v>
      </c>
      <c r="J1013">
        <v>16</v>
      </c>
      <c r="K1013" t="s">
        <v>59</v>
      </c>
      <c r="L1013" t="s">
        <v>17</v>
      </c>
      <c r="M1013" t="s">
        <v>18</v>
      </c>
      <c r="N1013" t="s">
        <v>19</v>
      </c>
    </row>
    <row r="1014" spans="1:14" x14ac:dyDescent="0.25">
      <c r="A1014">
        <v>8114</v>
      </c>
      <c r="B1014">
        <v>3561</v>
      </c>
      <c r="C1014">
        <f>1/COUNTIF(B:B,pizza_sales[[#This Row],[order_id]])</f>
        <v>1</v>
      </c>
      <c r="D1014" t="s">
        <v>25</v>
      </c>
      <c r="E1014">
        <v>1</v>
      </c>
      <c r="F1014" s="1">
        <v>42007</v>
      </c>
      <c r="G1014" s="1" t="str">
        <f>TEXT(pizza_sales[[#This Row],[order_date]],"dddd")</f>
        <v>Saturday</v>
      </c>
      <c r="H1014" s="2">
        <v>0.77538194444444442</v>
      </c>
      <c r="I1014">
        <v>15.25</v>
      </c>
      <c r="J1014">
        <v>15.25</v>
      </c>
      <c r="K1014" t="s">
        <v>58</v>
      </c>
      <c r="L1014" t="s">
        <v>13</v>
      </c>
      <c r="M1014" t="s">
        <v>26</v>
      </c>
      <c r="N1014" t="s">
        <v>27</v>
      </c>
    </row>
    <row r="1015" spans="1:14" x14ac:dyDescent="0.25">
      <c r="A1015">
        <v>8119</v>
      </c>
      <c r="B1015">
        <v>3564</v>
      </c>
      <c r="C1015">
        <f>1/COUNTIF(B:B,pizza_sales[[#This Row],[order_id]])</f>
        <v>1</v>
      </c>
      <c r="D1015" t="s">
        <v>43</v>
      </c>
      <c r="E1015">
        <v>1</v>
      </c>
      <c r="F1015" s="1">
        <v>42007</v>
      </c>
      <c r="G1015" s="1" t="str">
        <f>TEXT(pizza_sales[[#This Row],[order_date]],"dddd")</f>
        <v>Saturday</v>
      </c>
      <c r="H1015" s="2">
        <v>0.78930555555555559</v>
      </c>
      <c r="I1015">
        <v>16.25</v>
      </c>
      <c r="J1015">
        <v>16.25</v>
      </c>
      <c r="K1015" t="s">
        <v>59</v>
      </c>
      <c r="L1015" t="s">
        <v>35</v>
      </c>
      <c r="M1015" t="s">
        <v>40</v>
      </c>
      <c r="N1015" t="s">
        <v>41</v>
      </c>
    </row>
    <row r="1016" spans="1:14" x14ac:dyDescent="0.25">
      <c r="A1016">
        <v>8123</v>
      </c>
      <c r="B1016">
        <v>3566</v>
      </c>
      <c r="C1016">
        <f>1/COUNTIF(B:B,pizza_sales[[#This Row],[order_id]])</f>
        <v>1</v>
      </c>
      <c r="D1016" t="s">
        <v>47</v>
      </c>
      <c r="E1016">
        <v>1</v>
      </c>
      <c r="F1016" s="1">
        <v>42007</v>
      </c>
      <c r="G1016" s="1" t="str">
        <f>TEXT(pizza_sales[[#This Row],[order_date]],"dddd")</f>
        <v>Saturday</v>
      </c>
      <c r="H1016" s="2">
        <v>0.80170138888888887</v>
      </c>
      <c r="I1016">
        <v>16.5</v>
      </c>
      <c r="J1016">
        <v>16.5</v>
      </c>
      <c r="K1016" t="s">
        <v>58</v>
      </c>
      <c r="L1016" t="s">
        <v>13</v>
      </c>
      <c r="M1016" t="s">
        <v>14</v>
      </c>
      <c r="N1016" t="s">
        <v>15</v>
      </c>
    </row>
    <row r="1017" spans="1:14" x14ac:dyDescent="0.25">
      <c r="A1017">
        <v>8126</v>
      </c>
      <c r="B1017">
        <v>3568</v>
      </c>
      <c r="C1017">
        <f>1/COUNTIF(B:B,pizza_sales[[#This Row],[order_id]])</f>
        <v>1</v>
      </c>
      <c r="D1017" t="s">
        <v>20</v>
      </c>
      <c r="E1017">
        <v>1</v>
      </c>
      <c r="F1017" s="1">
        <v>42007</v>
      </c>
      <c r="G1017" s="1" t="str">
        <f>TEXT(pizza_sales[[#This Row],[order_date]],"dddd")</f>
        <v>Saturday</v>
      </c>
      <c r="H1017" s="2">
        <v>0.81068287037037035</v>
      </c>
      <c r="I1017">
        <v>12</v>
      </c>
      <c r="J1017">
        <v>12</v>
      </c>
      <c r="K1017" t="s">
        <v>60</v>
      </c>
      <c r="L1017" t="s">
        <v>13</v>
      </c>
      <c r="M1017" t="s">
        <v>21</v>
      </c>
      <c r="N1017" t="s">
        <v>22</v>
      </c>
    </row>
    <row r="1018" spans="1:14" x14ac:dyDescent="0.25">
      <c r="A1018">
        <v>8128</v>
      </c>
      <c r="B1018">
        <v>3570</v>
      </c>
      <c r="C1018">
        <f>1/COUNTIF(B:B,pizza_sales[[#This Row],[order_id]])</f>
        <v>1</v>
      </c>
      <c r="D1018" t="s">
        <v>44</v>
      </c>
      <c r="E1018">
        <v>1</v>
      </c>
      <c r="F1018" s="1">
        <v>42007</v>
      </c>
      <c r="G1018" s="1" t="str">
        <f>TEXT(pizza_sales[[#This Row],[order_date]],"dddd")</f>
        <v>Saturday</v>
      </c>
      <c r="H1018" s="2">
        <v>0.82195601851851852</v>
      </c>
      <c r="I1018">
        <v>9.75</v>
      </c>
      <c r="J1018">
        <v>9.75</v>
      </c>
      <c r="K1018" t="s">
        <v>60</v>
      </c>
      <c r="L1018" t="s">
        <v>13</v>
      </c>
      <c r="M1018" t="s">
        <v>26</v>
      </c>
      <c r="N1018" t="s">
        <v>27</v>
      </c>
    </row>
    <row r="1019" spans="1:14" x14ac:dyDescent="0.25">
      <c r="A1019">
        <v>8131</v>
      </c>
      <c r="B1019">
        <v>3571</v>
      </c>
      <c r="C1019">
        <f>1/COUNTIF(B:B,pizza_sales[[#This Row],[order_id]])</f>
        <v>0.5</v>
      </c>
      <c r="D1019" t="s">
        <v>44</v>
      </c>
      <c r="E1019">
        <v>1</v>
      </c>
      <c r="F1019" s="1">
        <v>42007</v>
      </c>
      <c r="G1019" s="1" t="str">
        <f>TEXT(pizza_sales[[#This Row],[order_date]],"dddd")</f>
        <v>Saturday</v>
      </c>
      <c r="H1019" s="2">
        <v>0.83096064814814818</v>
      </c>
      <c r="I1019">
        <v>9.75</v>
      </c>
      <c r="J1019">
        <v>9.75</v>
      </c>
      <c r="K1019" t="s">
        <v>60</v>
      </c>
      <c r="L1019" t="s">
        <v>13</v>
      </c>
      <c r="M1019" t="s">
        <v>26</v>
      </c>
      <c r="N1019" t="s">
        <v>27</v>
      </c>
    </row>
    <row r="1020" spans="1:14" x14ac:dyDescent="0.25">
      <c r="A1020">
        <v>8132</v>
      </c>
      <c r="B1020">
        <v>3571</v>
      </c>
      <c r="C1020">
        <f>1/COUNTIF(B:B,pizza_sales[[#This Row],[order_id]])</f>
        <v>0.5</v>
      </c>
      <c r="D1020" t="s">
        <v>46</v>
      </c>
      <c r="E1020">
        <v>1</v>
      </c>
      <c r="F1020" s="1">
        <v>42007</v>
      </c>
      <c r="G1020" s="1" t="str">
        <f>TEXT(pizza_sales[[#This Row],[order_date]],"dddd")</f>
        <v>Saturday</v>
      </c>
      <c r="H1020" s="2">
        <v>0.83096064814814818</v>
      </c>
      <c r="I1020">
        <v>25.5</v>
      </c>
      <c r="J1020">
        <v>25.5</v>
      </c>
      <c r="K1020" t="s">
        <v>61</v>
      </c>
      <c r="L1020" t="s">
        <v>13</v>
      </c>
      <c r="M1020" t="s">
        <v>21</v>
      </c>
      <c r="N1020" t="s">
        <v>22</v>
      </c>
    </row>
    <row r="1021" spans="1:14" x14ac:dyDescent="0.25">
      <c r="A1021">
        <v>8135</v>
      </c>
      <c r="B1021">
        <v>3573</v>
      </c>
      <c r="C1021">
        <f>1/COUNTIF(B:B,pizza_sales[[#This Row],[order_id]])</f>
        <v>1</v>
      </c>
      <c r="D1021" t="s">
        <v>25</v>
      </c>
      <c r="E1021">
        <v>1</v>
      </c>
      <c r="F1021" s="1">
        <v>42007</v>
      </c>
      <c r="G1021" s="1" t="str">
        <f>TEXT(pizza_sales[[#This Row],[order_date]],"dddd")</f>
        <v>Saturday</v>
      </c>
      <c r="H1021" s="2">
        <v>0.83879629629629626</v>
      </c>
      <c r="I1021">
        <v>15.25</v>
      </c>
      <c r="J1021">
        <v>15.25</v>
      </c>
      <c r="K1021" t="s">
        <v>58</v>
      </c>
      <c r="L1021" t="s">
        <v>13</v>
      </c>
      <c r="M1021" t="s">
        <v>26</v>
      </c>
      <c r="N1021" t="s">
        <v>27</v>
      </c>
    </row>
    <row r="1022" spans="1:14" x14ac:dyDescent="0.25">
      <c r="A1022">
        <v>8137</v>
      </c>
      <c r="B1022">
        <v>3574</v>
      </c>
      <c r="C1022">
        <f>1/COUNTIF(B:B,pizza_sales[[#This Row],[order_id]])</f>
        <v>0.5</v>
      </c>
      <c r="D1022" t="s">
        <v>51</v>
      </c>
      <c r="E1022">
        <v>1</v>
      </c>
      <c r="F1022" s="1">
        <v>42007</v>
      </c>
      <c r="G1022" s="1" t="str">
        <f>TEXT(pizza_sales[[#This Row],[order_date]],"dddd")</f>
        <v>Saturday</v>
      </c>
      <c r="H1022" s="2">
        <v>0.86736111111111114</v>
      </c>
      <c r="I1022">
        <v>23.65</v>
      </c>
      <c r="J1022">
        <v>23.65</v>
      </c>
      <c r="K1022" t="s">
        <v>60</v>
      </c>
      <c r="L1022" t="s">
        <v>35</v>
      </c>
      <c r="M1022" t="s">
        <v>52</v>
      </c>
      <c r="N1022" t="s">
        <v>53</v>
      </c>
    </row>
    <row r="1023" spans="1:14" x14ac:dyDescent="0.25">
      <c r="A1023">
        <v>8138</v>
      </c>
      <c r="B1023">
        <v>3574</v>
      </c>
      <c r="C1023">
        <f>1/COUNTIF(B:B,pizza_sales[[#This Row],[order_id]])</f>
        <v>0.5</v>
      </c>
      <c r="D1023" t="s">
        <v>45</v>
      </c>
      <c r="E1023">
        <v>1</v>
      </c>
      <c r="F1023" s="1">
        <v>42007</v>
      </c>
      <c r="G1023" s="1" t="str">
        <f>TEXT(pizza_sales[[#This Row],[order_date]],"dddd")</f>
        <v>Saturday</v>
      </c>
      <c r="H1023" s="2">
        <v>0.86736111111111114</v>
      </c>
      <c r="I1023">
        <v>10.5</v>
      </c>
      <c r="J1023">
        <v>10.5</v>
      </c>
      <c r="K1023" t="s">
        <v>60</v>
      </c>
      <c r="L1023" t="s">
        <v>13</v>
      </c>
      <c r="M1023" t="s">
        <v>14</v>
      </c>
      <c r="N1023" t="s">
        <v>15</v>
      </c>
    </row>
    <row r="1024" spans="1:14" x14ac:dyDescent="0.25">
      <c r="A1024">
        <v>8142</v>
      </c>
      <c r="B1024">
        <v>3576</v>
      </c>
      <c r="C1024">
        <f>1/COUNTIF(B:B,pizza_sales[[#This Row],[order_id]])</f>
        <v>1</v>
      </c>
      <c r="D1024" t="s">
        <v>25</v>
      </c>
      <c r="E1024">
        <v>1</v>
      </c>
      <c r="F1024" s="1">
        <v>42007</v>
      </c>
      <c r="G1024" s="1" t="str">
        <f>TEXT(pizza_sales[[#This Row],[order_date]],"dddd")</f>
        <v>Saturday</v>
      </c>
      <c r="H1024" s="2">
        <v>0.91719907407407408</v>
      </c>
      <c r="I1024">
        <v>15.25</v>
      </c>
      <c r="J1024">
        <v>15.25</v>
      </c>
      <c r="K1024" t="s">
        <v>58</v>
      </c>
      <c r="L1024" t="s">
        <v>13</v>
      </c>
      <c r="M1024" t="s">
        <v>26</v>
      </c>
      <c r="N1024" t="s">
        <v>27</v>
      </c>
    </row>
    <row r="1025" spans="1:14" x14ac:dyDescent="0.25">
      <c r="A1025">
        <v>8146</v>
      </c>
      <c r="B1025">
        <v>3579</v>
      </c>
      <c r="C1025">
        <f>1/COUNTIF(B:B,pizza_sales[[#This Row],[order_id]])</f>
        <v>1</v>
      </c>
      <c r="D1025" t="s">
        <v>28</v>
      </c>
      <c r="E1025">
        <v>1</v>
      </c>
      <c r="F1025" s="1">
        <v>42007</v>
      </c>
      <c r="G1025" s="1" t="str">
        <f>TEXT(pizza_sales[[#This Row],[order_date]],"dddd")</f>
        <v>Saturday</v>
      </c>
      <c r="H1025" s="2">
        <v>0.95784722222222218</v>
      </c>
      <c r="I1025">
        <v>12</v>
      </c>
      <c r="J1025">
        <v>12</v>
      </c>
      <c r="K1025" t="s">
        <v>60</v>
      </c>
      <c r="L1025" t="s">
        <v>13</v>
      </c>
      <c r="M1025" t="s">
        <v>29</v>
      </c>
      <c r="N1025" t="s">
        <v>30</v>
      </c>
    </row>
    <row r="1026" spans="1:14" x14ac:dyDescent="0.25">
      <c r="A1026">
        <v>8153</v>
      </c>
      <c r="B1026">
        <v>3583</v>
      </c>
      <c r="C1026">
        <f>1/COUNTIF(B:B,pizza_sales[[#This Row],[order_id]])</f>
        <v>0.33333333333333331</v>
      </c>
      <c r="D1026" t="s">
        <v>34</v>
      </c>
      <c r="E1026">
        <v>1</v>
      </c>
      <c r="F1026" s="1">
        <v>42038</v>
      </c>
      <c r="G1026" s="1" t="str">
        <f>TEXT(pizza_sales[[#This Row],[order_date]],"dddd")</f>
        <v>Tuesday</v>
      </c>
      <c r="H1026" s="2">
        <v>0.50504629629629627</v>
      </c>
      <c r="I1026">
        <v>16.25</v>
      </c>
      <c r="J1026">
        <v>16.25</v>
      </c>
      <c r="K1026" t="s">
        <v>59</v>
      </c>
      <c r="L1026" t="s">
        <v>35</v>
      </c>
      <c r="M1026" t="s">
        <v>36</v>
      </c>
      <c r="N1026" t="s">
        <v>37</v>
      </c>
    </row>
    <row r="1027" spans="1:14" x14ac:dyDescent="0.25">
      <c r="A1027">
        <v>8158</v>
      </c>
      <c r="B1027">
        <v>3583</v>
      </c>
      <c r="C1027">
        <f>1/COUNTIF(B:B,pizza_sales[[#This Row],[order_id]])</f>
        <v>0.33333333333333331</v>
      </c>
      <c r="D1027" t="s">
        <v>16</v>
      </c>
      <c r="E1027">
        <v>1</v>
      </c>
      <c r="F1027" s="1">
        <v>42038</v>
      </c>
      <c r="G1027" s="1" t="str">
        <f>TEXT(pizza_sales[[#This Row],[order_date]],"dddd")</f>
        <v>Tuesday</v>
      </c>
      <c r="H1027" s="2">
        <v>0.50504629629629627</v>
      </c>
      <c r="I1027">
        <v>16</v>
      </c>
      <c r="J1027">
        <v>16</v>
      </c>
      <c r="K1027" t="s">
        <v>59</v>
      </c>
      <c r="L1027" t="s">
        <v>17</v>
      </c>
      <c r="M1027" t="s">
        <v>18</v>
      </c>
      <c r="N1027" t="s">
        <v>19</v>
      </c>
    </row>
    <row r="1028" spans="1:14" x14ac:dyDescent="0.25">
      <c r="A1028">
        <v>8159</v>
      </c>
      <c r="B1028">
        <v>3583</v>
      </c>
      <c r="C1028">
        <f>1/COUNTIF(B:B,pizza_sales[[#This Row],[order_id]])</f>
        <v>0.33333333333333331</v>
      </c>
      <c r="D1028" t="s">
        <v>43</v>
      </c>
      <c r="E1028">
        <v>1</v>
      </c>
      <c r="F1028" s="1">
        <v>42038</v>
      </c>
      <c r="G1028" s="1" t="str">
        <f>TEXT(pizza_sales[[#This Row],[order_date]],"dddd")</f>
        <v>Tuesday</v>
      </c>
      <c r="H1028" s="2">
        <v>0.50504629629629627</v>
      </c>
      <c r="I1028">
        <v>16.25</v>
      </c>
      <c r="J1028">
        <v>16.25</v>
      </c>
      <c r="K1028" t="s">
        <v>59</v>
      </c>
      <c r="L1028" t="s">
        <v>35</v>
      </c>
      <c r="M1028" t="s">
        <v>40</v>
      </c>
      <c r="N1028" t="s">
        <v>41</v>
      </c>
    </row>
    <row r="1029" spans="1:14" x14ac:dyDescent="0.25">
      <c r="A1029">
        <v>8168</v>
      </c>
      <c r="B1029">
        <v>3585</v>
      </c>
      <c r="C1029">
        <f>1/COUNTIF(B:B,pizza_sales[[#This Row],[order_id]])</f>
        <v>1</v>
      </c>
      <c r="D1029" t="s">
        <v>38</v>
      </c>
      <c r="E1029">
        <v>1</v>
      </c>
      <c r="F1029" s="1">
        <v>42038</v>
      </c>
      <c r="G1029" s="1" t="str">
        <f>TEXT(pizza_sales[[#This Row],[order_date]],"dddd")</f>
        <v>Tuesday</v>
      </c>
      <c r="H1029" s="2">
        <v>0.52326388888888886</v>
      </c>
      <c r="I1029">
        <v>20.5</v>
      </c>
      <c r="J1029">
        <v>20.5</v>
      </c>
      <c r="K1029" t="s">
        <v>58</v>
      </c>
      <c r="L1029" t="s">
        <v>13</v>
      </c>
      <c r="M1029" t="s">
        <v>32</v>
      </c>
      <c r="N1029" t="s">
        <v>33</v>
      </c>
    </row>
    <row r="1030" spans="1:14" x14ac:dyDescent="0.25">
      <c r="A1030">
        <v>8177</v>
      </c>
      <c r="B1030">
        <v>3589</v>
      </c>
      <c r="C1030">
        <f>1/COUNTIF(B:B,pizza_sales[[#This Row],[order_id]])</f>
        <v>0.33333333333333331</v>
      </c>
      <c r="D1030" t="s">
        <v>12</v>
      </c>
      <c r="E1030">
        <v>1</v>
      </c>
      <c r="F1030" s="1">
        <v>42038</v>
      </c>
      <c r="G1030" s="1" t="str">
        <f>TEXT(pizza_sales[[#This Row],[order_date]],"dddd")</f>
        <v>Tuesday</v>
      </c>
      <c r="H1030" s="2">
        <v>0.53251157407407412</v>
      </c>
      <c r="I1030">
        <v>13.25</v>
      </c>
      <c r="J1030">
        <v>13.25</v>
      </c>
      <c r="K1030" t="s">
        <v>59</v>
      </c>
      <c r="L1030" t="s">
        <v>13</v>
      </c>
      <c r="M1030" t="s">
        <v>14</v>
      </c>
      <c r="N1030" t="s">
        <v>15</v>
      </c>
    </row>
    <row r="1031" spans="1:14" x14ac:dyDescent="0.25">
      <c r="A1031">
        <v>8179</v>
      </c>
      <c r="B1031">
        <v>3589</v>
      </c>
      <c r="C1031">
        <f>1/COUNTIF(B:B,pizza_sales[[#This Row],[order_id]])</f>
        <v>0.33333333333333331</v>
      </c>
      <c r="D1031" t="s">
        <v>50</v>
      </c>
      <c r="E1031">
        <v>1</v>
      </c>
      <c r="F1031" s="1">
        <v>42038</v>
      </c>
      <c r="G1031" s="1" t="str">
        <f>TEXT(pizza_sales[[#This Row],[order_date]],"dddd")</f>
        <v>Tuesday</v>
      </c>
      <c r="H1031" s="2">
        <v>0.53251157407407412</v>
      </c>
      <c r="I1031">
        <v>16</v>
      </c>
      <c r="J1031">
        <v>16</v>
      </c>
      <c r="K1031" t="s">
        <v>59</v>
      </c>
      <c r="L1031" t="s">
        <v>13</v>
      </c>
      <c r="M1031" t="s">
        <v>32</v>
      </c>
      <c r="N1031" t="s">
        <v>33</v>
      </c>
    </row>
    <row r="1032" spans="1:14" x14ac:dyDescent="0.25">
      <c r="A1032">
        <v>8180</v>
      </c>
      <c r="B1032">
        <v>3589</v>
      </c>
      <c r="C1032">
        <f>1/COUNTIF(B:B,pizza_sales[[#This Row],[order_id]])</f>
        <v>0.33333333333333331</v>
      </c>
      <c r="D1032" t="s">
        <v>46</v>
      </c>
      <c r="E1032">
        <v>1</v>
      </c>
      <c r="F1032" s="1">
        <v>42038</v>
      </c>
      <c r="G1032" s="1" t="str">
        <f>TEXT(pizza_sales[[#This Row],[order_date]],"dddd")</f>
        <v>Tuesday</v>
      </c>
      <c r="H1032" s="2">
        <v>0.53251157407407412</v>
      </c>
      <c r="I1032">
        <v>25.5</v>
      </c>
      <c r="J1032">
        <v>25.5</v>
      </c>
      <c r="K1032" t="s">
        <v>61</v>
      </c>
      <c r="L1032" t="s">
        <v>13</v>
      </c>
      <c r="M1032" t="s">
        <v>21</v>
      </c>
      <c r="N1032" t="s">
        <v>22</v>
      </c>
    </row>
    <row r="1033" spans="1:14" x14ac:dyDescent="0.25">
      <c r="A1033">
        <v>8183</v>
      </c>
      <c r="B1033">
        <v>3590</v>
      </c>
      <c r="C1033">
        <f>1/COUNTIF(B:B,pizza_sales[[#This Row],[order_id]])</f>
        <v>1</v>
      </c>
      <c r="D1033" t="s">
        <v>45</v>
      </c>
      <c r="E1033">
        <v>1</v>
      </c>
      <c r="F1033" s="1">
        <v>42038</v>
      </c>
      <c r="G1033" s="1" t="str">
        <f>TEXT(pizza_sales[[#This Row],[order_date]],"dddd")</f>
        <v>Tuesday</v>
      </c>
      <c r="H1033" s="2">
        <v>0.53478009259259263</v>
      </c>
      <c r="I1033">
        <v>10.5</v>
      </c>
      <c r="J1033">
        <v>10.5</v>
      </c>
      <c r="K1033" t="s">
        <v>60</v>
      </c>
      <c r="L1033" t="s">
        <v>13</v>
      </c>
      <c r="M1033" t="s">
        <v>14</v>
      </c>
      <c r="N1033" t="s">
        <v>15</v>
      </c>
    </row>
    <row r="1034" spans="1:14" x14ac:dyDescent="0.25">
      <c r="A1034">
        <v>8194</v>
      </c>
      <c r="B1034">
        <v>3595</v>
      </c>
      <c r="C1034">
        <f>1/COUNTIF(B:B,pizza_sales[[#This Row],[order_id]])</f>
        <v>1</v>
      </c>
      <c r="D1034" t="s">
        <v>51</v>
      </c>
      <c r="E1034">
        <v>1</v>
      </c>
      <c r="F1034" s="1">
        <v>42038</v>
      </c>
      <c r="G1034" s="1" t="str">
        <f>TEXT(pizza_sales[[#This Row],[order_date]],"dddd")</f>
        <v>Tuesday</v>
      </c>
      <c r="H1034" s="2">
        <v>0.56482638888888892</v>
      </c>
      <c r="I1034">
        <v>23.65</v>
      </c>
      <c r="J1034">
        <v>23.65</v>
      </c>
      <c r="K1034" t="s">
        <v>60</v>
      </c>
      <c r="L1034" t="s">
        <v>35</v>
      </c>
      <c r="M1034" t="s">
        <v>52</v>
      </c>
      <c r="N1034" t="s">
        <v>53</v>
      </c>
    </row>
    <row r="1035" spans="1:14" x14ac:dyDescent="0.25">
      <c r="A1035">
        <v>8196</v>
      </c>
      <c r="B1035">
        <v>3596</v>
      </c>
      <c r="C1035">
        <f>1/COUNTIF(B:B,pizza_sales[[#This Row],[order_id]])</f>
        <v>1</v>
      </c>
      <c r="D1035" t="s">
        <v>28</v>
      </c>
      <c r="E1035">
        <v>1</v>
      </c>
      <c r="F1035" s="1">
        <v>42038</v>
      </c>
      <c r="G1035" s="1" t="str">
        <f>TEXT(pizza_sales[[#This Row],[order_date]],"dddd")</f>
        <v>Tuesday</v>
      </c>
      <c r="H1035" s="2">
        <v>0.56743055555555555</v>
      </c>
      <c r="I1035">
        <v>12</v>
      </c>
      <c r="J1035">
        <v>12</v>
      </c>
      <c r="K1035" t="s">
        <v>60</v>
      </c>
      <c r="L1035" t="s">
        <v>13</v>
      </c>
      <c r="M1035" t="s">
        <v>29</v>
      </c>
      <c r="N1035" t="s">
        <v>30</v>
      </c>
    </row>
    <row r="1036" spans="1:14" x14ac:dyDescent="0.25">
      <c r="A1036">
        <v>8199</v>
      </c>
      <c r="B1036">
        <v>3599</v>
      </c>
      <c r="C1036">
        <f>1/COUNTIF(B:B,pizza_sales[[#This Row],[order_id]])</f>
        <v>1</v>
      </c>
      <c r="D1036" t="s">
        <v>34</v>
      </c>
      <c r="E1036">
        <v>1</v>
      </c>
      <c r="F1036" s="1">
        <v>42038</v>
      </c>
      <c r="G1036" s="1" t="str">
        <f>TEXT(pizza_sales[[#This Row],[order_date]],"dddd")</f>
        <v>Tuesday</v>
      </c>
      <c r="H1036" s="2">
        <v>0.58314814814814819</v>
      </c>
      <c r="I1036">
        <v>16.25</v>
      </c>
      <c r="J1036">
        <v>16.25</v>
      </c>
      <c r="K1036" t="s">
        <v>59</v>
      </c>
      <c r="L1036" t="s">
        <v>35</v>
      </c>
      <c r="M1036" t="s">
        <v>36</v>
      </c>
      <c r="N1036" t="s">
        <v>37</v>
      </c>
    </row>
    <row r="1037" spans="1:14" x14ac:dyDescent="0.25">
      <c r="A1037">
        <v>8202</v>
      </c>
      <c r="B1037">
        <v>3601</v>
      </c>
      <c r="C1037">
        <f>1/COUNTIF(B:B,pizza_sales[[#This Row],[order_id]])</f>
        <v>1</v>
      </c>
      <c r="D1037" t="s">
        <v>12</v>
      </c>
      <c r="E1037">
        <v>1</v>
      </c>
      <c r="F1037" s="1">
        <v>42038</v>
      </c>
      <c r="G1037" s="1" t="str">
        <f>TEXT(pizza_sales[[#This Row],[order_date]],"dddd")</f>
        <v>Tuesday</v>
      </c>
      <c r="H1037" s="2">
        <v>0.58658564814814818</v>
      </c>
      <c r="I1037">
        <v>13.25</v>
      </c>
      <c r="J1037">
        <v>13.25</v>
      </c>
      <c r="K1037" t="s">
        <v>59</v>
      </c>
      <c r="L1037" t="s">
        <v>13</v>
      </c>
      <c r="M1037" t="s">
        <v>14</v>
      </c>
      <c r="N1037" t="s">
        <v>15</v>
      </c>
    </row>
    <row r="1038" spans="1:14" x14ac:dyDescent="0.25">
      <c r="A1038">
        <v>8205</v>
      </c>
      <c r="B1038">
        <v>3602</v>
      </c>
      <c r="C1038">
        <f>1/COUNTIF(B:B,pizza_sales[[#This Row],[order_id]])</f>
        <v>1</v>
      </c>
      <c r="D1038" t="s">
        <v>24</v>
      </c>
      <c r="E1038">
        <v>1</v>
      </c>
      <c r="F1038" s="1">
        <v>42038</v>
      </c>
      <c r="G1038" s="1" t="str">
        <f>TEXT(pizza_sales[[#This Row],[order_date]],"dddd")</f>
        <v>Tuesday</v>
      </c>
      <c r="H1038" s="2">
        <v>0.61325231481481479</v>
      </c>
      <c r="I1038">
        <v>20.25</v>
      </c>
      <c r="J1038">
        <v>20.25</v>
      </c>
      <c r="K1038" t="s">
        <v>58</v>
      </c>
      <c r="L1038" t="s">
        <v>17</v>
      </c>
      <c r="M1038" t="s">
        <v>18</v>
      </c>
      <c r="N1038" t="s">
        <v>19</v>
      </c>
    </row>
    <row r="1039" spans="1:14" x14ac:dyDescent="0.25">
      <c r="A1039">
        <v>8206</v>
      </c>
      <c r="B1039">
        <v>3603</v>
      </c>
      <c r="C1039">
        <f>1/COUNTIF(B:B,pizza_sales[[#This Row],[order_id]])</f>
        <v>1</v>
      </c>
      <c r="D1039" t="s">
        <v>28</v>
      </c>
      <c r="E1039">
        <v>1</v>
      </c>
      <c r="F1039" s="1">
        <v>42038</v>
      </c>
      <c r="G1039" s="1" t="str">
        <f>TEXT(pizza_sales[[#This Row],[order_date]],"dddd")</f>
        <v>Tuesday</v>
      </c>
      <c r="H1039" s="2">
        <v>0.62605324074074076</v>
      </c>
      <c r="I1039">
        <v>12</v>
      </c>
      <c r="J1039">
        <v>12</v>
      </c>
      <c r="K1039" t="s">
        <v>60</v>
      </c>
      <c r="L1039" t="s">
        <v>13</v>
      </c>
      <c r="M1039" t="s">
        <v>29</v>
      </c>
      <c r="N1039" t="s">
        <v>30</v>
      </c>
    </row>
    <row r="1040" spans="1:14" x14ac:dyDescent="0.25">
      <c r="A1040">
        <v>8208</v>
      </c>
      <c r="B1040">
        <v>3605</v>
      </c>
      <c r="C1040">
        <f>1/COUNTIF(B:B,pizza_sales[[#This Row],[order_id]])</f>
        <v>1</v>
      </c>
      <c r="D1040" t="s">
        <v>45</v>
      </c>
      <c r="E1040">
        <v>1</v>
      </c>
      <c r="F1040" s="1">
        <v>42038</v>
      </c>
      <c r="G1040" s="1" t="str">
        <f>TEXT(pizza_sales[[#This Row],[order_date]],"dddd")</f>
        <v>Tuesday</v>
      </c>
      <c r="H1040" s="2">
        <v>0.6443402777777778</v>
      </c>
      <c r="I1040">
        <v>10.5</v>
      </c>
      <c r="J1040">
        <v>10.5</v>
      </c>
      <c r="K1040" t="s">
        <v>60</v>
      </c>
      <c r="L1040" t="s">
        <v>13</v>
      </c>
      <c r="M1040" t="s">
        <v>14</v>
      </c>
      <c r="N1040" t="s">
        <v>15</v>
      </c>
    </row>
    <row r="1041" spans="1:14" x14ac:dyDescent="0.25">
      <c r="A1041">
        <v>8211</v>
      </c>
      <c r="B1041">
        <v>3606</v>
      </c>
      <c r="C1041">
        <f>1/COUNTIF(B:B,pizza_sales[[#This Row],[order_id]])</f>
        <v>1</v>
      </c>
      <c r="D1041" t="s">
        <v>39</v>
      </c>
      <c r="E1041">
        <v>1</v>
      </c>
      <c r="F1041" s="1">
        <v>42038</v>
      </c>
      <c r="G1041" s="1" t="str">
        <f>TEXT(pizza_sales[[#This Row],[order_date]],"dddd")</f>
        <v>Tuesday</v>
      </c>
      <c r="H1041" s="2">
        <v>0.6529166666666667</v>
      </c>
      <c r="I1041">
        <v>20.25</v>
      </c>
      <c r="J1041">
        <v>20.25</v>
      </c>
      <c r="K1041" t="s">
        <v>58</v>
      </c>
      <c r="L1041" t="s">
        <v>35</v>
      </c>
      <c r="M1041" t="s">
        <v>40</v>
      </c>
      <c r="N1041" t="s">
        <v>41</v>
      </c>
    </row>
    <row r="1042" spans="1:14" x14ac:dyDescent="0.25">
      <c r="A1042">
        <v>8218</v>
      </c>
      <c r="B1042">
        <v>3608</v>
      </c>
      <c r="C1042">
        <f>1/COUNTIF(B:B,pizza_sales[[#This Row],[order_id]])</f>
        <v>1</v>
      </c>
      <c r="D1042" t="s">
        <v>24</v>
      </c>
      <c r="E1042">
        <v>1</v>
      </c>
      <c r="F1042" s="1">
        <v>42038</v>
      </c>
      <c r="G1042" s="1" t="str">
        <f>TEXT(pizza_sales[[#This Row],[order_date]],"dddd")</f>
        <v>Tuesday</v>
      </c>
      <c r="H1042" s="2">
        <v>0.66025462962962966</v>
      </c>
      <c r="I1042">
        <v>20.25</v>
      </c>
      <c r="J1042">
        <v>20.25</v>
      </c>
      <c r="K1042" t="s">
        <v>58</v>
      </c>
      <c r="L1042" t="s">
        <v>17</v>
      </c>
      <c r="M1042" t="s">
        <v>18</v>
      </c>
      <c r="N1042" t="s">
        <v>19</v>
      </c>
    </row>
    <row r="1043" spans="1:14" x14ac:dyDescent="0.25">
      <c r="A1043">
        <v>8227</v>
      </c>
      <c r="B1043">
        <v>3613</v>
      </c>
      <c r="C1043">
        <f>1/COUNTIF(B:B,pizza_sales[[#This Row],[order_id]])</f>
        <v>1</v>
      </c>
      <c r="D1043" t="s">
        <v>46</v>
      </c>
      <c r="E1043">
        <v>1</v>
      </c>
      <c r="F1043" s="1">
        <v>42038</v>
      </c>
      <c r="G1043" s="1" t="str">
        <f>TEXT(pizza_sales[[#This Row],[order_date]],"dddd")</f>
        <v>Tuesday</v>
      </c>
      <c r="H1043" s="2">
        <v>0.69229166666666664</v>
      </c>
      <c r="I1043">
        <v>25.5</v>
      </c>
      <c r="J1043">
        <v>25.5</v>
      </c>
      <c r="K1043" t="s">
        <v>61</v>
      </c>
      <c r="L1043" t="s">
        <v>13</v>
      </c>
      <c r="M1043" t="s">
        <v>21</v>
      </c>
      <c r="N1043" t="s">
        <v>22</v>
      </c>
    </row>
    <row r="1044" spans="1:14" x14ac:dyDescent="0.25">
      <c r="A1044">
        <v>8228</v>
      </c>
      <c r="B1044">
        <v>3614</v>
      </c>
      <c r="C1044">
        <f>1/COUNTIF(B:B,pizza_sales[[#This Row],[order_id]])</f>
        <v>1</v>
      </c>
      <c r="D1044" t="s">
        <v>39</v>
      </c>
      <c r="E1044">
        <v>1</v>
      </c>
      <c r="F1044" s="1">
        <v>42038</v>
      </c>
      <c r="G1044" s="1" t="str">
        <f>TEXT(pizza_sales[[#This Row],[order_date]],"dddd")</f>
        <v>Tuesday</v>
      </c>
      <c r="H1044" s="2">
        <v>0.70718749999999997</v>
      </c>
      <c r="I1044">
        <v>20.25</v>
      </c>
      <c r="J1044">
        <v>20.25</v>
      </c>
      <c r="K1044" t="s">
        <v>58</v>
      </c>
      <c r="L1044" t="s">
        <v>35</v>
      </c>
      <c r="M1044" t="s">
        <v>40</v>
      </c>
      <c r="N1044" t="s">
        <v>41</v>
      </c>
    </row>
    <row r="1045" spans="1:14" x14ac:dyDescent="0.25">
      <c r="A1045">
        <v>8232</v>
      </c>
      <c r="B1045">
        <v>3615</v>
      </c>
      <c r="C1045">
        <f>1/COUNTIF(B:B,pizza_sales[[#This Row],[order_id]])</f>
        <v>1</v>
      </c>
      <c r="D1045" t="s">
        <v>42</v>
      </c>
      <c r="E1045">
        <v>1</v>
      </c>
      <c r="F1045" s="1">
        <v>42038</v>
      </c>
      <c r="G1045" s="1" t="str">
        <f>TEXT(pizza_sales[[#This Row],[order_date]],"dddd")</f>
        <v>Tuesday</v>
      </c>
      <c r="H1045" s="2">
        <v>0.71745370370370365</v>
      </c>
      <c r="I1045">
        <v>12.5</v>
      </c>
      <c r="J1045">
        <v>12.5</v>
      </c>
      <c r="K1045" t="s">
        <v>59</v>
      </c>
      <c r="L1045" t="s">
        <v>13</v>
      </c>
      <c r="M1045" t="s">
        <v>26</v>
      </c>
      <c r="N1045" t="s">
        <v>27</v>
      </c>
    </row>
    <row r="1046" spans="1:14" x14ac:dyDescent="0.25">
      <c r="A1046">
        <v>8238</v>
      </c>
      <c r="B1046">
        <v>3618</v>
      </c>
      <c r="C1046">
        <f>1/COUNTIF(B:B,pizza_sales[[#This Row],[order_id]])</f>
        <v>1</v>
      </c>
      <c r="D1046" t="s">
        <v>28</v>
      </c>
      <c r="E1046">
        <v>1</v>
      </c>
      <c r="F1046" s="1">
        <v>42038</v>
      </c>
      <c r="G1046" s="1" t="str">
        <f>TEXT(pizza_sales[[#This Row],[order_date]],"dddd")</f>
        <v>Tuesday</v>
      </c>
      <c r="H1046" s="2">
        <v>0.73188657407407409</v>
      </c>
      <c r="I1046">
        <v>12</v>
      </c>
      <c r="J1046">
        <v>12</v>
      </c>
      <c r="K1046" t="s">
        <v>60</v>
      </c>
      <c r="L1046" t="s">
        <v>13</v>
      </c>
      <c r="M1046" t="s">
        <v>29</v>
      </c>
      <c r="N1046" t="s">
        <v>30</v>
      </c>
    </row>
    <row r="1047" spans="1:14" x14ac:dyDescent="0.25">
      <c r="A1047">
        <v>8242</v>
      </c>
      <c r="B1047">
        <v>3619</v>
      </c>
      <c r="C1047">
        <f>1/COUNTIF(B:B,pizza_sales[[#This Row],[order_id]])</f>
        <v>1</v>
      </c>
      <c r="D1047" t="s">
        <v>38</v>
      </c>
      <c r="E1047">
        <v>1</v>
      </c>
      <c r="F1047" s="1">
        <v>42038</v>
      </c>
      <c r="G1047" s="1" t="str">
        <f>TEXT(pizza_sales[[#This Row],[order_date]],"dddd")</f>
        <v>Tuesday</v>
      </c>
      <c r="H1047" s="2">
        <v>0.74133101851851857</v>
      </c>
      <c r="I1047">
        <v>20.5</v>
      </c>
      <c r="J1047">
        <v>20.5</v>
      </c>
      <c r="K1047" t="s">
        <v>58</v>
      </c>
      <c r="L1047" t="s">
        <v>13</v>
      </c>
      <c r="M1047" t="s">
        <v>32</v>
      </c>
      <c r="N1047" t="s">
        <v>33</v>
      </c>
    </row>
    <row r="1048" spans="1:14" x14ac:dyDescent="0.25">
      <c r="A1048">
        <v>8244</v>
      </c>
      <c r="B1048">
        <v>3620</v>
      </c>
      <c r="C1048">
        <f>1/COUNTIF(B:B,pizza_sales[[#This Row],[order_id]])</f>
        <v>1</v>
      </c>
      <c r="D1048" t="s">
        <v>34</v>
      </c>
      <c r="E1048">
        <v>1</v>
      </c>
      <c r="F1048" s="1">
        <v>42038</v>
      </c>
      <c r="G1048" s="1" t="str">
        <f>TEXT(pizza_sales[[#This Row],[order_date]],"dddd")</f>
        <v>Tuesday</v>
      </c>
      <c r="H1048" s="2">
        <v>0.74592592592592588</v>
      </c>
      <c r="I1048">
        <v>16.25</v>
      </c>
      <c r="J1048">
        <v>16.25</v>
      </c>
      <c r="K1048" t="s">
        <v>59</v>
      </c>
      <c r="L1048" t="s">
        <v>35</v>
      </c>
      <c r="M1048" t="s">
        <v>36</v>
      </c>
      <c r="N1048" t="s">
        <v>37</v>
      </c>
    </row>
    <row r="1049" spans="1:14" x14ac:dyDescent="0.25">
      <c r="A1049">
        <v>8245</v>
      </c>
      <c r="B1049">
        <v>3621</v>
      </c>
      <c r="C1049">
        <f>1/COUNTIF(B:B,pizza_sales[[#This Row],[order_id]])</f>
        <v>1</v>
      </c>
      <c r="D1049" t="s">
        <v>44</v>
      </c>
      <c r="E1049">
        <v>1</v>
      </c>
      <c r="F1049" s="1">
        <v>42038</v>
      </c>
      <c r="G1049" s="1" t="str">
        <f>TEXT(pizza_sales[[#This Row],[order_date]],"dddd")</f>
        <v>Tuesday</v>
      </c>
      <c r="H1049" s="2">
        <v>0.75157407407407406</v>
      </c>
      <c r="I1049">
        <v>9.75</v>
      </c>
      <c r="J1049">
        <v>9.75</v>
      </c>
      <c r="K1049" t="s">
        <v>60</v>
      </c>
      <c r="L1049" t="s">
        <v>13</v>
      </c>
      <c r="M1049" t="s">
        <v>26</v>
      </c>
      <c r="N1049" t="s">
        <v>27</v>
      </c>
    </row>
    <row r="1050" spans="1:14" x14ac:dyDescent="0.25">
      <c r="A1050">
        <v>8246</v>
      </c>
      <c r="B1050">
        <v>3622</v>
      </c>
      <c r="C1050">
        <f>1/COUNTIF(B:B,pizza_sales[[#This Row],[order_id]])</f>
        <v>0.5</v>
      </c>
      <c r="D1050" t="s">
        <v>12</v>
      </c>
      <c r="E1050">
        <v>1</v>
      </c>
      <c r="F1050" s="1">
        <v>42038</v>
      </c>
      <c r="G1050" s="1" t="str">
        <f>TEXT(pizza_sales[[#This Row],[order_date]],"dddd")</f>
        <v>Tuesday</v>
      </c>
      <c r="H1050" s="2">
        <v>0.75442129629629628</v>
      </c>
      <c r="I1050">
        <v>13.25</v>
      </c>
      <c r="J1050">
        <v>13.25</v>
      </c>
      <c r="K1050" t="s">
        <v>59</v>
      </c>
      <c r="L1050" t="s">
        <v>13</v>
      </c>
      <c r="M1050" t="s">
        <v>14</v>
      </c>
      <c r="N1050" t="s">
        <v>15</v>
      </c>
    </row>
    <row r="1051" spans="1:14" x14ac:dyDescent="0.25">
      <c r="A1051">
        <v>8249</v>
      </c>
      <c r="B1051">
        <v>3622</v>
      </c>
      <c r="C1051">
        <f>1/COUNTIF(B:B,pizza_sales[[#This Row],[order_id]])</f>
        <v>0.5</v>
      </c>
      <c r="D1051" t="s">
        <v>46</v>
      </c>
      <c r="E1051">
        <v>1</v>
      </c>
      <c r="F1051" s="1">
        <v>42038</v>
      </c>
      <c r="G1051" s="1" t="str">
        <f>TEXT(pizza_sales[[#This Row],[order_date]],"dddd")</f>
        <v>Tuesday</v>
      </c>
      <c r="H1051" s="2">
        <v>0.75442129629629628</v>
      </c>
      <c r="I1051">
        <v>25.5</v>
      </c>
      <c r="J1051">
        <v>25.5</v>
      </c>
      <c r="K1051" t="s">
        <v>61</v>
      </c>
      <c r="L1051" t="s">
        <v>13</v>
      </c>
      <c r="M1051" t="s">
        <v>21</v>
      </c>
      <c r="N1051" t="s">
        <v>22</v>
      </c>
    </row>
    <row r="1052" spans="1:14" x14ac:dyDescent="0.25">
      <c r="A1052">
        <v>8256</v>
      </c>
      <c r="B1052">
        <v>3626</v>
      </c>
      <c r="C1052">
        <f>1/COUNTIF(B:B,pizza_sales[[#This Row],[order_id]])</f>
        <v>1</v>
      </c>
      <c r="D1052" t="s">
        <v>24</v>
      </c>
      <c r="E1052">
        <v>1</v>
      </c>
      <c r="F1052" s="1">
        <v>42038</v>
      </c>
      <c r="G1052" s="1" t="str">
        <f>TEXT(pizza_sales[[#This Row],[order_date]],"dddd")</f>
        <v>Tuesday</v>
      </c>
      <c r="H1052" s="2">
        <v>0.77072916666666669</v>
      </c>
      <c r="I1052">
        <v>20.25</v>
      </c>
      <c r="J1052">
        <v>20.25</v>
      </c>
      <c r="K1052" t="s">
        <v>58</v>
      </c>
      <c r="L1052" t="s">
        <v>17</v>
      </c>
      <c r="M1052" t="s">
        <v>18</v>
      </c>
      <c r="N1052" t="s">
        <v>19</v>
      </c>
    </row>
    <row r="1053" spans="1:14" x14ac:dyDescent="0.25">
      <c r="A1053">
        <v>8263</v>
      </c>
      <c r="B1053">
        <v>3628</v>
      </c>
      <c r="C1053">
        <f>1/COUNTIF(B:B,pizza_sales[[#This Row],[order_id]])</f>
        <v>1</v>
      </c>
      <c r="D1053" t="s">
        <v>24</v>
      </c>
      <c r="E1053">
        <v>1</v>
      </c>
      <c r="F1053" s="1">
        <v>42038</v>
      </c>
      <c r="G1053" s="1" t="str">
        <f>TEXT(pizza_sales[[#This Row],[order_date]],"dddd")</f>
        <v>Tuesday</v>
      </c>
      <c r="H1053" s="2">
        <v>0.79236111111111107</v>
      </c>
      <c r="I1053">
        <v>20.25</v>
      </c>
      <c r="J1053">
        <v>20.25</v>
      </c>
      <c r="K1053" t="s">
        <v>58</v>
      </c>
      <c r="L1053" t="s">
        <v>17</v>
      </c>
      <c r="M1053" t="s">
        <v>18</v>
      </c>
      <c r="N1053" t="s">
        <v>19</v>
      </c>
    </row>
    <row r="1054" spans="1:14" x14ac:dyDescent="0.25">
      <c r="A1054">
        <v>8264</v>
      </c>
      <c r="B1054">
        <v>3629</v>
      </c>
      <c r="C1054">
        <f>1/COUNTIF(B:B,pizza_sales[[#This Row],[order_id]])</f>
        <v>1</v>
      </c>
      <c r="D1054" t="s">
        <v>28</v>
      </c>
      <c r="E1054">
        <v>1</v>
      </c>
      <c r="F1054" s="1">
        <v>42038</v>
      </c>
      <c r="G1054" s="1" t="str">
        <f>TEXT(pizza_sales[[#This Row],[order_date]],"dddd")</f>
        <v>Tuesday</v>
      </c>
      <c r="H1054" s="2">
        <v>0.79831018518518515</v>
      </c>
      <c r="I1054">
        <v>12</v>
      </c>
      <c r="J1054">
        <v>12</v>
      </c>
      <c r="K1054" t="s">
        <v>60</v>
      </c>
      <c r="L1054" t="s">
        <v>13</v>
      </c>
      <c r="M1054" t="s">
        <v>29</v>
      </c>
      <c r="N1054" t="s">
        <v>30</v>
      </c>
    </row>
    <row r="1055" spans="1:14" x14ac:dyDescent="0.25">
      <c r="A1055">
        <v>8272</v>
      </c>
      <c r="B1055">
        <v>3632</v>
      </c>
      <c r="C1055">
        <f>1/COUNTIF(B:B,pizza_sales[[#This Row],[order_id]])</f>
        <v>1</v>
      </c>
      <c r="D1055" t="s">
        <v>25</v>
      </c>
      <c r="E1055">
        <v>1</v>
      </c>
      <c r="F1055" s="1">
        <v>42038</v>
      </c>
      <c r="G1055" s="1" t="str">
        <f>TEXT(pizza_sales[[#This Row],[order_date]],"dddd")</f>
        <v>Tuesday</v>
      </c>
      <c r="H1055" s="2">
        <v>0.87539351851851854</v>
      </c>
      <c r="I1055">
        <v>15.25</v>
      </c>
      <c r="J1055">
        <v>15.25</v>
      </c>
      <c r="K1055" t="s">
        <v>58</v>
      </c>
      <c r="L1055" t="s">
        <v>13</v>
      </c>
      <c r="M1055" t="s">
        <v>26</v>
      </c>
      <c r="N1055" t="s">
        <v>27</v>
      </c>
    </row>
    <row r="1056" spans="1:14" x14ac:dyDescent="0.25">
      <c r="A1056">
        <v>8273</v>
      </c>
      <c r="B1056">
        <v>3633</v>
      </c>
      <c r="C1056">
        <f>1/COUNTIF(B:B,pizza_sales[[#This Row],[order_id]])</f>
        <v>0.5</v>
      </c>
      <c r="D1056" t="s">
        <v>12</v>
      </c>
      <c r="E1056">
        <v>1</v>
      </c>
      <c r="F1056" s="1">
        <v>42038</v>
      </c>
      <c r="G1056" s="1" t="str">
        <f>TEXT(pizza_sales[[#This Row],[order_date]],"dddd")</f>
        <v>Tuesday</v>
      </c>
      <c r="H1056" s="2">
        <v>0.87765046296296301</v>
      </c>
      <c r="I1056">
        <v>13.25</v>
      </c>
      <c r="J1056">
        <v>13.25</v>
      </c>
      <c r="K1056" t="s">
        <v>59</v>
      </c>
      <c r="L1056" t="s">
        <v>13</v>
      </c>
      <c r="M1056" t="s">
        <v>14</v>
      </c>
      <c r="N1056" t="s">
        <v>15</v>
      </c>
    </row>
    <row r="1057" spans="1:14" x14ac:dyDescent="0.25">
      <c r="A1057">
        <v>8275</v>
      </c>
      <c r="B1057">
        <v>3633</v>
      </c>
      <c r="C1057">
        <f>1/COUNTIF(B:B,pizza_sales[[#This Row],[order_id]])</f>
        <v>0.5</v>
      </c>
      <c r="D1057" t="s">
        <v>42</v>
      </c>
      <c r="E1057">
        <v>1</v>
      </c>
      <c r="F1057" s="1">
        <v>42038</v>
      </c>
      <c r="G1057" s="1" t="str">
        <f>TEXT(pizza_sales[[#This Row],[order_date]],"dddd")</f>
        <v>Tuesday</v>
      </c>
      <c r="H1057" s="2">
        <v>0.87765046296296301</v>
      </c>
      <c r="I1057">
        <v>12.5</v>
      </c>
      <c r="J1057">
        <v>12.5</v>
      </c>
      <c r="K1057" t="s">
        <v>59</v>
      </c>
      <c r="L1057" t="s">
        <v>13</v>
      </c>
      <c r="M1057" t="s">
        <v>26</v>
      </c>
      <c r="N1057" t="s">
        <v>27</v>
      </c>
    </row>
    <row r="1058" spans="1:14" x14ac:dyDescent="0.25">
      <c r="A1058">
        <v>8276</v>
      </c>
      <c r="B1058">
        <v>3634</v>
      </c>
      <c r="C1058">
        <f>1/COUNTIF(B:B,pizza_sales[[#This Row],[order_id]])</f>
        <v>1</v>
      </c>
      <c r="D1058" t="s">
        <v>28</v>
      </c>
      <c r="E1058">
        <v>1</v>
      </c>
      <c r="F1058" s="1">
        <v>42038</v>
      </c>
      <c r="G1058" s="1" t="str">
        <f>TEXT(pizza_sales[[#This Row],[order_date]],"dddd")</f>
        <v>Tuesday</v>
      </c>
      <c r="H1058" s="2">
        <v>0.88657407407407407</v>
      </c>
      <c r="I1058">
        <v>12</v>
      </c>
      <c r="J1058">
        <v>12</v>
      </c>
      <c r="K1058" t="s">
        <v>60</v>
      </c>
      <c r="L1058" t="s">
        <v>13</v>
      </c>
      <c r="M1058" t="s">
        <v>29</v>
      </c>
      <c r="N1058" t="s">
        <v>30</v>
      </c>
    </row>
    <row r="1059" spans="1:14" x14ac:dyDescent="0.25">
      <c r="A1059">
        <v>8279</v>
      </c>
      <c r="B1059">
        <v>3635</v>
      </c>
      <c r="C1059">
        <f>1/COUNTIF(B:B,pizza_sales[[#This Row],[order_id]])</f>
        <v>1</v>
      </c>
      <c r="D1059" t="s">
        <v>39</v>
      </c>
      <c r="E1059">
        <v>1</v>
      </c>
      <c r="F1059" s="1">
        <v>42038</v>
      </c>
      <c r="G1059" s="1" t="str">
        <f>TEXT(pizza_sales[[#This Row],[order_date]],"dddd")</f>
        <v>Tuesday</v>
      </c>
      <c r="H1059" s="2">
        <v>0.89454861111111106</v>
      </c>
      <c r="I1059">
        <v>20.25</v>
      </c>
      <c r="J1059">
        <v>20.25</v>
      </c>
      <c r="K1059" t="s">
        <v>58</v>
      </c>
      <c r="L1059" t="s">
        <v>35</v>
      </c>
      <c r="M1059" t="s">
        <v>40</v>
      </c>
      <c r="N1059" t="s">
        <v>41</v>
      </c>
    </row>
    <row r="1060" spans="1:14" x14ac:dyDescent="0.25">
      <c r="A1060">
        <v>8285</v>
      </c>
      <c r="B1060">
        <v>3637</v>
      </c>
      <c r="C1060">
        <f>1/COUNTIF(B:B,pizza_sales[[#This Row],[order_id]])</f>
        <v>1</v>
      </c>
      <c r="D1060" t="s">
        <v>45</v>
      </c>
      <c r="E1060">
        <v>1</v>
      </c>
      <c r="F1060" s="1">
        <v>42038</v>
      </c>
      <c r="G1060" s="1" t="str">
        <f>TEXT(pizza_sales[[#This Row],[order_date]],"dddd")</f>
        <v>Tuesday</v>
      </c>
      <c r="H1060" s="2">
        <v>0.93152777777777773</v>
      </c>
      <c r="I1060">
        <v>10.5</v>
      </c>
      <c r="J1060">
        <v>10.5</v>
      </c>
      <c r="K1060" t="s">
        <v>60</v>
      </c>
      <c r="L1060" t="s">
        <v>13</v>
      </c>
      <c r="M1060" t="s">
        <v>14</v>
      </c>
      <c r="N1060" t="s">
        <v>15</v>
      </c>
    </row>
    <row r="1061" spans="1:14" x14ac:dyDescent="0.25">
      <c r="A1061">
        <v>8289</v>
      </c>
      <c r="B1061">
        <v>3640</v>
      </c>
      <c r="C1061">
        <f>1/COUNTIF(B:B,pizza_sales[[#This Row],[order_id]])</f>
        <v>1</v>
      </c>
      <c r="D1061" t="s">
        <v>48</v>
      </c>
      <c r="E1061">
        <v>1</v>
      </c>
      <c r="F1061" s="1">
        <v>42066</v>
      </c>
      <c r="G1061" s="1" t="str">
        <f>TEXT(pizza_sales[[#This Row],[order_date]],"dddd")</f>
        <v>Tuesday</v>
      </c>
      <c r="H1061" s="2">
        <v>0.49353009259259262</v>
      </c>
      <c r="I1061">
        <v>12.25</v>
      </c>
      <c r="J1061">
        <v>12.25</v>
      </c>
      <c r="K1061" t="s">
        <v>60</v>
      </c>
      <c r="L1061" t="s">
        <v>35</v>
      </c>
      <c r="M1061" t="s">
        <v>40</v>
      </c>
      <c r="N1061" t="s">
        <v>41</v>
      </c>
    </row>
    <row r="1062" spans="1:14" x14ac:dyDescent="0.25">
      <c r="A1062">
        <v>8290</v>
      </c>
      <c r="B1062">
        <v>3641</v>
      </c>
      <c r="C1062">
        <f>1/COUNTIF(B:B,pizza_sales[[#This Row],[order_id]])</f>
        <v>1</v>
      </c>
      <c r="D1062" t="s">
        <v>38</v>
      </c>
      <c r="E1062">
        <v>1</v>
      </c>
      <c r="F1062" s="1">
        <v>42066</v>
      </c>
      <c r="G1062" s="1" t="str">
        <f>TEXT(pizza_sales[[#This Row],[order_date]],"dddd")</f>
        <v>Tuesday</v>
      </c>
      <c r="H1062" s="2">
        <v>0.50980324074074079</v>
      </c>
      <c r="I1062">
        <v>20.5</v>
      </c>
      <c r="J1062">
        <v>20.5</v>
      </c>
      <c r="K1062" t="s">
        <v>58</v>
      </c>
      <c r="L1062" t="s">
        <v>13</v>
      </c>
      <c r="M1062" t="s">
        <v>32</v>
      </c>
      <c r="N1062" t="s">
        <v>33</v>
      </c>
    </row>
    <row r="1063" spans="1:14" x14ac:dyDescent="0.25">
      <c r="A1063">
        <v>8292</v>
      </c>
      <c r="B1063">
        <v>3642</v>
      </c>
      <c r="C1063">
        <f>1/COUNTIF(B:B,pizza_sales[[#This Row],[order_id]])</f>
        <v>1</v>
      </c>
      <c r="D1063" t="s">
        <v>12</v>
      </c>
      <c r="E1063">
        <v>1</v>
      </c>
      <c r="F1063" s="1">
        <v>42066</v>
      </c>
      <c r="G1063" s="1" t="str">
        <f>TEXT(pizza_sales[[#This Row],[order_date]],"dddd")</f>
        <v>Tuesday</v>
      </c>
      <c r="H1063" s="2">
        <v>0.51687499999999997</v>
      </c>
      <c r="I1063">
        <v>13.25</v>
      </c>
      <c r="J1063">
        <v>13.25</v>
      </c>
      <c r="K1063" t="s">
        <v>59</v>
      </c>
      <c r="L1063" t="s">
        <v>13</v>
      </c>
      <c r="M1063" t="s">
        <v>14</v>
      </c>
      <c r="N1063" t="s">
        <v>15</v>
      </c>
    </row>
    <row r="1064" spans="1:14" x14ac:dyDescent="0.25">
      <c r="A1064">
        <v>8296</v>
      </c>
      <c r="B1064">
        <v>3643</v>
      </c>
      <c r="C1064">
        <f>1/COUNTIF(B:B,pizza_sales[[#This Row],[order_id]])</f>
        <v>1</v>
      </c>
      <c r="D1064" t="s">
        <v>50</v>
      </c>
      <c r="E1064">
        <v>1</v>
      </c>
      <c r="F1064" s="1">
        <v>42066</v>
      </c>
      <c r="G1064" s="1" t="str">
        <f>TEXT(pizza_sales[[#This Row],[order_date]],"dddd")</f>
        <v>Tuesday</v>
      </c>
      <c r="H1064" s="2">
        <v>0.52774305555555556</v>
      </c>
      <c r="I1064">
        <v>16</v>
      </c>
      <c r="J1064">
        <v>16</v>
      </c>
      <c r="K1064" t="s">
        <v>59</v>
      </c>
      <c r="L1064" t="s">
        <v>13</v>
      </c>
      <c r="M1064" t="s">
        <v>32</v>
      </c>
      <c r="N1064" t="s">
        <v>33</v>
      </c>
    </row>
    <row r="1065" spans="1:14" x14ac:dyDescent="0.25">
      <c r="A1065">
        <v>8298</v>
      </c>
      <c r="B1065">
        <v>3644</v>
      </c>
      <c r="C1065">
        <f>1/COUNTIF(B:B,pizza_sales[[#This Row],[order_id]])</f>
        <v>1</v>
      </c>
      <c r="D1065" t="s">
        <v>47</v>
      </c>
      <c r="E1065">
        <v>1</v>
      </c>
      <c r="F1065" s="1">
        <v>42066</v>
      </c>
      <c r="G1065" s="1" t="str">
        <f>TEXT(pizza_sales[[#This Row],[order_date]],"dddd")</f>
        <v>Tuesday</v>
      </c>
      <c r="H1065" s="2">
        <v>0.53387731481481482</v>
      </c>
      <c r="I1065">
        <v>16.5</v>
      </c>
      <c r="J1065">
        <v>16.5</v>
      </c>
      <c r="K1065" t="s">
        <v>58</v>
      </c>
      <c r="L1065" t="s">
        <v>13</v>
      </c>
      <c r="M1065" t="s">
        <v>14</v>
      </c>
      <c r="N1065" t="s">
        <v>15</v>
      </c>
    </row>
    <row r="1066" spans="1:14" x14ac:dyDescent="0.25">
      <c r="A1066">
        <v>8304</v>
      </c>
      <c r="B1066">
        <v>3648</v>
      </c>
      <c r="C1066">
        <f>1/COUNTIF(B:B,pizza_sales[[#This Row],[order_id]])</f>
        <v>1</v>
      </c>
      <c r="D1066" t="s">
        <v>45</v>
      </c>
      <c r="E1066">
        <v>1</v>
      </c>
      <c r="F1066" s="1">
        <v>42066</v>
      </c>
      <c r="G1066" s="1" t="str">
        <f>TEXT(pizza_sales[[#This Row],[order_date]],"dddd")</f>
        <v>Tuesday</v>
      </c>
      <c r="H1066" s="2">
        <v>0.54520833333333329</v>
      </c>
      <c r="I1066">
        <v>10.5</v>
      </c>
      <c r="J1066">
        <v>10.5</v>
      </c>
      <c r="K1066" t="s">
        <v>60</v>
      </c>
      <c r="L1066" t="s">
        <v>13</v>
      </c>
      <c r="M1066" t="s">
        <v>14</v>
      </c>
      <c r="N1066" t="s">
        <v>15</v>
      </c>
    </row>
    <row r="1067" spans="1:14" x14ac:dyDescent="0.25">
      <c r="A1067">
        <v>8305</v>
      </c>
      <c r="B1067">
        <v>3649</v>
      </c>
      <c r="C1067">
        <f>1/COUNTIF(B:B,pizza_sales[[#This Row],[order_id]])</f>
        <v>1</v>
      </c>
      <c r="D1067" t="s">
        <v>28</v>
      </c>
      <c r="E1067">
        <v>1</v>
      </c>
      <c r="F1067" s="1">
        <v>42066</v>
      </c>
      <c r="G1067" s="1" t="str">
        <f>TEXT(pizza_sales[[#This Row],[order_date]],"dddd")</f>
        <v>Tuesday</v>
      </c>
      <c r="H1067" s="2">
        <v>0.54675925925925928</v>
      </c>
      <c r="I1067">
        <v>12</v>
      </c>
      <c r="J1067">
        <v>12</v>
      </c>
      <c r="K1067" t="s">
        <v>60</v>
      </c>
      <c r="L1067" t="s">
        <v>13</v>
      </c>
      <c r="M1067" t="s">
        <v>29</v>
      </c>
      <c r="N1067" t="s">
        <v>30</v>
      </c>
    </row>
    <row r="1068" spans="1:14" x14ac:dyDescent="0.25">
      <c r="A1068">
        <v>8309</v>
      </c>
      <c r="B1068">
        <v>3650</v>
      </c>
      <c r="C1068">
        <f>1/COUNTIF(B:B,pizza_sales[[#This Row],[order_id]])</f>
        <v>0.5</v>
      </c>
      <c r="D1068" t="s">
        <v>34</v>
      </c>
      <c r="E1068">
        <v>1</v>
      </c>
      <c r="F1068" s="1">
        <v>42066</v>
      </c>
      <c r="G1068" s="1" t="str">
        <f>TEXT(pizza_sales[[#This Row],[order_date]],"dddd")</f>
        <v>Tuesday</v>
      </c>
      <c r="H1068" s="2">
        <v>0.55107638888888888</v>
      </c>
      <c r="I1068">
        <v>16.25</v>
      </c>
      <c r="J1068">
        <v>16.25</v>
      </c>
      <c r="K1068" t="s">
        <v>59</v>
      </c>
      <c r="L1068" t="s">
        <v>35</v>
      </c>
      <c r="M1068" t="s">
        <v>36</v>
      </c>
      <c r="N1068" t="s">
        <v>37</v>
      </c>
    </row>
    <row r="1069" spans="1:14" x14ac:dyDescent="0.25">
      <c r="A1069">
        <v>8311</v>
      </c>
      <c r="B1069">
        <v>3650</v>
      </c>
      <c r="C1069">
        <f>1/COUNTIF(B:B,pizza_sales[[#This Row],[order_id]])</f>
        <v>0.5</v>
      </c>
      <c r="D1069" t="s">
        <v>47</v>
      </c>
      <c r="E1069">
        <v>1</v>
      </c>
      <c r="F1069" s="1">
        <v>42066</v>
      </c>
      <c r="G1069" s="1" t="str">
        <f>TEXT(pizza_sales[[#This Row],[order_date]],"dddd")</f>
        <v>Tuesday</v>
      </c>
      <c r="H1069" s="2">
        <v>0.55107638888888888</v>
      </c>
      <c r="I1069">
        <v>16.5</v>
      </c>
      <c r="J1069">
        <v>16.5</v>
      </c>
      <c r="K1069" t="s">
        <v>58</v>
      </c>
      <c r="L1069" t="s">
        <v>13</v>
      </c>
      <c r="M1069" t="s">
        <v>14</v>
      </c>
      <c r="N1069" t="s">
        <v>15</v>
      </c>
    </row>
    <row r="1070" spans="1:14" x14ac:dyDescent="0.25">
      <c r="A1070">
        <v>8319</v>
      </c>
      <c r="B1070">
        <v>3654</v>
      </c>
      <c r="C1070">
        <f>1/COUNTIF(B:B,pizza_sales[[#This Row],[order_id]])</f>
        <v>0.16666666666666666</v>
      </c>
      <c r="D1070" t="s">
        <v>28</v>
      </c>
      <c r="E1070">
        <v>1</v>
      </c>
      <c r="F1070" s="1">
        <v>42066</v>
      </c>
      <c r="G1070" s="1" t="str">
        <f>TEXT(pizza_sales[[#This Row],[order_date]],"dddd")</f>
        <v>Tuesday</v>
      </c>
      <c r="H1070" s="2">
        <v>0.56844907407407408</v>
      </c>
      <c r="I1070">
        <v>12</v>
      </c>
      <c r="J1070">
        <v>12</v>
      </c>
      <c r="K1070" t="s">
        <v>60</v>
      </c>
      <c r="L1070" t="s">
        <v>13</v>
      </c>
      <c r="M1070" t="s">
        <v>29</v>
      </c>
      <c r="N1070" t="s">
        <v>30</v>
      </c>
    </row>
    <row r="1071" spans="1:14" x14ac:dyDescent="0.25">
      <c r="A1071">
        <v>8324</v>
      </c>
      <c r="B1071">
        <v>3654</v>
      </c>
      <c r="C1071">
        <f>1/COUNTIF(B:B,pizza_sales[[#This Row],[order_id]])</f>
        <v>0.16666666666666666</v>
      </c>
      <c r="D1071" t="s">
        <v>47</v>
      </c>
      <c r="E1071">
        <v>1</v>
      </c>
      <c r="F1071" s="1">
        <v>42066</v>
      </c>
      <c r="G1071" s="1" t="str">
        <f>TEXT(pizza_sales[[#This Row],[order_date]],"dddd")</f>
        <v>Tuesday</v>
      </c>
      <c r="H1071" s="2">
        <v>0.56844907407407408</v>
      </c>
      <c r="I1071">
        <v>16.5</v>
      </c>
      <c r="J1071">
        <v>16.5</v>
      </c>
      <c r="K1071" t="s">
        <v>58</v>
      </c>
      <c r="L1071" t="s">
        <v>13</v>
      </c>
      <c r="M1071" t="s">
        <v>14</v>
      </c>
      <c r="N1071" t="s">
        <v>15</v>
      </c>
    </row>
    <row r="1072" spans="1:14" x14ac:dyDescent="0.25">
      <c r="A1072">
        <v>8325</v>
      </c>
      <c r="B1072">
        <v>3654</v>
      </c>
      <c r="C1072">
        <f>1/COUNTIF(B:B,pizza_sales[[#This Row],[order_id]])</f>
        <v>0.16666666666666666</v>
      </c>
      <c r="D1072" t="s">
        <v>45</v>
      </c>
      <c r="E1072">
        <v>1</v>
      </c>
      <c r="F1072" s="1">
        <v>42066</v>
      </c>
      <c r="G1072" s="1" t="str">
        <f>TEXT(pizza_sales[[#This Row],[order_date]],"dddd")</f>
        <v>Tuesday</v>
      </c>
      <c r="H1072" s="2">
        <v>0.56844907407407408</v>
      </c>
      <c r="I1072">
        <v>10.5</v>
      </c>
      <c r="J1072">
        <v>10.5</v>
      </c>
      <c r="K1072" t="s">
        <v>60</v>
      </c>
      <c r="L1072" t="s">
        <v>13</v>
      </c>
      <c r="M1072" t="s">
        <v>14</v>
      </c>
      <c r="N1072" t="s">
        <v>15</v>
      </c>
    </row>
    <row r="1073" spans="1:14" x14ac:dyDescent="0.25">
      <c r="A1073">
        <v>8326</v>
      </c>
      <c r="B1073">
        <v>3654</v>
      </c>
      <c r="C1073">
        <f>1/COUNTIF(B:B,pizza_sales[[#This Row],[order_id]])</f>
        <v>0.16666666666666666</v>
      </c>
      <c r="D1073" t="s">
        <v>24</v>
      </c>
      <c r="E1073">
        <v>1</v>
      </c>
      <c r="F1073" s="1">
        <v>42066</v>
      </c>
      <c r="G1073" s="1" t="str">
        <f>TEXT(pizza_sales[[#This Row],[order_date]],"dddd")</f>
        <v>Tuesday</v>
      </c>
      <c r="H1073" s="2">
        <v>0.56844907407407408</v>
      </c>
      <c r="I1073">
        <v>20.25</v>
      </c>
      <c r="J1073">
        <v>20.25</v>
      </c>
      <c r="K1073" t="s">
        <v>58</v>
      </c>
      <c r="L1073" t="s">
        <v>17</v>
      </c>
      <c r="M1073" t="s">
        <v>18</v>
      </c>
      <c r="N1073" t="s">
        <v>19</v>
      </c>
    </row>
    <row r="1074" spans="1:14" x14ac:dyDescent="0.25">
      <c r="A1074">
        <v>8327</v>
      </c>
      <c r="B1074">
        <v>3654</v>
      </c>
      <c r="C1074">
        <f>1/COUNTIF(B:B,pizza_sales[[#This Row],[order_id]])</f>
        <v>0.16666666666666666</v>
      </c>
      <c r="D1074" t="s">
        <v>50</v>
      </c>
      <c r="E1074">
        <v>1</v>
      </c>
      <c r="F1074" s="1">
        <v>42066</v>
      </c>
      <c r="G1074" s="1" t="str">
        <f>TEXT(pizza_sales[[#This Row],[order_date]],"dddd")</f>
        <v>Tuesday</v>
      </c>
      <c r="H1074" s="2">
        <v>0.56844907407407408</v>
      </c>
      <c r="I1074">
        <v>16</v>
      </c>
      <c r="J1074">
        <v>16</v>
      </c>
      <c r="K1074" t="s">
        <v>59</v>
      </c>
      <c r="L1074" t="s">
        <v>13</v>
      </c>
      <c r="M1074" t="s">
        <v>32</v>
      </c>
      <c r="N1074" t="s">
        <v>33</v>
      </c>
    </row>
    <row r="1075" spans="1:14" x14ac:dyDescent="0.25">
      <c r="A1075">
        <v>8328</v>
      </c>
      <c r="B1075">
        <v>3654</v>
      </c>
      <c r="C1075">
        <f>1/COUNTIF(B:B,pizza_sales[[#This Row],[order_id]])</f>
        <v>0.16666666666666666</v>
      </c>
      <c r="D1075" t="s">
        <v>43</v>
      </c>
      <c r="E1075">
        <v>1</v>
      </c>
      <c r="F1075" s="1">
        <v>42066</v>
      </c>
      <c r="G1075" s="1" t="str">
        <f>TEXT(pizza_sales[[#This Row],[order_date]],"dddd")</f>
        <v>Tuesday</v>
      </c>
      <c r="H1075" s="2">
        <v>0.56844907407407408</v>
      </c>
      <c r="I1075">
        <v>16.25</v>
      </c>
      <c r="J1075">
        <v>16.25</v>
      </c>
      <c r="K1075" t="s">
        <v>59</v>
      </c>
      <c r="L1075" t="s">
        <v>35</v>
      </c>
      <c r="M1075" t="s">
        <v>40</v>
      </c>
      <c r="N1075" t="s">
        <v>41</v>
      </c>
    </row>
    <row r="1076" spans="1:14" x14ac:dyDescent="0.25">
      <c r="A1076">
        <v>8331</v>
      </c>
      <c r="B1076">
        <v>3655</v>
      </c>
      <c r="C1076">
        <f>1/COUNTIF(B:B,pizza_sales[[#This Row],[order_id]])</f>
        <v>0.5</v>
      </c>
      <c r="D1076" t="s">
        <v>38</v>
      </c>
      <c r="E1076">
        <v>1</v>
      </c>
      <c r="F1076" s="1">
        <v>42066</v>
      </c>
      <c r="G1076" s="1" t="str">
        <f>TEXT(pizza_sales[[#This Row],[order_date]],"dddd")</f>
        <v>Tuesday</v>
      </c>
      <c r="H1076" s="2">
        <v>0.5690277777777778</v>
      </c>
      <c r="I1076">
        <v>20.5</v>
      </c>
      <c r="J1076">
        <v>20.5</v>
      </c>
      <c r="K1076" t="s">
        <v>58</v>
      </c>
      <c r="L1076" t="s">
        <v>13</v>
      </c>
      <c r="M1076" t="s">
        <v>32</v>
      </c>
      <c r="N1076" t="s">
        <v>33</v>
      </c>
    </row>
    <row r="1077" spans="1:14" x14ac:dyDescent="0.25">
      <c r="A1077">
        <v>8332</v>
      </c>
      <c r="B1077">
        <v>3655</v>
      </c>
      <c r="C1077">
        <f>1/COUNTIF(B:B,pizza_sales[[#This Row],[order_id]])</f>
        <v>0.5</v>
      </c>
      <c r="D1077" t="s">
        <v>43</v>
      </c>
      <c r="E1077">
        <v>1</v>
      </c>
      <c r="F1077" s="1">
        <v>42066</v>
      </c>
      <c r="G1077" s="1" t="str">
        <f>TEXT(pizza_sales[[#This Row],[order_date]],"dddd")</f>
        <v>Tuesday</v>
      </c>
      <c r="H1077" s="2">
        <v>0.5690277777777778</v>
      </c>
      <c r="I1077">
        <v>16.25</v>
      </c>
      <c r="J1077">
        <v>16.25</v>
      </c>
      <c r="K1077" t="s">
        <v>59</v>
      </c>
      <c r="L1077" t="s">
        <v>35</v>
      </c>
      <c r="M1077" t="s">
        <v>40</v>
      </c>
      <c r="N1077" t="s">
        <v>41</v>
      </c>
    </row>
    <row r="1078" spans="1:14" x14ac:dyDescent="0.25">
      <c r="A1078">
        <v>8336</v>
      </c>
      <c r="B1078">
        <v>3657</v>
      </c>
      <c r="C1078">
        <f>1/COUNTIF(B:B,pizza_sales[[#This Row],[order_id]])</f>
        <v>1</v>
      </c>
      <c r="D1078" t="s">
        <v>16</v>
      </c>
      <c r="E1078">
        <v>1</v>
      </c>
      <c r="F1078" s="1">
        <v>42066</v>
      </c>
      <c r="G1078" s="1" t="str">
        <f>TEXT(pizza_sales[[#This Row],[order_date]],"dddd")</f>
        <v>Tuesday</v>
      </c>
      <c r="H1078" s="2">
        <v>0.57848379629629632</v>
      </c>
      <c r="I1078">
        <v>16</v>
      </c>
      <c r="J1078">
        <v>16</v>
      </c>
      <c r="K1078" t="s">
        <v>59</v>
      </c>
      <c r="L1078" t="s">
        <v>17</v>
      </c>
      <c r="M1078" t="s">
        <v>18</v>
      </c>
      <c r="N1078" t="s">
        <v>19</v>
      </c>
    </row>
    <row r="1079" spans="1:14" x14ac:dyDescent="0.25">
      <c r="A1079">
        <v>8340</v>
      </c>
      <c r="B1079">
        <v>3659</v>
      </c>
      <c r="C1079">
        <f>1/COUNTIF(B:B,pizza_sales[[#This Row],[order_id]])</f>
        <v>0.5</v>
      </c>
      <c r="D1079" t="s">
        <v>12</v>
      </c>
      <c r="E1079">
        <v>1</v>
      </c>
      <c r="F1079" s="1">
        <v>42066</v>
      </c>
      <c r="G1079" s="1" t="str">
        <f>TEXT(pizza_sales[[#This Row],[order_date]],"dddd")</f>
        <v>Tuesday</v>
      </c>
      <c r="H1079" s="2">
        <v>0.58570601851851856</v>
      </c>
      <c r="I1079">
        <v>13.25</v>
      </c>
      <c r="J1079">
        <v>13.25</v>
      </c>
      <c r="K1079" t="s">
        <v>59</v>
      </c>
      <c r="L1079" t="s">
        <v>13</v>
      </c>
      <c r="M1079" t="s">
        <v>14</v>
      </c>
      <c r="N1079" t="s">
        <v>15</v>
      </c>
    </row>
    <row r="1080" spans="1:14" x14ac:dyDescent="0.25">
      <c r="A1080">
        <v>8341</v>
      </c>
      <c r="B1080">
        <v>3659</v>
      </c>
      <c r="C1080">
        <f>1/COUNTIF(B:B,pizza_sales[[#This Row],[order_id]])</f>
        <v>0.5</v>
      </c>
      <c r="D1080" t="s">
        <v>25</v>
      </c>
      <c r="E1080">
        <v>1</v>
      </c>
      <c r="F1080" s="1">
        <v>42066</v>
      </c>
      <c r="G1080" s="1" t="str">
        <f>TEXT(pizza_sales[[#This Row],[order_date]],"dddd")</f>
        <v>Tuesday</v>
      </c>
      <c r="H1080" s="2">
        <v>0.58570601851851856</v>
      </c>
      <c r="I1080">
        <v>15.25</v>
      </c>
      <c r="J1080">
        <v>15.25</v>
      </c>
      <c r="K1080" t="s">
        <v>58</v>
      </c>
      <c r="L1080" t="s">
        <v>13</v>
      </c>
      <c r="M1080" t="s">
        <v>26</v>
      </c>
      <c r="N1080" t="s">
        <v>27</v>
      </c>
    </row>
    <row r="1081" spans="1:14" x14ac:dyDescent="0.25">
      <c r="A1081">
        <v>8349</v>
      </c>
      <c r="B1081">
        <v>3660</v>
      </c>
      <c r="C1081">
        <f>1/COUNTIF(B:B,pizza_sales[[#This Row],[order_id]])</f>
        <v>0.33333333333333331</v>
      </c>
      <c r="D1081" t="s">
        <v>28</v>
      </c>
      <c r="E1081">
        <v>1</v>
      </c>
      <c r="F1081" s="1">
        <v>42066</v>
      </c>
      <c r="G1081" s="1" t="str">
        <f>TEXT(pizza_sales[[#This Row],[order_date]],"dddd")</f>
        <v>Tuesday</v>
      </c>
      <c r="H1081" s="2">
        <v>0.58950231481481485</v>
      </c>
      <c r="I1081">
        <v>12</v>
      </c>
      <c r="J1081">
        <v>12</v>
      </c>
      <c r="K1081" t="s">
        <v>60</v>
      </c>
      <c r="L1081" t="s">
        <v>13</v>
      </c>
      <c r="M1081" t="s">
        <v>29</v>
      </c>
      <c r="N1081" t="s">
        <v>30</v>
      </c>
    </row>
    <row r="1082" spans="1:14" x14ac:dyDescent="0.25">
      <c r="A1082">
        <v>8351</v>
      </c>
      <c r="B1082">
        <v>3660</v>
      </c>
      <c r="C1082">
        <f>1/COUNTIF(B:B,pizza_sales[[#This Row],[order_id]])</f>
        <v>0.33333333333333331</v>
      </c>
      <c r="D1082" t="s">
        <v>47</v>
      </c>
      <c r="E1082">
        <v>1</v>
      </c>
      <c r="F1082" s="1">
        <v>42066</v>
      </c>
      <c r="G1082" s="1" t="str">
        <f>TEXT(pizza_sales[[#This Row],[order_date]],"dddd")</f>
        <v>Tuesday</v>
      </c>
      <c r="H1082" s="2">
        <v>0.58950231481481485</v>
      </c>
      <c r="I1082">
        <v>16.5</v>
      </c>
      <c r="J1082">
        <v>16.5</v>
      </c>
      <c r="K1082" t="s">
        <v>58</v>
      </c>
      <c r="L1082" t="s">
        <v>13</v>
      </c>
      <c r="M1082" t="s">
        <v>14</v>
      </c>
      <c r="N1082" t="s">
        <v>15</v>
      </c>
    </row>
    <row r="1083" spans="1:14" x14ac:dyDescent="0.25">
      <c r="A1083">
        <v>8352</v>
      </c>
      <c r="B1083">
        <v>3660</v>
      </c>
      <c r="C1083">
        <f>1/COUNTIF(B:B,pizza_sales[[#This Row],[order_id]])</f>
        <v>0.33333333333333331</v>
      </c>
      <c r="D1083" t="s">
        <v>42</v>
      </c>
      <c r="E1083">
        <v>1</v>
      </c>
      <c r="F1083" s="1">
        <v>42066</v>
      </c>
      <c r="G1083" s="1" t="str">
        <f>TEXT(pizza_sales[[#This Row],[order_date]],"dddd")</f>
        <v>Tuesday</v>
      </c>
      <c r="H1083" s="2">
        <v>0.58950231481481485</v>
      </c>
      <c r="I1083">
        <v>12.5</v>
      </c>
      <c r="J1083">
        <v>12.5</v>
      </c>
      <c r="K1083" t="s">
        <v>59</v>
      </c>
      <c r="L1083" t="s">
        <v>13</v>
      </c>
      <c r="M1083" t="s">
        <v>26</v>
      </c>
      <c r="N1083" t="s">
        <v>27</v>
      </c>
    </row>
    <row r="1084" spans="1:14" x14ac:dyDescent="0.25">
      <c r="A1084">
        <v>8355</v>
      </c>
      <c r="B1084">
        <v>3661</v>
      </c>
      <c r="C1084">
        <f>1/COUNTIF(B:B,pizza_sales[[#This Row],[order_id]])</f>
        <v>1</v>
      </c>
      <c r="D1084" t="s">
        <v>23</v>
      </c>
      <c r="E1084">
        <v>1</v>
      </c>
      <c r="F1084" s="1">
        <v>42066</v>
      </c>
      <c r="G1084" s="1" t="str">
        <f>TEXT(pizza_sales[[#This Row],[order_date]],"dddd")</f>
        <v>Tuesday</v>
      </c>
      <c r="H1084" s="2">
        <v>0.6284953703703704</v>
      </c>
      <c r="I1084">
        <v>12</v>
      </c>
      <c r="J1084">
        <v>12</v>
      </c>
      <c r="K1084" t="s">
        <v>60</v>
      </c>
      <c r="L1084" t="s">
        <v>17</v>
      </c>
      <c r="M1084" t="s">
        <v>18</v>
      </c>
      <c r="N1084" t="s">
        <v>19</v>
      </c>
    </row>
    <row r="1085" spans="1:14" x14ac:dyDescent="0.25">
      <c r="A1085">
        <v>8360</v>
      </c>
      <c r="B1085">
        <v>3663</v>
      </c>
      <c r="C1085">
        <f>1/COUNTIF(B:B,pizza_sales[[#This Row],[order_id]])</f>
        <v>0.5</v>
      </c>
      <c r="D1085" t="s">
        <v>24</v>
      </c>
      <c r="E1085">
        <v>1</v>
      </c>
      <c r="F1085" s="1">
        <v>42066</v>
      </c>
      <c r="G1085" s="1" t="str">
        <f>TEXT(pizza_sales[[#This Row],[order_date]],"dddd")</f>
        <v>Tuesday</v>
      </c>
      <c r="H1085" s="2">
        <v>0.65780092592592587</v>
      </c>
      <c r="I1085">
        <v>20.25</v>
      </c>
      <c r="J1085">
        <v>20.25</v>
      </c>
      <c r="K1085" t="s">
        <v>58</v>
      </c>
      <c r="L1085" t="s">
        <v>17</v>
      </c>
      <c r="M1085" t="s">
        <v>18</v>
      </c>
      <c r="N1085" t="s">
        <v>19</v>
      </c>
    </row>
    <row r="1086" spans="1:14" x14ac:dyDescent="0.25">
      <c r="A1086">
        <v>8361</v>
      </c>
      <c r="B1086">
        <v>3663</v>
      </c>
      <c r="C1086">
        <f>1/COUNTIF(B:B,pizza_sales[[#This Row],[order_id]])</f>
        <v>0.5</v>
      </c>
      <c r="D1086" t="s">
        <v>39</v>
      </c>
      <c r="E1086">
        <v>1</v>
      </c>
      <c r="F1086" s="1">
        <v>42066</v>
      </c>
      <c r="G1086" s="1" t="str">
        <f>TEXT(pizza_sales[[#This Row],[order_date]],"dddd")</f>
        <v>Tuesday</v>
      </c>
      <c r="H1086" s="2">
        <v>0.65780092592592587</v>
      </c>
      <c r="I1086">
        <v>20.25</v>
      </c>
      <c r="J1086">
        <v>20.25</v>
      </c>
      <c r="K1086" t="s">
        <v>58</v>
      </c>
      <c r="L1086" t="s">
        <v>35</v>
      </c>
      <c r="M1086" t="s">
        <v>40</v>
      </c>
      <c r="N1086" t="s">
        <v>41</v>
      </c>
    </row>
    <row r="1087" spans="1:14" x14ac:dyDescent="0.25">
      <c r="A1087">
        <v>8371</v>
      </c>
      <c r="B1087">
        <v>3668</v>
      </c>
      <c r="C1087">
        <f>1/COUNTIF(B:B,pizza_sales[[#This Row],[order_id]])</f>
        <v>0.5</v>
      </c>
      <c r="D1087" t="s">
        <v>45</v>
      </c>
      <c r="E1087">
        <v>1</v>
      </c>
      <c r="F1087" s="1">
        <v>42066</v>
      </c>
      <c r="G1087" s="1" t="str">
        <f>TEXT(pizza_sales[[#This Row],[order_date]],"dddd")</f>
        <v>Tuesday</v>
      </c>
      <c r="H1087" s="2">
        <v>0.71262731481481478</v>
      </c>
      <c r="I1087">
        <v>10.5</v>
      </c>
      <c r="J1087">
        <v>10.5</v>
      </c>
      <c r="K1087" t="s">
        <v>60</v>
      </c>
      <c r="L1087" t="s">
        <v>13</v>
      </c>
      <c r="M1087" t="s">
        <v>14</v>
      </c>
      <c r="N1087" t="s">
        <v>15</v>
      </c>
    </row>
    <row r="1088" spans="1:14" x14ac:dyDescent="0.25">
      <c r="A1088">
        <v>8373</v>
      </c>
      <c r="B1088">
        <v>3668</v>
      </c>
      <c r="C1088">
        <f>1/COUNTIF(B:B,pizza_sales[[#This Row],[order_id]])</f>
        <v>0.5</v>
      </c>
      <c r="D1088" t="s">
        <v>39</v>
      </c>
      <c r="E1088">
        <v>1</v>
      </c>
      <c r="F1088" s="1">
        <v>42066</v>
      </c>
      <c r="G1088" s="1" t="str">
        <f>TEXT(pizza_sales[[#This Row],[order_date]],"dddd")</f>
        <v>Tuesday</v>
      </c>
      <c r="H1088" s="2">
        <v>0.71262731481481478</v>
      </c>
      <c r="I1088">
        <v>20.25</v>
      </c>
      <c r="J1088">
        <v>20.25</v>
      </c>
      <c r="K1088" t="s">
        <v>58</v>
      </c>
      <c r="L1088" t="s">
        <v>35</v>
      </c>
      <c r="M1088" t="s">
        <v>40</v>
      </c>
      <c r="N1088" t="s">
        <v>41</v>
      </c>
    </row>
    <row r="1089" spans="1:14" x14ac:dyDescent="0.25">
      <c r="A1089">
        <v>8374</v>
      </c>
      <c r="B1089">
        <v>3669</v>
      </c>
      <c r="C1089">
        <f>1/COUNTIF(B:B,pizza_sales[[#This Row],[order_id]])</f>
        <v>0.5</v>
      </c>
      <c r="D1089" t="s">
        <v>28</v>
      </c>
      <c r="E1089">
        <v>1</v>
      </c>
      <c r="F1089" s="1">
        <v>42066</v>
      </c>
      <c r="G1089" s="1" t="str">
        <f>TEXT(pizza_sales[[#This Row],[order_date]],"dddd")</f>
        <v>Tuesday</v>
      </c>
      <c r="H1089" s="2">
        <v>0.72196759259259258</v>
      </c>
      <c r="I1089">
        <v>12</v>
      </c>
      <c r="J1089">
        <v>12</v>
      </c>
      <c r="K1089" t="s">
        <v>60</v>
      </c>
      <c r="L1089" t="s">
        <v>13</v>
      </c>
      <c r="M1089" t="s">
        <v>29</v>
      </c>
      <c r="N1089" t="s">
        <v>30</v>
      </c>
    </row>
    <row r="1090" spans="1:14" x14ac:dyDescent="0.25">
      <c r="A1090">
        <v>8375</v>
      </c>
      <c r="B1090">
        <v>3669</v>
      </c>
      <c r="C1090">
        <f>1/COUNTIF(B:B,pizza_sales[[#This Row],[order_id]])</f>
        <v>0.5</v>
      </c>
      <c r="D1090" t="s">
        <v>51</v>
      </c>
      <c r="E1090">
        <v>1</v>
      </c>
      <c r="F1090" s="1">
        <v>42066</v>
      </c>
      <c r="G1090" s="1" t="str">
        <f>TEXT(pizza_sales[[#This Row],[order_date]],"dddd")</f>
        <v>Tuesday</v>
      </c>
      <c r="H1090" s="2">
        <v>0.72196759259259258</v>
      </c>
      <c r="I1090">
        <v>23.65</v>
      </c>
      <c r="J1090">
        <v>23.65</v>
      </c>
      <c r="K1090" t="s">
        <v>60</v>
      </c>
      <c r="L1090" t="s">
        <v>35</v>
      </c>
      <c r="M1090" t="s">
        <v>52</v>
      </c>
      <c r="N1090" t="s">
        <v>53</v>
      </c>
    </row>
    <row r="1091" spans="1:14" x14ac:dyDescent="0.25">
      <c r="A1091">
        <v>8381</v>
      </c>
      <c r="B1091">
        <v>3671</v>
      </c>
      <c r="C1091">
        <f>1/COUNTIF(B:B,pizza_sales[[#This Row],[order_id]])</f>
        <v>1</v>
      </c>
      <c r="D1091" t="s">
        <v>49</v>
      </c>
      <c r="E1091">
        <v>1</v>
      </c>
      <c r="F1091" s="1">
        <v>42066</v>
      </c>
      <c r="G1091" s="1" t="str">
        <f>TEXT(pizza_sales[[#This Row],[order_date]],"dddd")</f>
        <v>Tuesday</v>
      </c>
      <c r="H1091" s="2">
        <v>0.72739583333333335</v>
      </c>
      <c r="I1091">
        <v>16</v>
      </c>
      <c r="J1091">
        <v>16</v>
      </c>
      <c r="K1091" t="s">
        <v>59</v>
      </c>
      <c r="L1091" t="s">
        <v>13</v>
      </c>
      <c r="M1091" t="s">
        <v>21</v>
      </c>
      <c r="N1091" t="s">
        <v>22</v>
      </c>
    </row>
    <row r="1092" spans="1:14" x14ac:dyDescent="0.25">
      <c r="A1092">
        <v>8383</v>
      </c>
      <c r="B1092">
        <v>3673</v>
      </c>
      <c r="C1092">
        <f>1/COUNTIF(B:B,pizza_sales[[#This Row],[order_id]])</f>
        <v>1</v>
      </c>
      <c r="D1092" t="s">
        <v>51</v>
      </c>
      <c r="E1092">
        <v>1</v>
      </c>
      <c r="F1092" s="1">
        <v>42066</v>
      </c>
      <c r="G1092" s="1" t="str">
        <f>TEXT(pizza_sales[[#This Row],[order_date]],"dddd")</f>
        <v>Tuesday</v>
      </c>
      <c r="H1092" s="2">
        <v>0.7421875</v>
      </c>
      <c r="I1092">
        <v>23.65</v>
      </c>
      <c r="J1092">
        <v>23.65</v>
      </c>
      <c r="K1092" t="s">
        <v>60</v>
      </c>
      <c r="L1092" t="s">
        <v>35</v>
      </c>
      <c r="M1092" t="s">
        <v>52</v>
      </c>
      <c r="N1092" t="s">
        <v>53</v>
      </c>
    </row>
    <row r="1093" spans="1:14" x14ac:dyDescent="0.25">
      <c r="A1093">
        <v>8387</v>
      </c>
      <c r="B1093">
        <v>3675</v>
      </c>
      <c r="C1093">
        <f>1/COUNTIF(B:B,pizza_sales[[#This Row],[order_id]])</f>
        <v>0.5</v>
      </c>
      <c r="D1093" t="s">
        <v>45</v>
      </c>
      <c r="E1093">
        <v>1</v>
      </c>
      <c r="F1093" s="1">
        <v>42066</v>
      </c>
      <c r="G1093" s="1" t="str">
        <f>TEXT(pizza_sales[[#This Row],[order_date]],"dddd")</f>
        <v>Tuesday</v>
      </c>
      <c r="H1093" s="2">
        <v>0.7628125</v>
      </c>
      <c r="I1093">
        <v>10.5</v>
      </c>
      <c r="J1093">
        <v>10.5</v>
      </c>
      <c r="K1093" t="s">
        <v>60</v>
      </c>
      <c r="L1093" t="s">
        <v>13</v>
      </c>
      <c r="M1093" t="s">
        <v>14</v>
      </c>
      <c r="N1093" t="s">
        <v>15</v>
      </c>
    </row>
    <row r="1094" spans="1:14" x14ac:dyDescent="0.25">
      <c r="A1094">
        <v>8388</v>
      </c>
      <c r="B1094">
        <v>3675</v>
      </c>
      <c r="C1094">
        <f>1/COUNTIF(B:B,pizza_sales[[#This Row],[order_id]])</f>
        <v>0.5</v>
      </c>
      <c r="D1094" t="s">
        <v>24</v>
      </c>
      <c r="E1094">
        <v>1</v>
      </c>
      <c r="F1094" s="1">
        <v>42066</v>
      </c>
      <c r="G1094" s="1" t="str">
        <f>TEXT(pizza_sales[[#This Row],[order_date]],"dddd")</f>
        <v>Tuesday</v>
      </c>
      <c r="H1094" s="2">
        <v>0.7628125</v>
      </c>
      <c r="I1094">
        <v>20.25</v>
      </c>
      <c r="J1094">
        <v>20.25</v>
      </c>
      <c r="K1094" t="s">
        <v>58</v>
      </c>
      <c r="L1094" t="s">
        <v>17</v>
      </c>
      <c r="M1094" t="s">
        <v>18</v>
      </c>
      <c r="N1094" t="s">
        <v>19</v>
      </c>
    </row>
    <row r="1095" spans="1:14" x14ac:dyDescent="0.25">
      <c r="A1095">
        <v>8390</v>
      </c>
      <c r="B1095">
        <v>3676</v>
      </c>
      <c r="C1095">
        <f>1/COUNTIF(B:B,pizza_sales[[#This Row],[order_id]])</f>
        <v>1</v>
      </c>
      <c r="D1095" t="s">
        <v>43</v>
      </c>
      <c r="E1095">
        <v>1</v>
      </c>
      <c r="F1095" s="1">
        <v>42066</v>
      </c>
      <c r="G1095" s="1" t="str">
        <f>TEXT(pizza_sales[[#This Row],[order_date]],"dddd")</f>
        <v>Tuesday</v>
      </c>
      <c r="H1095" s="2">
        <v>0.77015046296296297</v>
      </c>
      <c r="I1095">
        <v>16.25</v>
      </c>
      <c r="J1095">
        <v>16.25</v>
      </c>
      <c r="K1095" t="s">
        <v>59</v>
      </c>
      <c r="L1095" t="s">
        <v>35</v>
      </c>
      <c r="M1095" t="s">
        <v>40</v>
      </c>
      <c r="N1095" t="s">
        <v>41</v>
      </c>
    </row>
    <row r="1096" spans="1:14" x14ac:dyDescent="0.25">
      <c r="A1096">
        <v>8391</v>
      </c>
      <c r="B1096">
        <v>3677</v>
      </c>
      <c r="C1096">
        <f>1/COUNTIF(B:B,pizza_sales[[#This Row],[order_id]])</f>
        <v>0.5</v>
      </c>
      <c r="D1096" t="s">
        <v>28</v>
      </c>
      <c r="E1096">
        <v>1</v>
      </c>
      <c r="F1096" s="1">
        <v>42066</v>
      </c>
      <c r="G1096" s="1" t="str">
        <f>TEXT(pizza_sales[[#This Row],[order_date]],"dddd")</f>
        <v>Tuesday</v>
      </c>
      <c r="H1096" s="2">
        <v>0.77537037037037038</v>
      </c>
      <c r="I1096">
        <v>12</v>
      </c>
      <c r="J1096">
        <v>12</v>
      </c>
      <c r="K1096" t="s">
        <v>60</v>
      </c>
      <c r="L1096" t="s">
        <v>13</v>
      </c>
      <c r="M1096" t="s">
        <v>29</v>
      </c>
      <c r="N1096" t="s">
        <v>30</v>
      </c>
    </row>
    <row r="1097" spans="1:14" x14ac:dyDescent="0.25">
      <c r="A1097">
        <v>8393</v>
      </c>
      <c r="B1097">
        <v>3677</v>
      </c>
      <c r="C1097">
        <f>1/COUNTIF(B:B,pizza_sales[[#This Row],[order_id]])</f>
        <v>0.5</v>
      </c>
      <c r="D1097" t="s">
        <v>25</v>
      </c>
      <c r="E1097">
        <v>1</v>
      </c>
      <c r="F1097" s="1">
        <v>42066</v>
      </c>
      <c r="G1097" s="1" t="str">
        <f>TEXT(pizza_sales[[#This Row],[order_date]],"dddd")</f>
        <v>Tuesday</v>
      </c>
      <c r="H1097" s="2">
        <v>0.77537037037037038</v>
      </c>
      <c r="I1097">
        <v>15.25</v>
      </c>
      <c r="J1097">
        <v>15.25</v>
      </c>
      <c r="K1097" t="s">
        <v>58</v>
      </c>
      <c r="L1097" t="s">
        <v>13</v>
      </c>
      <c r="M1097" t="s">
        <v>26</v>
      </c>
      <c r="N1097" t="s">
        <v>27</v>
      </c>
    </row>
    <row r="1098" spans="1:14" x14ac:dyDescent="0.25">
      <c r="A1098">
        <v>8395</v>
      </c>
      <c r="B1098">
        <v>3678</v>
      </c>
      <c r="C1098">
        <f>1/COUNTIF(B:B,pizza_sales[[#This Row],[order_id]])</f>
        <v>1</v>
      </c>
      <c r="D1098" t="s">
        <v>44</v>
      </c>
      <c r="E1098">
        <v>1</v>
      </c>
      <c r="F1098" s="1">
        <v>42066</v>
      </c>
      <c r="G1098" s="1" t="str">
        <f>TEXT(pizza_sales[[#This Row],[order_date]],"dddd")</f>
        <v>Tuesday</v>
      </c>
      <c r="H1098" s="2">
        <v>0.7790393518518518</v>
      </c>
      <c r="I1098">
        <v>9.75</v>
      </c>
      <c r="J1098">
        <v>9.75</v>
      </c>
      <c r="K1098" t="s">
        <v>60</v>
      </c>
      <c r="L1098" t="s">
        <v>13</v>
      </c>
      <c r="M1098" t="s">
        <v>26</v>
      </c>
      <c r="N1098" t="s">
        <v>27</v>
      </c>
    </row>
    <row r="1099" spans="1:14" x14ac:dyDescent="0.25">
      <c r="A1099">
        <v>8399</v>
      </c>
      <c r="B1099">
        <v>3681</v>
      </c>
      <c r="C1099">
        <f>1/COUNTIF(B:B,pizza_sales[[#This Row],[order_id]])</f>
        <v>1</v>
      </c>
      <c r="D1099" t="s">
        <v>12</v>
      </c>
      <c r="E1099">
        <v>1</v>
      </c>
      <c r="F1099" s="1">
        <v>42066</v>
      </c>
      <c r="G1099" s="1" t="str">
        <f>TEXT(pizza_sales[[#This Row],[order_date]],"dddd")</f>
        <v>Tuesday</v>
      </c>
      <c r="H1099" s="2">
        <v>0.79988425925925921</v>
      </c>
      <c r="I1099">
        <v>13.25</v>
      </c>
      <c r="J1099">
        <v>13.25</v>
      </c>
      <c r="K1099" t="s">
        <v>59</v>
      </c>
      <c r="L1099" t="s">
        <v>13</v>
      </c>
      <c r="M1099" t="s">
        <v>14</v>
      </c>
      <c r="N1099" t="s">
        <v>15</v>
      </c>
    </row>
    <row r="1100" spans="1:14" x14ac:dyDescent="0.25">
      <c r="A1100">
        <v>8401</v>
      </c>
      <c r="B1100">
        <v>3682</v>
      </c>
      <c r="C1100">
        <f>1/COUNTIF(B:B,pizza_sales[[#This Row],[order_id]])</f>
        <v>1</v>
      </c>
      <c r="D1100" t="s">
        <v>24</v>
      </c>
      <c r="E1100">
        <v>1</v>
      </c>
      <c r="F1100" s="1">
        <v>42066</v>
      </c>
      <c r="G1100" s="1" t="str">
        <f>TEXT(pizza_sales[[#This Row],[order_date]],"dddd")</f>
        <v>Tuesday</v>
      </c>
      <c r="H1100" s="2">
        <v>0.8236458333333333</v>
      </c>
      <c r="I1100">
        <v>20.25</v>
      </c>
      <c r="J1100">
        <v>20.25</v>
      </c>
      <c r="K1100" t="s">
        <v>58</v>
      </c>
      <c r="L1100" t="s">
        <v>17</v>
      </c>
      <c r="M1100" t="s">
        <v>18</v>
      </c>
      <c r="N1100" t="s">
        <v>19</v>
      </c>
    </row>
    <row r="1101" spans="1:14" x14ac:dyDescent="0.25">
      <c r="A1101">
        <v>8406</v>
      </c>
      <c r="B1101">
        <v>3684</v>
      </c>
      <c r="C1101">
        <f>1/COUNTIF(B:B,pizza_sales[[#This Row],[order_id]])</f>
        <v>1</v>
      </c>
      <c r="D1101" t="s">
        <v>51</v>
      </c>
      <c r="E1101">
        <v>1</v>
      </c>
      <c r="F1101" s="1">
        <v>42066</v>
      </c>
      <c r="G1101" s="1" t="str">
        <f>TEXT(pizza_sales[[#This Row],[order_date]],"dddd")</f>
        <v>Tuesday</v>
      </c>
      <c r="H1101" s="2">
        <v>0.83276620370370369</v>
      </c>
      <c r="I1101">
        <v>23.65</v>
      </c>
      <c r="J1101">
        <v>23.65</v>
      </c>
      <c r="K1101" t="s">
        <v>60</v>
      </c>
      <c r="L1101" t="s">
        <v>35</v>
      </c>
      <c r="M1101" t="s">
        <v>52</v>
      </c>
      <c r="N1101" t="s">
        <v>53</v>
      </c>
    </row>
    <row r="1102" spans="1:14" x14ac:dyDescent="0.25">
      <c r="A1102">
        <v>8411</v>
      </c>
      <c r="B1102">
        <v>3687</v>
      </c>
      <c r="C1102">
        <f>1/COUNTIF(B:B,pizza_sales[[#This Row],[order_id]])</f>
        <v>1</v>
      </c>
      <c r="D1102" t="s">
        <v>39</v>
      </c>
      <c r="E1102">
        <v>1</v>
      </c>
      <c r="F1102" s="1">
        <v>42066</v>
      </c>
      <c r="G1102" s="1" t="str">
        <f>TEXT(pizza_sales[[#This Row],[order_date]],"dddd")</f>
        <v>Tuesday</v>
      </c>
      <c r="H1102" s="2">
        <v>0.85112268518518519</v>
      </c>
      <c r="I1102">
        <v>20.25</v>
      </c>
      <c r="J1102">
        <v>20.25</v>
      </c>
      <c r="K1102" t="s">
        <v>58</v>
      </c>
      <c r="L1102" t="s">
        <v>35</v>
      </c>
      <c r="M1102" t="s">
        <v>40</v>
      </c>
      <c r="N1102" t="s">
        <v>41</v>
      </c>
    </row>
    <row r="1103" spans="1:14" x14ac:dyDescent="0.25">
      <c r="A1103">
        <v>8420</v>
      </c>
      <c r="B1103">
        <v>3691</v>
      </c>
      <c r="C1103">
        <f>1/COUNTIF(B:B,pizza_sales[[#This Row],[order_id]])</f>
        <v>0.5</v>
      </c>
      <c r="D1103" t="s">
        <v>24</v>
      </c>
      <c r="E1103">
        <v>1</v>
      </c>
      <c r="F1103" s="1">
        <v>42097</v>
      </c>
      <c r="G1103" s="1" t="str">
        <f>TEXT(pizza_sales[[#This Row],[order_date]],"dddd")</f>
        <v>Friday</v>
      </c>
      <c r="H1103" s="2">
        <v>0.47430555555555554</v>
      </c>
      <c r="I1103">
        <v>20.25</v>
      </c>
      <c r="J1103">
        <v>20.25</v>
      </c>
      <c r="K1103" t="s">
        <v>58</v>
      </c>
      <c r="L1103" t="s">
        <v>17</v>
      </c>
      <c r="M1103" t="s">
        <v>18</v>
      </c>
      <c r="N1103" t="s">
        <v>19</v>
      </c>
    </row>
    <row r="1104" spans="1:14" x14ac:dyDescent="0.25">
      <c r="A1104">
        <v>8422</v>
      </c>
      <c r="B1104">
        <v>3691</v>
      </c>
      <c r="C1104">
        <f>1/COUNTIF(B:B,pizza_sales[[#This Row],[order_id]])</f>
        <v>0.5</v>
      </c>
      <c r="D1104" t="s">
        <v>39</v>
      </c>
      <c r="E1104">
        <v>1</v>
      </c>
      <c r="F1104" s="1">
        <v>42097</v>
      </c>
      <c r="G1104" s="1" t="str">
        <f>TEXT(pizza_sales[[#This Row],[order_date]],"dddd")</f>
        <v>Friday</v>
      </c>
      <c r="H1104" s="2">
        <v>0.47430555555555554</v>
      </c>
      <c r="I1104">
        <v>20.25</v>
      </c>
      <c r="J1104">
        <v>20.25</v>
      </c>
      <c r="K1104" t="s">
        <v>58</v>
      </c>
      <c r="L1104" t="s">
        <v>35</v>
      </c>
      <c r="M1104" t="s">
        <v>40</v>
      </c>
      <c r="N1104" t="s">
        <v>41</v>
      </c>
    </row>
    <row r="1105" spans="1:14" x14ac:dyDescent="0.25">
      <c r="A1105">
        <v>8425</v>
      </c>
      <c r="B1105">
        <v>3692</v>
      </c>
      <c r="C1105">
        <f>1/COUNTIF(B:B,pizza_sales[[#This Row],[order_id]])</f>
        <v>1</v>
      </c>
      <c r="D1105" t="s">
        <v>12</v>
      </c>
      <c r="E1105">
        <v>1</v>
      </c>
      <c r="F1105" s="1">
        <v>42097</v>
      </c>
      <c r="G1105" s="1" t="str">
        <f>TEXT(pizza_sales[[#This Row],[order_date]],"dddd")</f>
        <v>Friday</v>
      </c>
      <c r="H1105" s="2">
        <v>0.47990740740740739</v>
      </c>
      <c r="I1105">
        <v>13.25</v>
      </c>
      <c r="J1105">
        <v>13.25</v>
      </c>
      <c r="K1105" t="s">
        <v>59</v>
      </c>
      <c r="L1105" t="s">
        <v>13</v>
      </c>
      <c r="M1105" t="s">
        <v>14</v>
      </c>
      <c r="N1105" t="s">
        <v>15</v>
      </c>
    </row>
    <row r="1106" spans="1:14" x14ac:dyDescent="0.25">
      <c r="A1106">
        <v>8431</v>
      </c>
      <c r="B1106">
        <v>3694</v>
      </c>
      <c r="C1106">
        <f>1/COUNTIF(B:B,pizza_sales[[#This Row],[order_id]])</f>
        <v>1</v>
      </c>
      <c r="D1106" t="s">
        <v>34</v>
      </c>
      <c r="E1106">
        <v>1</v>
      </c>
      <c r="F1106" s="1">
        <v>42097</v>
      </c>
      <c r="G1106" s="1" t="str">
        <f>TEXT(pizza_sales[[#This Row],[order_date]],"dddd")</f>
        <v>Friday</v>
      </c>
      <c r="H1106" s="2">
        <v>0.48491898148148149</v>
      </c>
      <c r="I1106">
        <v>16.25</v>
      </c>
      <c r="J1106">
        <v>16.25</v>
      </c>
      <c r="K1106" t="s">
        <v>59</v>
      </c>
      <c r="L1106" t="s">
        <v>35</v>
      </c>
      <c r="M1106" t="s">
        <v>36</v>
      </c>
      <c r="N1106" t="s">
        <v>37</v>
      </c>
    </row>
    <row r="1107" spans="1:14" x14ac:dyDescent="0.25">
      <c r="A1107">
        <v>8433</v>
      </c>
      <c r="B1107">
        <v>3696</v>
      </c>
      <c r="C1107">
        <f>1/COUNTIF(B:B,pizza_sales[[#This Row],[order_id]])</f>
        <v>1</v>
      </c>
      <c r="D1107" t="s">
        <v>45</v>
      </c>
      <c r="E1107">
        <v>1</v>
      </c>
      <c r="F1107" s="1">
        <v>42097</v>
      </c>
      <c r="G1107" s="1" t="str">
        <f>TEXT(pizza_sales[[#This Row],[order_date]],"dddd")</f>
        <v>Friday</v>
      </c>
      <c r="H1107" s="2">
        <v>0.50496527777777778</v>
      </c>
      <c r="I1107">
        <v>10.5</v>
      </c>
      <c r="J1107">
        <v>10.5</v>
      </c>
      <c r="K1107" t="s">
        <v>60</v>
      </c>
      <c r="L1107" t="s">
        <v>13</v>
      </c>
      <c r="M1107" t="s">
        <v>14</v>
      </c>
      <c r="N1107" t="s">
        <v>15</v>
      </c>
    </row>
    <row r="1108" spans="1:14" x14ac:dyDescent="0.25">
      <c r="A1108">
        <v>8436</v>
      </c>
      <c r="B1108">
        <v>3697</v>
      </c>
      <c r="C1108">
        <f>1/COUNTIF(B:B,pizza_sales[[#This Row],[order_id]])</f>
        <v>1</v>
      </c>
      <c r="D1108" t="s">
        <v>50</v>
      </c>
      <c r="E1108">
        <v>1</v>
      </c>
      <c r="F1108" s="1">
        <v>42097</v>
      </c>
      <c r="G1108" s="1" t="str">
        <f>TEXT(pizza_sales[[#This Row],[order_date]],"dddd")</f>
        <v>Friday</v>
      </c>
      <c r="H1108" s="2">
        <v>0.51362268518518517</v>
      </c>
      <c r="I1108">
        <v>16</v>
      </c>
      <c r="J1108">
        <v>16</v>
      </c>
      <c r="K1108" t="s">
        <v>59</v>
      </c>
      <c r="L1108" t="s">
        <v>13</v>
      </c>
      <c r="M1108" t="s">
        <v>32</v>
      </c>
      <c r="N1108" t="s">
        <v>33</v>
      </c>
    </row>
    <row r="1109" spans="1:14" x14ac:dyDescent="0.25">
      <c r="A1109">
        <v>8439</v>
      </c>
      <c r="B1109">
        <v>3699</v>
      </c>
      <c r="C1109">
        <f>1/COUNTIF(B:B,pizza_sales[[#This Row],[order_id]])</f>
        <v>1</v>
      </c>
      <c r="D1109" t="s">
        <v>28</v>
      </c>
      <c r="E1109">
        <v>1</v>
      </c>
      <c r="F1109" s="1">
        <v>42097</v>
      </c>
      <c r="G1109" s="1" t="str">
        <f>TEXT(pizza_sales[[#This Row],[order_date]],"dddd")</f>
        <v>Friday</v>
      </c>
      <c r="H1109" s="2">
        <v>0.52076388888888892</v>
      </c>
      <c r="I1109">
        <v>12</v>
      </c>
      <c r="J1109">
        <v>12</v>
      </c>
      <c r="K1109" t="s">
        <v>60</v>
      </c>
      <c r="L1109" t="s">
        <v>13</v>
      </c>
      <c r="M1109" t="s">
        <v>29</v>
      </c>
      <c r="N1109" t="s">
        <v>30</v>
      </c>
    </row>
    <row r="1110" spans="1:14" x14ac:dyDescent="0.25">
      <c r="A1110">
        <v>8442</v>
      </c>
      <c r="B1110">
        <v>3700</v>
      </c>
      <c r="C1110">
        <f>1/COUNTIF(B:B,pizza_sales[[#This Row],[order_id]])</f>
        <v>0.5</v>
      </c>
      <c r="D1110" t="s">
        <v>34</v>
      </c>
      <c r="E1110">
        <v>1</v>
      </c>
      <c r="F1110" s="1">
        <v>42097</v>
      </c>
      <c r="G1110" s="1" t="str">
        <f>TEXT(pizza_sales[[#This Row],[order_date]],"dddd")</f>
        <v>Friday</v>
      </c>
      <c r="H1110" s="2">
        <v>0.52244212962962966</v>
      </c>
      <c r="I1110">
        <v>16.25</v>
      </c>
      <c r="J1110">
        <v>16.25</v>
      </c>
      <c r="K1110" t="s">
        <v>59</v>
      </c>
      <c r="L1110" t="s">
        <v>35</v>
      </c>
      <c r="M1110" t="s">
        <v>36</v>
      </c>
      <c r="N1110" t="s">
        <v>37</v>
      </c>
    </row>
    <row r="1111" spans="1:14" x14ac:dyDescent="0.25">
      <c r="A1111">
        <v>8443</v>
      </c>
      <c r="B1111">
        <v>3700</v>
      </c>
      <c r="C1111">
        <f>1/COUNTIF(B:B,pizza_sales[[#This Row],[order_id]])</f>
        <v>0.5</v>
      </c>
      <c r="D1111" t="s">
        <v>42</v>
      </c>
      <c r="E1111">
        <v>1</v>
      </c>
      <c r="F1111" s="1">
        <v>42097</v>
      </c>
      <c r="G1111" s="1" t="str">
        <f>TEXT(pizza_sales[[#This Row],[order_date]],"dddd")</f>
        <v>Friday</v>
      </c>
      <c r="H1111" s="2">
        <v>0.52244212962962966</v>
      </c>
      <c r="I1111">
        <v>12.5</v>
      </c>
      <c r="J1111">
        <v>12.5</v>
      </c>
      <c r="K1111" t="s">
        <v>59</v>
      </c>
      <c r="L1111" t="s">
        <v>13</v>
      </c>
      <c r="M1111" t="s">
        <v>26</v>
      </c>
      <c r="N1111" t="s">
        <v>27</v>
      </c>
    </row>
    <row r="1112" spans="1:14" x14ac:dyDescent="0.25">
      <c r="A1112">
        <v>8452</v>
      </c>
      <c r="B1112">
        <v>3702</v>
      </c>
      <c r="C1112">
        <f>1/COUNTIF(B:B,pizza_sales[[#This Row],[order_id]])</f>
        <v>1</v>
      </c>
      <c r="D1112" t="s">
        <v>49</v>
      </c>
      <c r="E1112">
        <v>1</v>
      </c>
      <c r="F1112" s="1">
        <v>42097</v>
      </c>
      <c r="G1112" s="1" t="str">
        <f>TEXT(pizza_sales[[#This Row],[order_date]],"dddd")</f>
        <v>Friday</v>
      </c>
      <c r="H1112" s="2">
        <v>0.53714120370370366</v>
      </c>
      <c r="I1112">
        <v>16</v>
      </c>
      <c r="J1112">
        <v>16</v>
      </c>
      <c r="K1112" t="s">
        <v>59</v>
      </c>
      <c r="L1112" t="s">
        <v>13</v>
      </c>
      <c r="M1112" t="s">
        <v>21</v>
      </c>
      <c r="N1112" t="s">
        <v>22</v>
      </c>
    </row>
    <row r="1113" spans="1:14" x14ac:dyDescent="0.25">
      <c r="A1113">
        <v>8454</v>
      </c>
      <c r="B1113">
        <v>3703</v>
      </c>
      <c r="C1113">
        <f>1/COUNTIF(B:B,pizza_sales[[#This Row],[order_id]])</f>
        <v>0.5</v>
      </c>
      <c r="D1113" t="s">
        <v>51</v>
      </c>
      <c r="E1113">
        <v>1</v>
      </c>
      <c r="F1113" s="1">
        <v>42097</v>
      </c>
      <c r="G1113" s="1" t="str">
        <f>TEXT(pizza_sales[[#This Row],[order_date]],"dddd")</f>
        <v>Friday</v>
      </c>
      <c r="H1113" s="2">
        <v>0.54156249999999995</v>
      </c>
      <c r="I1113">
        <v>23.65</v>
      </c>
      <c r="J1113">
        <v>23.65</v>
      </c>
      <c r="K1113" t="s">
        <v>60</v>
      </c>
      <c r="L1113" t="s">
        <v>35</v>
      </c>
      <c r="M1113" t="s">
        <v>52</v>
      </c>
      <c r="N1113" t="s">
        <v>53</v>
      </c>
    </row>
    <row r="1114" spans="1:14" x14ac:dyDescent="0.25">
      <c r="A1114">
        <v>8455</v>
      </c>
      <c r="B1114">
        <v>3703</v>
      </c>
      <c r="C1114">
        <f>1/COUNTIF(B:B,pizza_sales[[#This Row],[order_id]])</f>
        <v>0.5</v>
      </c>
      <c r="D1114" t="s">
        <v>34</v>
      </c>
      <c r="E1114">
        <v>1</v>
      </c>
      <c r="F1114" s="1">
        <v>42097</v>
      </c>
      <c r="G1114" s="1" t="str">
        <f>TEXT(pizza_sales[[#This Row],[order_date]],"dddd")</f>
        <v>Friday</v>
      </c>
      <c r="H1114" s="2">
        <v>0.54156249999999995</v>
      </c>
      <c r="I1114">
        <v>16.25</v>
      </c>
      <c r="J1114">
        <v>16.25</v>
      </c>
      <c r="K1114" t="s">
        <v>59</v>
      </c>
      <c r="L1114" t="s">
        <v>35</v>
      </c>
      <c r="M1114" t="s">
        <v>36</v>
      </c>
      <c r="N1114" t="s">
        <v>37</v>
      </c>
    </row>
    <row r="1115" spans="1:14" x14ac:dyDescent="0.25">
      <c r="A1115">
        <v>8456</v>
      </c>
      <c r="B1115">
        <v>3704</v>
      </c>
      <c r="C1115">
        <f>1/COUNTIF(B:B,pizza_sales[[#This Row],[order_id]])</f>
        <v>1</v>
      </c>
      <c r="D1115" t="s">
        <v>45</v>
      </c>
      <c r="E1115">
        <v>1</v>
      </c>
      <c r="F1115" s="1">
        <v>42097</v>
      </c>
      <c r="G1115" s="1" t="str">
        <f>TEXT(pizza_sales[[#This Row],[order_date]],"dddd")</f>
        <v>Friday</v>
      </c>
      <c r="H1115" s="2">
        <v>0.5461111111111111</v>
      </c>
      <c r="I1115">
        <v>10.5</v>
      </c>
      <c r="J1115">
        <v>10.5</v>
      </c>
      <c r="K1115" t="s">
        <v>60</v>
      </c>
      <c r="L1115" t="s">
        <v>13</v>
      </c>
      <c r="M1115" t="s">
        <v>14</v>
      </c>
      <c r="N1115" t="s">
        <v>15</v>
      </c>
    </row>
    <row r="1116" spans="1:14" x14ac:dyDescent="0.25">
      <c r="A1116">
        <v>8460</v>
      </c>
      <c r="B1116">
        <v>3705</v>
      </c>
      <c r="C1116">
        <f>1/COUNTIF(B:B,pizza_sales[[#This Row],[order_id]])</f>
        <v>1</v>
      </c>
      <c r="D1116" t="s">
        <v>16</v>
      </c>
      <c r="E1116">
        <v>1</v>
      </c>
      <c r="F1116" s="1">
        <v>42097</v>
      </c>
      <c r="G1116" s="1" t="str">
        <f>TEXT(pizza_sales[[#This Row],[order_date]],"dddd")</f>
        <v>Friday</v>
      </c>
      <c r="H1116" s="2">
        <v>0.55256944444444445</v>
      </c>
      <c r="I1116">
        <v>16</v>
      </c>
      <c r="J1116">
        <v>16</v>
      </c>
      <c r="K1116" t="s">
        <v>59</v>
      </c>
      <c r="L1116" t="s">
        <v>17</v>
      </c>
      <c r="M1116" t="s">
        <v>18</v>
      </c>
      <c r="N1116" t="s">
        <v>19</v>
      </c>
    </row>
    <row r="1117" spans="1:14" x14ac:dyDescent="0.25">
      <c r="A1117">
        <v>8462</v>
      </c>
      <c r="B1117">
        <v>3706</v>
      </c>
      <c r="C1117">
        <f>1/COUNTIF(B:B,pizza_sales[[#This Row],[order_id]])</f>
        <v>1</v>
      </c>
      <c r="D1117" t="s">
        <v>38</v>
      </c>
      <c r="E1117">
        <v>1</v>
      </c>
      <c r="F1117" s="1">
        <v>42097</v>
      </c>
      <c r="G1117" s="1" t="str">
        <f>TEXT(pizza_sales[[#This Row],[order_date]],"dddd")</f>
        <v>Friday</v>
      </c>
      <c r="H1117" s="2">
        <v>0.55383101851851857</v>
      </c>
      <c r="I1117">
        <v>20.5</v>
      </c>
      <c r="J1117">
        <v>20.5</v>
      </c>
      <c r="K1117" t="s">
        <v>58</v>
      </c>
      <c r="L1117" t="s">
        <v>13</v>
      </c>
      <c r="M1117" t="s">
        <v>32</v>
      </c>
      <c r="N1117" t="s">
        <v>33</v>
      </c>
    </row>
    <row r="1118" spans="1:14" x14ac:dyDescent="0.25">
      <c r="A1118">
        <v>8463</v>
      </c>
      <c r="B1118">
        <v>3707</v>
      </c>
      <c r="C1118">
        <f>1/COUNTIF(B:B,pizza_sales[[#This Row],[order_id]])</f>
        <v>1</v>
      </c>
      <c r="D1118" t="s">
        <v>47</v>
      </c>
      <c r="E1118">
        <v>1</v>
      </c>
      <c r="F1118" s="1">
        <v>42097</v>
      </c>
      <c r="G1118" s="1" t="str">
        <f>TEXT(pizza_sales[[#This Row],[order_date]],"dddd")</f>
        <v>Friday</v>
      </c>
      <c r="H1118" s="2">
        <v>0.55579861111111106</v>
      </c>
      <c r="I1118">
        <v>16.5</v>
      </c>
      <c r="J1118">
        <v>16.5</v>
      </c>
      <c r="K1118" t="s">
        <v>58</v>
      </c>
      <c r="L1118" t="s">
        <v>13</v>
      </c>
      <c r="M1118" t="s">
        <v>14</v>
      </c>
      <c r="N1118" t="s">
        <v>15</v>
      </c>
    </row>
    <row r="1119" spans="1:14" x14ac:dyDescent="0.25">
      <c r="A1119">
        <v>8465</v>
      </c>
      <c r="B1119">
        <v>3709</v>
      </c>
      <c r="C1119">
        <f>1/COUNTIF(B:B,pizza_sales[[#This Row],[order_id]])</f>
        <v>1</v>
      </c>
      <c r="D1119" t="s">
        <v>39</v>
      </c>
      <c r="E1119">
        <v>2</v>
      </c>
      <c r="F1119" s="1">
        <v>42097</v>
      </c>
      <c r="G1119" s="1" t="str">
        <f>TEXT(pizza_sales[[#This Row],[order_date]],"dddd")</f>
        <v>Friday</v>
      </c>
      <c r="H1119" s="2">
        <v>0.56030092592592595</v>
      </c>
      <c r="I1119">
        <v>20.25</v>
      </c>
      <c r="J1119">
        <v>40.5</v>
      </c>
      <c r="K1119" t="s">
        <v>58</v>
      </c>
      <c r="L1119" t="s">
        <v>35</v>
      </c>
      <c r="M1119" t="s">
        <v>40</v>
      </c>
      <c r="N1119" t="s">
        <v>41</v>
      </c>
    </row>
    <row r="1120" spans="1:14" x14ac:dyDescent="0.25">
      <c r="A1120">
        <v>8474</v>
      </c>
      <c r="B1120">
        <v>3710</v>
      </c>
      <c r="C1120">
        <f>1/COUNTIF(B:B,pizza_sales[[#This Row],[order_id]])</f>
        <v>1</v>
      </c>
      <c r="D1120" t="s">
        <v>39</v>
      </c>
      <c r="E1120">
        <v>1</v>
      </c>
      <c r="F1120" s="1">
        <v>42097</v>
      </c>
      <c r="G1120" s="1" t="str">
        <f>TEXT(pizza_sales[[#This Row],[order_date]],"dddd")</f>
        <v>Friday</v>
      </c>
      <c r="H1120" s="2">
        <v>0.57546296296296295</v>
      </c>
      <c r="I1120">
        <v>20.25</v>
      </c>
      <c r="J1120">
        <v>20.25</v>
      </c>
      <c r="K1120" t="s">
        <v>58</v>
      </c>
      <c r="L1120" t="s">
        <v>35</v>
      </c>
      <c r="M1120" t="s">
        <v>40</v>
      </c>
      <c r="N1120" t="s">
        <v>41</v>
      </c>
    </row>
    <row r="1121" spans="1:14" x14ac:dyDescent="0.25">
      <c r="A1121">
        <v>8481</v>
      </c>
      <c r="B1121">
        <v>3713</v>
      </c>
      <c r="C1121">
        <f>1/COUNTIF(B:B,pizza_sales[[#This Row],[order_id]])</f>
        <v>0.5</v>
      </c>
      <c r="D1121" t="s">
        <v>45</v>
      </c>
      <c r="E1121">
        <v>1</v>
      </c>
      <c r="F1121" s="1">
        <v>42097</v>
      </c>
      <c r="G1121" s="1" t="str">
        <f>TEXT(pizza_sales[[#This Row],[order_date]],"dddd")</f>
        <v>Friday</v>
      </c>
      <c r="H1121" s="2">
        <v>0.61481481481481481</v>
      </c>
      <c r="I1121">
        <v>10.5</v>
      </c>
      <c r="J1121">
        <v>10.5</v>
      </c>
      <c r="K1121" t="s">
        <v>60</v>
      </c>
      <c r="L1121" t="s">
        <v>13</v>
      </c>
      <c r="M1121" t="s">
        <v>14</v>
      </c>
      <c r="N1121" t="s">
        <v>15</v>
      </c>
    </row>
    <row r="1122" spans="1:14" x14ac:dyDescent="0.25">
      <c r="A1122">
        <v>8482</v>
      </c>
      <c r="B1122">
        <v>3713</v>
      </c>
      <c r="C1122">
        <f>1/COUNTIF(B:B,pizza_sales[[#This Row],[order_id]])</f>
        <v>0.5</v>
      </c>
      <c r="D1122" t="s">
        <v>16</v>
      </c>
      <c r="E1122">
        <v>1</v>
      </c>
      <c r="F1122" s="1">
        <v>42097</v>
      </c>
      <c r="G1122" s="1" t="str">
        <f>TEXT(pizza_sales[[#This Row],[order_date]],"dddd")</f>
        <v>Friday</v>
      </c>
      <c r="H1122" s="2">
        <v>0.61481481481481481</v>
      </c>
      <c r="I1122">
        <v>16</v>
      </c>
      <c r="J1122">
        <v>16</v>
      </c>
      <c r="K1122" t="s">
        <v>59</v>
      </c>
      <c r="L1122" t="s">
        <v>17</v>
      </c>
      <c r="M1122" t="s">
        <v>18</v>
      </c>
      <c r="N1122" t="s">
        <v>19</v>
      </c>
    </row>
    <row r="1123" spans="1:14" x14ac:dyDescent="0.25">
      <c r="A1123">
        <v>8483</v>
      </c>
      <c r="B1123">
        <v>3714</v>
      </c>
      <c r="C1123">
        <f>1/COUNTIF(B:B,pizza_sales[[#This Row],[order_id]])</f>
        <v>1</v>
      </c>
      <c r="D1123" t="s">
        <v>47</v>
      </c>
      <c r="E1123">
        <v>1</v>
      </c>
      <c r="F1123" s="1">
        <v>42097</v>
      </c>
      <c r="G1123" s="1" t="str">
        <f>TEXT(pizza_sales[[#This Row],[order_date]],"dddd")</f>
        <v>Friday</v>
      </c>
      <c r="H1123" s="2">
        <v>0.61652777777777779</v>
      </c>
      <c r="I1123">
        <v>16.5</v>
      </c>
      <c r="J1123">
        <v>16.5</v>
      </c>
      <c r="K1123" t="s">
        <v>58</v>
      </c>
      <c r="L1123" t="s">
        <v>13</v>
      </c>
      <c r="M1123" t="s">
        <v>14</v>
      </c>
      <c r="N1123" t="s">
        <v>15</v>
      </c>
    </row>
    <row r="1124" spans="1:14" x14ac:dyDescent="0.25">
      <c r="A1124">
        <v>8487</v>
      </c>
      <c r="B1124">
        <v>3716</v>
      </c>
      <c r="C1124">
        <f>1/COUNTIF(B:B,pizza_sales[[#This Row],[order_id]])</f>
        <v>0.5</v>
      </c>
      <c r="D1124" t="s">
        <v>45</v>
      </c>
      <c r="E1124">
        <v>1</v>
      </c>
      <c r="F1124" s="1">
        <v>42097</v>
      </c>
      <c r="G1124" s="1" t="str">
        <f>TEXT(pizza_sales[[#This Row],[order_date]],"dddd")</f>
        <v>Friday</v>
      </c>
      <c r="H1124" s="2">
        <v>0.62358796296296293</v>
      </c>
      <c r="I1124">
        <v>10.5</v>
      </c>
      <c r="J1124">
        <v>10.5</v>
      </c>
      <c r="K1124" t="s">
        <v>60</v>
      </c>
      <c r="L1124" t="s">
        <v>13</v>
      </c>
      <c r="M1124" t="s">
        <v>14</v>
      </c>
      <c r="N1124" t="s">
        <v>15</v>
      </c>
    </row>
    <row r="1125" spans="1:14" x14ac:dyDescent="0.25">
      <c r="A1125">
        <v>8488</v>
      </c>
      <c r="B1125">
        <v>3716</v>
      </c>
      <c r="C1125">
        <f>1/COUNTIF(B:B,pizza_sales[[#This Row],[order_id]])</f>
        <v>0.5</v>
      </c>
      <c r="D1125" t="s">
        <v>31</v>
      </c>
      <c r="E1125">
        <v>1</v>
      </c>
      <c r="F1125" s="1">
        <v>42097</v>
      </c>
      <c r="G1125" s="1" t="str">
        <f>TEXT(pizza_sales[[#This Row],[order_date]],"dddd")</f>
        <v>Friday</v>
      </c>
      <c r="H1125" s="2">
        <v>0.62358796296296293</v>
      </c>
      <c r="I1125">
        <v>12</v>
      </c>
      <c r="J1125">
        <v>12</v>
      </c>
      <c r="K1125" t="s">
        <v>60</v>
      </c>
      <c r="L1125" t="s">
        <v>13</v>
      </c>
      <c r="M1125" t="s">
        <v>32</v>
      </c>
      <c r="N1125" t="s">
        <v>33</v>
      </c>
    </row>
    <row r="1126" spans="1:14" x14ac:dyDescent="0.25">
      <c r="A1126">
        <v>8495</v>
      </c>
      <c r="B1126">
        <v>3722</v>
      </c>
      <c r="C1126">
        <f>1/COUNTIF(B:B,pizza_sales[[#This Row],[order_id]])</f>
        <v>1</v>
      </c>
      <c r="D1126" t="s">
        <v>34</v>
      </c>
      <c r="E1126">
        <v>1</v>
      </c>
      <c r="F1126" s="1">
        <v>42097</v>
      </c>
      <c r="G1126" s="1" t="str">
        <f>TEXT(pizza_sales[[#This Row],[order_date]],"dddd")</f>
        <v>Friday</v>
      </c>
      <c r="H1126" s="2">
        <v>0.68178240740740736</v>
      </c>
      <c r="I1126">
        <v>16.25</v>
      </c>
      <c r="J1126">
        <v>16.25</v>
      </c>
      <c r="K1126" t="s">
        <v>59</v>
      </c>
      <c r="L1126" t="s">
        <v>35</v>
      </c>
      <c r="M1126" t="s">
        <v>36</v>
      </c>
      <c r="N1126" t="s">
        <v>37</v>
      </c>
    </row>
    <row r="1127" spans="1:14" x14ac:dyDescent="0.25">
      <c r="A1127">
        <v>8500</v>
      </c>
      <c r="B1127">
        <v>3724</v>
      </c>
      <c r="C1127">
        <f>1/COUNTIF(B:B,pizza_sales[[#This Row],[order_id]])</f>
        <v>1</v>
      </c>
      <c r="D1127" t="s">
        <v>25</v>
      </c>
      <c r="E1127">
        <v>1</v>
      </c>
      <c r="F1127" s="1">
        <v>42097</v>
      </c>
      <c r="G1127" s="1" t="str">
        <f>TEXT(pizza_sales[[#This Row],[order_date]],"dddd")</f>
        <v>Friday</v>
      </c>
      <c r="H1127" s="2">
        <v>0.69311342592592595</v>
      </c>
      <c r="I1127">
        <v>15.25</v>
      </c>
      <c r="J1127">
        <v>15.25</v>
      </c>
      <c r="K1127" t="s">
        <v>58</v>
      </c>
      <c r="L1127" t="s">
        <v>13</v>
      </c>
      <c r="M1127" t="s">
        <v>26</v>
      </c>
      <c r="N1127" t="s">
        <v>27</v>
      </c>
    </row>
    <row r="1128" spans="1:14" x14ac:dyDescent="0.25">
      <c r="A1128">
        <v>8503</v>
      </c>
      <c r="B1128">
        <v>3725</v>
      </c>
      <c r="C1128">
        <f>1/COUNTIF(B:B,pizza_sales[[#This Row],[order_id]])</f>
        <v>0.5</v>
      </c>
      <c r="D1128" t="s">
        <v>50</v>
      </c>
      <c r="E1128">
        <v>1</v>
      </c>
      <c r="F1128" s="1">
        <v>42097</v>
      </c>
      <c r="G1128" s="1" t="str">
        <f>TEXT(pizza_sales[[#This Row],[order_date]],"dddd")</f>
        <v>Friday</v>
      </c>
      <c r="H1128" s="2">
        <v>0.70574074074074078</v>
      </c>
      <c r="I1128">
        <v>16</v>
      </c>
      <c r="J1128">
        <v>16</v>
      </c>
      <c r="K1128" t="s">
        <v>59</v>
      </c>
      <c r="L1128" t="s">
        <v>13</v>
      </c>
      <c r="M1128" t="s">
        <v>32</v>
      </c>
      <c r="N1128" t="s">
        <v>33</v>
      </c>
    </row>
    <row r="1129" spans="1:14" x14ac:dyDescent="0.25">
      <c r="A1129">
        <v>8504</v>
      </c>
      <c r="B1129">
        <v>3725</v>
      </c>
      <c r="C1129">
        <f>1/COUNTIF(B:B,pizza_sales[[#This Row],[order_id]])</f>
        <v>0.5</v>
      </c>
      <c r="D1129" t="s">
        <v>46</v>
      </c>
      <c r="E1129">
        <v>1</v>
      </c>
      <c r="F1129" s="1">
        <v>42097</v>
      </c>
      <c r="G1129" s="1" t="str">
        <f>TEXT(pizza_sales[[#This Row],[order_date]],"dddd")</f>
        <v>Friday</v>
      </c>
      <c r="H1129" s="2">
        <v>0.70574074074074078</v>
      </c>
      <c r="I1129">
        <v>25.5</v>
      </c>
      <c r="J1129">
        <v>25.5</v>
      </c>
      <c r="K1129" t="s">
        <v>61</v>
      </c>
      <c r="L1129" t="s">
        <v>13</v>
      </c>
      <c r="M1129" t="s">
        <v>21</v>
      </c>
      <c r="N1129" t="s">
        <v>22</v>
      </c>
    </row>
    <row r="1130" spans="1:14" x14ac:dyDescent="0.25">
      <c r="A1130">
        <v>8505</v>
      </c>
      <c r="B1130">
        <v>3726</v>
      </c>
      <c r="C1130">
        <f>1/COUNTIF(B:B,pizza_sales[[#This Row],[order_id]])</f>
        <v>1</v>
      </c>
      <c r="D1130" t="s">
        <v>28</v>
      </c>
      <c r="E1130">
        <v>1</v>
      </c>
      <c r="F1130" s="1">
        <v>42097</v>
      </c>
      <c r="G1130" s="1" t="str">
        <f>TEXT(pizza_sales[[#This Row],[order_date]],"dddd")</f>
        <v>Friday</v>
      </c>
      <c r="H1130" s="2">
        <v>0.71655092592592595</v>
      </c>
      <c r="I1130">
        <v>12</v>
      </c>
      <c r="J1130">
        <v>12</v>
      </c>
      <c r="K1130" t="s">
        <v>60</v>
      </c>
      <c r="L1130" t="s">
        <v>13</v>
      </c>
      <c r="M1130" t="s">
        <v>29</v>
      </c>
      <c r="N1130" t="s">
        <v>30</v>
      </c>
    </row>
    <row r="1131" spans="1:14" x14ac:dyDescent="0.25">
      <c r="A1131">
        <v>8509</v>
      </c>
      <c r="B1131">
        <v>3728</v>
      </c>
      <c r="C1131">
        <f>1/COUNTIF(B:B,pizza_sales[[#This Row],[order_id]])</f>
        <v>1</v>
      </c>
      <c r="D1131" t="s">
        <v>50</v>
      </c>
      <c r="E1131">
        <v>1</v>
      </c>
      <c r="F1131" s="1">
        <v>42097</v>
      </c>
      <c r="G1131" s="1" t="str">
        <f>TEXT(pizza_sales[[#This Row],[order_date]],"dddd")</f>
        <v>Friday</v>
      </c>
      <c r="H1131" s="2">
        <v>0.72960648148148144</v>
      </c>
      <c r="I1131">
        <v>16</v>
      </c>
      <c r="J1131">
        <v>16</v>
      </c>
      <c r="K1131" t="s">
        <v>59</v>
      </c>
      <c r="L1131" t="s">
        <v>13</v>
      </c>
      <c r="M1131" t="s">
        <v>32</v>
      </c>
      <c r="N1131" t="s">
        <v>33</v>
      </c>
    </row>
    <row r="1132" spans="1:14" x14ac:dyDescent="0.25">
      <c r="A1132">
        <v>8516</v>
      </c>
      <c r="B1132">
        <v>3729</v>
      </c>
      <c r="C1132">
        <f>1/COUNTIF(B:B,pizza_sales[[#This Row],[order_id]])</f>
        <v>1</v>
      </c>
      <c r="D1132" t="s">
        <v>31</v>
      </c>
      <c r="E1132">
        <v>1</v>
      </c>
      <c r="F1132" s="1">
        <v>42097</v>
      </c>
      <c r="G1132" s="1" t="str">
        <f>TEXT(pizza_sales[[#This Row],[order_date]],"dddd")</f>
        <v>Friday</v>
      </c>
      <c r="H1132" s="2">
        <v>0.74454861111111115</v>
      </c>
      <c r="I1132">
        <v>12</v>
      </c>
      <c r="J1132">
        <v>12</v>
      </c>
      <c r="K1132" t="s">
        <v>60</v>
      </c>
      <c r="L1132" t="s">
        <v>13</v>
      </c>
      <c r="M1132" t="s">
        <v>32</v>
      </c>
      <c r="N1132" t="s">
        <v>33</v>
      </c>
    </row>
    <row r="1133" spans="1:14" x14ac:dyDescent="0.25">
      <c r="A1133">
        <v>8525</v>
      </c>
      <c r="B1133">
        <v>3733</v>
      </c>
      <c r="C1133">
        <f>1/COUNTIF(B:B,pizza_sales[[#This Row],[order_id]])</f>
        <v>1</v>
      </c>
      <c r="D1133" t="s">
        <v>38</v>
      </c>
      <c r="E1133">
        <v>1</v>
      </c>
      <c r="F1133" s="1">
        <v>42097</v>
      </c>
      <c r="G1133" s="1" t="str">
        <f>TEXT(pizza_sales[[#This Row],[order_date]],"dddd")</f>
        <v>Friday</v>
      </c>
      <c r="H1133" s="2">
        <v>0.7638773148148148</v>
      </c>
      <c r="I1133">
        <v>20.5</v>
      </c>
      <c r="J1133">
        <v>20.5</v>
      </c>
      <c r="K1133" t="s">
        <v>58</v>
      </c>
      <c r="L1133" t="s">
        <v>13</v>
      </c>
      <c r="M1133" t="s">
        <v>32</v>
      </c>
      <c r="N1133" t="s">
        <v>33</v>
      </c>
    </row>
    <row r="1134" spans="1:14" x14ac:dyDescent="0.25">
      <c r="A1134">
        <v>8527</v>
      </c>
      <c r="B1134">
        <v>3734</v>
      </c>
      <c r="C1134">
        <f>1/COUNTIF(B:B,pizza_sales[[#This Row],[order_id]])</f>
        <v>0.5</v>
      </c>
      <c r="D1134" t="s">
        <v>28</v>
      </c>
      <c r="E1134">
        <v>1</v>
      </c>
      <c r="F1134" s="1">
        <v>42097</v>
      </c>
      <c r="G1134" s="1" t="str">
        <f>TEXT(pizza_sales[[#This Row],[order_date]],"dddd")</f>
        <v>Friday</v>
      </c>
      <c r="H1134" s="2">
        <v>0.76626157407407403</v>
      </c>
      <c r="I1134">
        <v>12</v>
      </c>
      <c r="J1134">
        <v>12</v>
      </c>
      <c r="K1134" t="s">
        <v>60</v>
      </c>
      <c r="L1134" t="s">
        <v>13</v>
      </c>
      <c r="M1134" t="s">
        <v>29</v>
      </c>
      <c r="N1134" t="s">
        <v>30</v>
      </c>
    </row>
    <row r="1135" spans="1:14" x14ac:dyDescent="0.25">
      <c r="A1135">
        <v>8529</v>
      </c>
      <c r="B1135">
        <v>3734</v>
      </c>
      <c r="C1135">
        <f>1/COUNTIF(B:B,pizza_sales[[#This Row],[order_id]])</f>
        <v>0.5</v>
      </c>
      <c r="D1135" t="s">
        <v>44</v>
      </c>
      <c r="E1135">
        <v>1</v>
      </c>
      <c r="F1135" s="1">
        <v>42097</v>
      </c>
      <c r="G1135" s="1" t="str">
        <f>TEXT(pizza_sales[[#This Row],[order_date]],"dddd")</f>
        <v>Friday</v>
      </c>
      <c r="H1135" s="2">
        <v>0.76626157407407403</v>
      </c>
      <c r="I1135">
        <v>9.75</v>
      </c>
      <c r="J1135">
        <v>9.75</v>
      </c>
      <c r="K1135" t="s">
        <v>60</v>
      </c>
      <c r="L1135" t="s">
        <v>13</v>
      </c>
      <c r="M1135" t="s">
        <v>26</v>
      </c>
      <c r="N1135" t="s">
        <v>27</v>
      </c>
    </row>
    <row r="1136" spans="1:14" x14ac:dyDescent="0.25">
      <c r="A1136">
        <v>8534</v>
      </c>
      <c r="B1136">
        <v>3736</v>
      </c>
      <c r="C1136">
        <f>1/COUNTIF(B:B,pizza_sales[[#This Row],[order_id]])</f>
        <v>0.5</v>
      </c>
      <c r="D1136" t="s">
        <v>28</v>
      </c>
      <c r="E1136">
        <v>1</v>
      </c>
      <c r="F1136" s="1">
        <v>42097</v>
      </c>
      <c r="G1136" s="1" t="str">
        <f>TEXT(pizza_sales[[#This Row],[order_date]],"dddd")</f>
        <v>Friday</v>
      </c>
      <c r="H1136" s="2">
        <v>0.76880787037037035</v>
      </c>
      <c r="I1136">
        <v>12</v>
      </c>
      <c r="J1136">
        <v>12</v>
      </c>
      <c r="K1136" t="s">
        <v>60</v>
      </c>
      <c r="L1136" t="s">
        <v>13</v>
      </c>
      <c r="M1136" t="s">
        <v>29</v>
      </c>
      <c r="N1136" t="s">
        <v>30</v>
      </c>
    </row>
    <row r="1137" spans="1:14" x14ac:dyDescent="0.25">
      <c r="A1137">
        <v>8536</v>
      </c>
      <c r="B1137">
        <v>3736</v>
      </c>
      <c r="C1137">
        <f>1/COUNTIF(B:B,pizza_sales[[#This Row],[order_id]])</f>
        <v>0.5</v>
      </c>
      <c r="D1137" t="s">
        <v>24</v>
      </c>
      <c r="E1137">
        <v>1</v>
      </c>
      <c r="F1137" s="1">
        <v>42097</v>
      </c>
      <c r="G1137" s="1" t="str">
        <f>TEXT(pizza_sales[[#This Row],[order_date]],"dddd")</f>
        <v>Friday</v>
      </c>
      <c r="H1137" s="2">
        <v>0.76880787037037035</v>
      </c>
      <c r="I1137">
        <v>20.25</v>
      </c>
      <c r="J1137">
        <v>20.25</v>
      </c>
      <c r="K1137" t="s">
        <v>58</v>
      </c>
      <c r="L1137" t="s">
        <v>17</v>
      </c>
      <c r="M1137" t="s">
        <v>18</v>
      </c>
      <c r="N1137" t="s">
        <v>19</v>
      </c>
    </row>
    <row r="1138" spans="1:14" x14ac:dyDescent="0.25">
      <c r="A1138">
        <v>8543</v>
      </c>
      <c r="B1138">
        <v>3740</v>
      </c>
      <c r="C1138">
        <f>1/COUNTIF(B:B,pizza_sales[[#This Row],[order_id]])</f>
        <v>1</v>
      </c>
      <c r="D1138" t="s">
        <v>48</v>
      </c>
      <c r="E1138">
        <v>1</v>
      </c>
      <c r="F1138" s="1">
        <v>42097</v>
      </c>
      <c r="G1138" s="1" t="str">
        <f>TEXT(pizza_sales[[#This Row],[order_date]],"dddd")</f>
        <v>Friday</v>
      </c>
      <c r="H1138" s="2">
        <v>0.80374999999999996</v>
      </c>
      <c r="I1138">
        <v>12.25</v>
      </c>
      <c r="J1138">
        <v>12.25</v>
      </c>
      <c r="K1138" t="s">
        <v>60</v>
      </c>
      <c r="L1138" t="s">
        <v>35</v>
      </c>
      <c r="M1138" t="s">
        <v>40</v>
      </c>
      <c r="N1138" t="s">
        <v>41</v>
      </c>
    </row>
    <row r="1139" spans="1:14" x14ac:dyDescent="0.25">
      <c r="A1139">
        <v>8548</v>
      </c>
      <c r="B1139">
        <v>3744</v>
      </c>
      <c r="C1139">
        <f>1/COUNTIF(B:B,pizza_sales[[#This Row],[order_id]])</f>
        <v>1</v>
      </c>
      <c r="D1139" t="s">
        <v>28</v>
      </c>
      <c r="E1139">
        <v>1</v>
      </c>
      <c r="F1139" s="1">
        <v>42097</v>
      </c>
      <c r="G1139" s="1" t="str">
        <f>TEXT(pizza_sales[[#This Row],[order_date]],"dddd")</f>
        <v>Friday</v>
      </c>
      <c r="H1139" s="2">
        <v>0.84336805555555561</v>
      </c>
      <c r="I1139">
        <v>12</v>
      </c>
      <c r="J1139">
        <v>12</v>
      </c>
      <c r="K1139" t="s">
        <v>60</v>
      </c>
      <c r="L1139" t="s">
        <v>13</v>
      </c>
      <c r="M1139" t="s">
        <v>29</v>
      </c>
      <c r="N1139" t="s">
        <v>30</v>
      </c>
    </row>
    <row r="1140" spans="1:14" x14ac:dyDescent="0.25">
      <c r="A1140">
        <v>8552</v>
      </c>
      <c r="B1140">
        <v>3746</v>
      </c>
      <c r="C1140">
        <f>1/COUNTIF(B:B,pizza_sales[[#This Row],[order_id]])</f>
        <v>1</v>
      </c>
      <c r="D1140" t="s">
        <v>31</v>
      </c>
      <c r="E1140">
        <v>1</v>
      </c>
      <c r="F1140" s="1">
        <v>42097</v>
      </c>
      <c r="G1140" s="1" t="str">
        <f>TEXT(pizza_sales[[#This Row],[order_date]],"dddd")</f>
        <v>Friday</v>
      </c>
      <c r="H1140" s="2">
        <v>0.86519675925925921</v>
      </c>
      <c r="I1140">
        <v>12</v>
      </c>
      <c r="J1140">
        <v>12</v>
      </c>
      <c r="K1140" t="s">
        <v>60</v>
      </c>
      <c r="L1140" t="s">
        <v>13</v>
      </c>
      <c r="M1140" t="s">
        <v>32</v>
      </c>
      <c r="N1140" t="s">
        <v>33</v>
      </c>
    </row>
    <row r="1141" spans="1:14" x14ac:dyDescent="0.25">
      <c r="A1141">
        <v>8560</v>
      </c>
      <c r="B1141">
        <v>3749</v>
      </c>
      <c r="C1141">
        <f>1/COUNTIF(B:B,pizza_sales[[#This Row],[order_id]])</f>
        <v>1</v>
      </c>
      <c r="D1141" t="s">
        <v>47</v>
      </c>
      <c r="E1141">
        <v>1</v>
      </c>
      <c r="F1141" s="1">
        <v>42097</v>
      </c>
      <c r="G1141" s="1" t="str">
        <f>TEXT(pizza_sales[[#This Row],[order_date]],"dddd")</f>
        <v>Friday</v>
      </c>
      <c r="H1141" s="2">
        <v>0.87663194444444448</v>
      </c>
      <c r="I1141">
        <v>16.5</v>
      </c>
      <c r="J1141">
        <v>16.5</v>
      </c>
      <c r="K1141" t="s">
        <v>58</v>
      </c>
      <c r="L1141" t="s">
        <v>13</v>
      </c>
      <c r="M1141" t="s">
        <v>14</v>
      </c>
      <c r="N1141" t="s">
        <v>15</v>
      </c>
    </row>
    <row r="1142" spans="1:14" x14ac:dyDescent="0.25">
      <c r="A1142">
        <v>8565</v>
      </c>
      <c r="B1142">
        <v>3751</v>
      </c>
      <c r="C1142">
        <f>1/COUNTIF(B:B,pizza_sales[[#This Row],[order_id]])</f>
        <v>0.5</v>
      </c>
      <c r="D1142" t="s">
        <v>31</v>
      </c>
      <c r="E1142">
        <v>1</v>
      </c>
      <c r="F1142" s="1">
        <v>42127</v>
      </c>
      <c r="G1142" s="1" t="str">
        <f>TEXT(pizza_sales[[#This Row],[order_date]],"dddd")</f>
        <v>Sunday</v>
      </c>
      <c r="H1142" s="2">
        <v>0.49136574074074074</v>
      </c>
      <c r="I1142">
        <v>12</v>
      </c>
      <c r="J1142">
        <v>12</v>
      </c>
      <c r="K1142" t="s">
        <v>60</v>
      </c>
      <c r="L1142" t="s">
        <v>13</v>
      </c>
      <c r="M1142" t="s">
        <v>32</v>
      </c>
      <c r="N1142" t="s">
        <v>33</v>
      </c>
    </row>
    <row r="1143" spans="1:14" x14ac:dyDescent="0.25">
      <c r="A1143">
        <v>8566</v>
      </c>
      <c r="B1143">
        <v>3751</v>
      </c>
      <c r="C1143">
        <f>1/COUNTIF(B:B,pizza_sales[[#This Row],[order_id]])</f>
        <v>0.5</v>
      </c>
      <c r="D1143" t="s">
        <v>25</v>
      </c>
      <c r="E1143">
        <v>1</v>
      </c>
      <c r="F1143" s="1">
        <v>42127</v>
      </c>
      <c r="G1143" s="1" t="str">
        <f>TEXT(pizza_sales[[#This Row],[order_date]],"dddd")</f>
        <v>Sunday</v>
      </c>
      <c r="H1143" s="2">
        <v>0.49136574074074074</v>
      </c>
      <c r="I1143">
        <v>15.25</v>
      </c>
      <c r="J1143">
        <v>15.25</v>
      </c>
      <c r="K1143" t="s">
        <v>58</v>
      </c>
      <c r="L1143" t="s">
        <v>13</v>
      </c>
      <c r="M1143" t="s">
        <v>26</v>
      </c>
      <c r="N1143" t="s">
        <v>27</v>
      </c>
    </row>
    <row r="1144" spans="1:14" x14ac:dyDescent="0.25">
      <c r="A1144">
        <v>8570</v>
      </c>
      <c r="B1144">
        <v>3753</v>
      </c>
      <c r="C1144">
        <f>1/COUNTIF(B:B,pizza_sales[[#This Row],[order_id]])</f>
        <v>1</v>
      </c>
      <c r="D1144" t="s">
        <v>47</v>
      </c>
      <c r="E1144">
        <v>1</v>
      </c>
      <c r="F1144" s="1">
        <v>42127</v>
      </c>
      <c r="G1144" s="1" t="str">
        <f>TEXT(pizza_sales[[#This Row],[order_date]],"dddd")</f>
        <v>Sunday</v>
      </c>
      <c r="H1144" s="2">
        <v>0.50123842592592593</v>
      </c>
      <c r="I1144">
        <v>16.5</v>
      </c>
      <c r="J1144">
        <v>16.5</v>
      </c>
      <c r="K1144" t="s">
        <v>58</v>
      </c>
      <c r="L1144" t="s">
        <v>13</v>
      </c>
      <c r="M1144" t="s">
        <v>14</v>
      </c>
      <c r="N1144" t="s">
        <v>15</v>
      </c>
    </row>
    <row r="1145" spans="1:14" x14ac:dyDescent="0.25">
      <c r="A1145">
        <v>8572</v>
      </c>
      <c r="B1145">
        <v>3754</v>
      </c>
      <c r="C1145">
        <f>1/COUNTIF(B:B,pizza_sales[[#This Row],[order_id]])</f>
        <v>1</v>
      </c>
      <c r="D1145" t="s">
        <v>45</v>
      </c>
      <c r="E1145">
        <v>1</v>
      </c>
      <c r="F1145" s="1">
        <v>42127</v>
      </c>
      <c r="G1145" s="1" t="str">
        <f>TEXT(pizza_sales[[#This Row],[order_date]],"dddd")</f>
        <v>Sunday</v>
      </c>
      <c r="H1145" s="2">
        <v>0.50370370370370365</v>
      </c>
      <c r="I1145">
        <v>10.5</v>
      </c>
      <c r="J1145">
        <v>10.5</v>
      </c>
      <c r="K1145" t="s">
        <v>60</v>
      </c>
      <c r="L1145" t="s">
        <v>13</v>
      </c>
      <c r="M1145" t="s">
        <v>14</v>
      </c>
      <c r="N1145" t="s">
        <v>15</v>
      </c>
    </row>
    <row r="1146" spans="1:14" x14ac:dyDescent="0.25">
      <c r="A1146">
        <v>8575</v>
      </c>
      <c r="B1146">
        <v>3756</v>
      </c>
      <c r="C1146">
        <f>1/COUNTIF(B:B,pizza_sales[[#This Row],[order_id]])</f>
        <v>1</v>
      </c>
      <c r="D1146" t="s">
        <v>56</v>
      </c>
      <c r="E1146">
        <v>1</v>
      </c>
      <c r="F1146" s="1">
        <v>42127</v>
      </c>
      <c r="G1146" s="1" t="str">
        <f>TEXT(pizza_sales[[#This Row],[order_date]],"dddd")</f>
        <v>Sunday</v>
      </c>
      <c r="H1146" s="2">
        <v>0.52111111111111108</v>
      </c>
      <c r="I1146">
        <v>20.25</v>
      </c>
      <c r="J1146">
        <v>20.25</v>
      </c>
      <c r="K1146" t="s">
        <v>58</v>
      </c>
      <c r="L1146" t="s">
        <v>35</v>
      </c>
      <c r="M1146" t="s">
        <v>36</v>
      </c>
      <c r="N1146" t="s">
        <v>37</v>
      </c>
    </row>
    <row r="1147" spans="1:14" x14ac:dyDescent="0.25">
      <c r="A1147">
        <v>8583</v>
      </c>
      <c r="B1147">
        <v>3762</v>
      </c>
      <c r="C1147">
        <f>1/COUNTIF(B:B,pizza_sales[[#This Row],[order_id]])</f>
        <v>1</v>
      </c>
      <c r="D1147" t="s">
        <v>47</v>
      </c>
      <c r="E1147">
        <v>1</v>
      </c>
      <c r="F1147" s="1">
        <v>42127</v>
      </c>
      <c r="G1147" s="1" t="str">
        <f>TEXT(pizza_sales[[#This Row],[order_date]],"dddd")</f>
        <v>Sunday</v>
      </c>
      <c r="H1147" s="2">
        <v>0.54435185185185186</v>
      </c>
      <c r="I1147">
        <v>16.5</v>
      </c>
      <c r="J1147">
        <v>16.5</v>
      </c>
      <c r="K1147" t="s">
        <v>58</v>
      </c>
      <c r="L1147" t="s">
        <v>13</v>
      </c>
      <c r="M1147" t="s">
        <v>14</v>
      </c>
      <c r="N1147" t="s">
        <v>15</v>
      </c>
    </row>
    <row r="1148" spans="1:14" x14ac:dyDescent="0.25">
      <c r="A1148">
        <v>8590</v>
      </c>
      <c r="B1148">
        <v>3765</v>
      </c>
      <c r="C1148">
        <f>1/COUNTIF(B:B,pizza_sales[[#This Row],[order_id]])</f>
        <v>1</v>
      </c>
      <c r="D1148" t="s">
        <v>46</v>
      </c>
      <c r="E1148">
        <v>1</v>
      </c>
      <c r="F1148" s="1">
        <v>42127</v>
      </c>
      <c r="G1148" s="1" t="str">
        <f>TEXT(pizza_sales[[#This Row],[order_date]],"dddd")</f>
        <v>Sunday</v>
      </c>
      <c r="H1148" s="2">
        <v>0.55656249999999996</v>
      </c>
      <c r="I1148">
        <v>25.5</v>
      </c>
      <c r="J1148">
        <v>25.5</v>
      </c>
      <c r="K1148" t="s">
        <v>61</v>
      </c>
      <c r="L1148" t="s">
        <v>13</v>
      </c>
      <c r="M1148" t="s">
        <v>21</v>
      </c>
      <c r="N1148" t="s">
        <v>22</v>
      </c>
    </row>
    <row r="1149" spans="1:14" x14ac:dyDescent="0.25">
      <c r="A1149">
        <v>8603</v>
      </c>
      <c r="B1149">
        <v>3773</v>
      </c>
      <c r="C1149">
        <f>1/COUNTIF(B:B,pizza_sales[[#This Row],[order_id]])</f>
        <v>1</v>
      </c>
      <c r="D1149" t="s">
        <v>31</v>
      </c>
      <c r="E1149">
        <v>1</v>
      </c>
      <c r="F1149" s="1">
        <v>42127</v>
      </c>
      <c r="G1149" s="1" t="str">
        <f>TEXT(pizza_sales[[#This Row],[order_date]],"dddd")</f>
        <v>Sunday</v>
      </c>
      <c r="H1149" s="2">
        <v>0.57049768518518518</v>
      </c>
      <c r="I1149">
        <v>12</v>
      </c>
      <c r="J1149">
        <v>12</v>
      </c>
      <c r="K1149" t="s">
        <v>60</v>
      </c>
      <c r="L1149" t="s">
        <v>13</v>
      </c>
      <c r="M1149" t="s">
        <v>32</v>
      </c>
      <c r="N1149" t="s">
        <v>33</v>
      </c>
    </row>
    <row r="1150" spans="1:14" x14ac:dyDescent="0.25">
      <c r="A1150">
        <v>8608</v>
      </c>
      <c r="B1150">
        <v>3774</v>
      </c>
      <c r="C1150">
        <f>1/COUNTIF(B:B,pizza_sales[[#This Row],[order_id]])</f>
        <v>0.5</v>
      </c>
      <c r="D1150" t="s">
        <v>47</v>
      </c>
      <c r="E1150">
        <v>1</v>
      </c>
      <c r="F1150" s="1">
        <v>42127</v>
      </c>
      <c r="G1150" s="1" t="str">
        <f>TEXT(pizza_sales[[#This Row],[order_date]],"dddd")</f>
        <v>Sunday</v>
      </c>
      <c r="H1150" s="2">
        <v>0.57447916666666665</v>
      </c>
      <c r="I1150">
        <v>16.5</v>
      </c>
      <c r="J1150">
        <v>16.5</v>
      </c>
      <c r="K1150" t="s">
        <v>58</v>
      </c>
      <c r="L1150" t="s">
        <v>13</v>
      </c>
      <c r="M1150" t="s">
        <v>14</v>
      </c>
      <c r="N1150" t="s">
        <v>15</v>
      </c>
    </row>
    <row r="1151" spans="1:14" x14ac:dyDescent="0.25">
      <c r="A1151">
        <v>8611</v>
      </c>
      <c r="B1151">
        <v>3774</v>
      </c>
      <c r="C1151">
        <f>1/COUNTIF(B:B,pizza_sales[[#This Row],[order_id]])</f>
        <v>0.5</v>
      </c>
      <c r="D1151" t="s">
        <v>48</v>
      </c>
      <c r="E1151">
        <v>1</v>
      </c>
      <c r="F1151" s="1">
        <v>42127</v>
      </c>
      <c r="G1151" s="1" t="str">
        <f>TEXT(pizza_sales[[#This Row],[order_date]],"dddd")</f>
        <v>Sunday</v>
      </c>
      <c r="H1151" s="2">
        <v>0.57447916666666665</v>
      </c>
      <c r="I1151">
        <v>12.25</v>
      </c>
      <c r="J1151">
        <v>12.25</v>
      </c>
      <c r="K1151" t="s">
        <v>60</v>
      </c>
      <c r="L1151" t="s">
        <v>35</v>
      </c>
      <c r="M1151" t="s">
        <v>40</v>
      </c>
      <c r="N1151" t="s">
        <v>41</v>
      </c>
    </row>
    <row r="1152" spans="1:14" x14ac:dyDescent="0.25">
      <c r="A1152">
        <v>8617</v>
      </c>
      <c r="B1152">
        <v>3776</v>
      </c>
      <c r="C1152">
        <f>1/COUNTIF(B:B,pizza_sales[[#This Row],[order_id]])</f>
        <v>0.5</v>
      </c>
      <c r="D1152" t="s">
        <v>47</v>
      </c>
      <c r="E1152">
        <v>1</v>
      </c>
      <c r="F1152" s="1">
        <v>42127</v>
      </c>
      <c r="G1152" s="1" t="str">
        <f>TEXT(pizza_sales[[#This Row],[order_date]],"dddd")</f>
        <v>Sunday</v>
      </c>
      <c r="H1152" s="2">
        <v>0.58273148148148146</v>
      </c>
      <c r="I1152">
        <v>16.5</v>
      </c>
      <c r="J1152">
        <v>16.5</v>
      </c>
      <c r="K1152" t="s">
        <v>58</v>
      </c>
      <c r="L1152" t="s">
        <v>13</v>
      </c>
      <c r="M1152" t="s">
        <v>14</v>
      </c>
      <c r="N1152" t="s">
        <v>15</v>
      </c>
    </row>
    <row r="1153" spans="1:14" x14ac:dyDescent="0.25">
      <c r="A1153">
        <v>8618</v>
      </c>
      <c r="B1153">
        <v>3776</v>
      </c>
      <c r="C1153">
        <f>1/COUNTIF(B:B,pizza_sales[[#This Row],[order_id]])</f>
        <v>0.5</v>
      </c>
      <c r="D1153" t="s">
        <v>31</v>
      </c>
      <c r="E1153">
        <v>1</v>
      </c>
      <c r="F1153" s="1">
        <v>42127</v>
      </c>
      <c r="G1153" s="1" t="str">
        <f>TEXT(pizza_sales[[#This Row],[order_date]],"dddd")</f>
        <v>Sunday</v>
      </c>
      <c r="H1153" s="2">
        <v>0.58273148148148146</v>
      </c>
      <c r="I1153">
        <v>12</v>
      </c>
      <c r="J1153">
        <v>12</v>
      </c>
      <c r="K1153" t="s">
        <v>60</v>
      </c>
      <c r="L1153" t="s">
        <v>13</v>
      </c>
      <c r="M1153" t="s">
        <v>32</v>
      </c>
      <c r="N1153" t="s">
        <v>33</v>
      </c>
    </row>
    <row r="1154" spans="1:14" x14ac:dyDescent="0.25">
      <c r="A1154">
        <v>8621</v>
      </c>
      <c r="B1154">
        <v>3777</v>
      </c>
      <c r="C1154">
        <f>1/COUNTIF(B:B,pizza_sales[[#This Row],[order_id]])</f>
        <v>1</v>
      </c>
      <c r="D1154" t="s">
        <v>47</v>
      </c>
      <c r="E1154">
        <v>1</v>
      </c>
      <c r="F1154" s="1">
        <v>42127</v>
      </c>
      <c r="G1154" s="1" t="str">
        <f>TEXT(pizza_sales[[#This Row],[order_date]],"dddd")</f>
        <v>Sunday</v>
      </c>
      <c r="H1154" s="2">
        <v>0.58704861111111106</v>
      </c>
      <c r="I1154">
        <v>16.5</v>
      </c>
      <c r="J1154">
        <v>16.5</v>
      </c>
      <c r="K1154" t="s">
        <v>58</v>
      </c>
      <c r="L1154" t="s">
        <v>13</v>
      </c>
      <c r="M1154" t="s">
        <v>14</v>
      </c>
      <c r="N1154" t="s">
        <v>15</v>
      </c>
    </row>
    <row r="1155" spans="1:14" x14ac:dyDescent="0.25">
      <c r="A1155">
        <v>8622</v>
      </c>
      <c r="B1155">
        <v>3778</v>
      </c>
      <c r="C1155">
        <f>1/COUNTIF(B:B,pizza_sales[[#This Row],[order_id]])</f>
        <v>0.5</v>
      </c>
      <c r="D1155" t="s">
        <v>24</v>
      </c>
      <c r="E1155">
        <v>1</v>
      </c>
      <c r="F1155" s="1">
        <v>42127</v>
      </c>
      <c r="G1155" s="1" t="str">
        <f>TEXT(pizza_sales[[#This Row],[order_date]],"dddd")</f>
        <v>Sunday</v>
      </c>
      <c r="H1155" s="2">
        <v>0.59795138888888888</v>
      </c>
      <c r="I1155">
        <v>20.25</v>
      </c>
      <c r="J1155">
        <v>20.25</v>
      </c>
      <c r="K1155" t="s">
        <v>58</v>
      </c>
      <c r="L1155" t="s">
        <v>17</v>
      </c>
      <c r="M1155" t="s">
        <v>18</v>
      </c>
      <c r="N1155" t="s">
        <v>19</v>
      </c>
    </row>
    <row r="1156" spans="1:14" x14ac:dyDescent="0.25">
      <c r="A1156">
        <v>8623</v>
      </c>
      <c r="B1156">
        <v>3778</v>
      </c>
      <c r="C1156">
        <f>1/COUNTIF(B:B,pizza_sales[[#This Row],[order_id]])</f>
        <v>0.5</v>
      </c>
      <c r="D1156" t="s">
        <v>42</v>
      </c>
      <c r="E1156">
        <v>1</v>
      </c>
      <c r="F1156" s="1">
        <v>42127</v>
      </c>
      <c r="G1156" s="1" t="str">
        <f>TEXT(pizza_sales[[#This Row],[order_date]],"dddd")</f>
        <v>Sunday</v>
      </c>
      <c r="H1156" s="2">
        <v>0.59795138888888888</v>
      </c>
      <c r="I1156">
        <v>12.5</v>
      </c>
      <c r="J1156">
        <v>12.5</v>
      </c>
      <c r="K1156" t="s">
        <v>59</v>
      </c>
      <c r="L1156" t="s">
        <v>13</v>
      </c>
      <c r="M1156" t="s">
        <v>26</v>
      </c>
      <c r="N1156" t="s">
        <v>27</v>
      </c>
    </row>
    <row r="1157" spans="1:14" x14ac:dyDescent="0.25">
      <c r="A1157">
        <v>8625</v>
      </c>
      <c r="B1157">
        <v>3779</v>
      </c>
      <c r="C1157">
        <f>1/COUNTIF(B:B,pizza_sales[[#This Row],[order_id]])</f>
        <v>1</v>
      </c>
      <c r="D1157" t="s">
        <v>24</v>
      </c>
      <c r="E1157">
        <v>1</v>
      </c>
      <c r="F1157" s="1">
        <v>42127</v>
      </c>
      <c r="G1157" s="1" t="str">
        <f>TEXT(pizza_sales[[#This Row],[order_date]],"dddd")</f>
        <v>Sunday</v>
      </c>
      <c r="H1157" s="2">
        <v>0.60021990740740738</v>
      </c>
      <c r="I1157">
        <v>20.25</v>
      </c>
      <c r="J1157">
        <v>20.25</v>
      </c>
      <c r="K1157" t="s">
        <v>58</v>
      </c>
      <c r="L1157" t="s">
        <v>17</v>
      </c>
      <c r="M1157" t="s">
        <v>18</v>
      </c>
      <c r="N1157" t="s">
        <v>19</v>
      </c>
    </row>
    <row r="1158" spans="1:14" x14ac:dyDescent="0.25">
      <c r="A1158">
        <v>8626</v>
      </c>
      <c r="B1158">
        <v>3780</v>
      </c>
      <c r="C1158">
        <f>1/COUNTIF(B:B,pizza_sales[[#This Row],[order_id]])</f>
        <v>1</v>
      </c>
      <c r="D1158" t="s">
        <v>12</v>
      </c>
      <c r="E1158">
        <v>1</v>
      </c>
      <c r="F1158" s="1">
        <v>42127</v>
      </c>
      <c r="G1158" s="1" t="str">
        <f>TEXT(pizza_sales[[#This Row],[order_date]],"dddd")</f>
        <v>Sunday</v>
      </c>
      <c r="H1158" s="2">
        <v>0.61062499999999997</v>
      </c>
      <c r="I1158">
        <v>13.25</v>
      </c>
      <c r="J1158">
        <v>13.25</v>
      </c>
      <c r="K1158" t="s">
        <v>59</v>
      </c>
      <c r="L1158" t="s">
        <v>13</v>
      </c>
      <c r="M1158" t="s">
        <v>14</v>
      </c>
      <c r="N1158" t="s">
        <v>15</v>
      </c>
    </row>
    <row r="1159" spans="1:14" x14ac:dyDescent="0.25">
      <c r="A1159">
        <v>8631</v>
      </c>
      <c r="B1159">
        <v>3782</v>
      </c>
      <c r="C1159">
        <f>1/COUNTIF(B:B,pizza_sales[[#This Row],[order_id]])</f>
        <v>0.5</v>
      </c>
      <c r="D1159" t="s">
        <v>42</v>
      </c>
      <c r="E1159">
        <v>1</v>
      </c>
      <c r="F1159" s="1">
        <v>42127</v>
      </c>
      <c r="G1159" s="1" t="str">
        <f>TEXT(pizza_sales[[#This Row],[order_date]],"dddd")</f>
        <v>Sunday</v>
      </c>
      <c r="H1159" s="2">
        <v>0.64564814814814819</v>
      </c>
      <c r="I1159">
        <v>12.5</v>
      </c>
      <c r="J1159">
        <v>12.5</v>
      </c>
      <c r="K1159" t="s">
        <v>59</v>
      </c>
      <c r="L1159" t="s">
        <v>13</v>
      </c>
      <c r="M1159" t="s">
        <v>26</v>
      </c>
      <c r="N1159" t="s">
        <v>27</v>
      </c>
    </row>
    <row r="1160" spans="1:14" x14ac:dyDescent="0.25">
      <c r="A1160">
        <v>8634</v>
      </c>
      <c r="B1160">
        <v>3782</v>
      </c>
      <c r="C1160">
        <f>1/COUNTIF(B:B,pizza_sales[[#This Row],[order_id]])</f>
        <v>0.5</v>
      </c>
      <c r="D1160" t="s">
        <v>46</v>
      </c>
      <c r="E1160">
        <v>1</v>
      </c>
      <c r="F1160" s="1">
        <v>42127</v>
      </c>
      <c r="G1160" s="1" t="str">
        <f>TEXT(pizza_sales[[#This Row],[order_date]],"dddd")</f>
        <v>Sunday</v>
      </c>
      <c r="H1160" s="2">
        <v>0.64564814814814819</v>
      </c>
      <c r="I1160">
        <v>25.5</v>
      </c>
      <c r="J1160">
        <v>25.5</v>
      </c>
      <c r="K1160" t="s">
        <v>61</v>
      </c>
      <c r="L1160" t="s">
        <v>13</v>
      </c>
      <c r="M1160" t="s">
        <v>21</v>
      </c>
      <c r="N1160" t="s">
        <v>22</v>
      </c>
    </row>
    <row r="1161" spans="1:14" x14ac:dyDescent="0.25">
      <c r="A1161">
        <v>8636</v>
      </c>
      <c r="B1161">
        <v>3783</v>
      </c>
      <c r="C1161">
        <f>1/COUNTIF(B:B,pizza_sales[[#This Row],[order_id]])</f>
        <v>1</v>
      </c>
      <c r="D1161" t="s">
        <v>47</v>
      </c>
      <c r="E1161">
        <v>1</v>
      </c>
      <c r="F1161" s="1">
        <v>42127</v>
      </c>
      <c r="G1161" s="1" t="str">
        <f>TEXT(pizza_sales[[#This Row],[order_date]],"dddd")</f>
        <v>Sunday</v>
      </c>
      <c r="H1161" s="2">
        <v>0.64678240740740744</v>
      </c>
      <c r="I1161">
        <v>16.5</v>
      </c>
      <c r="J1161">
        <v>16.5</v>
      </c>
      <c r="K1161" t="s">
        <v>58</v>
      </c>
      <c r="L1161" t="s">
        <v>13</v>
      </c>
      <c r="M1161" t="s">
        <v>14</v>
      </c>
      <c r="N1161" t="s">
        <v>15</v>
      </c>
    </row>
    <row r="1162" spans="1:14" x14ac:dyDescent="0.25">
      <c r="A1162">
        <v>8639</v>
      </c>
      <c r="B1162">
        <v>3784</v>
      </c>
      <c r="C1162">
        <f>1/COUNTIF(B:B,pizza_sales[[#This Row],[order_id]])</f>
        <v>1</v>
      </c>
      <c r="D1162" t="s">
        <v>43</v>
      </c>
      <c r="E1162">
        <v>1</v>
      </c>
      <c r="F1162" s="1">
        <v>42127</v>
      </c>
      <c r="G1162" s="1" t="str">
        <f>TEXT(pizza_sales[[#This Row],[order_date]],"dddd")</f>
        <v>Sunday</v>
      </c>
      <c r="H1162" s="2">
        <v>0.65143518518518517</v>
      </c>
      <c r="I1162">
        <v>16.25</v>
      </c>
      <c r="J1162">
        <v>16.25</v>
      </c>
      <c r="K1162" t="s">
        <v>59</v>
      </c>
      <c r="L1162" t="s">
        <v>35</v>
      </c>
      <c r="M1162" t="s">
        <v>40</v>
      </c>
      <c r="N1162" t="s">
        <v>41</v>
      </c>
    </row>
    <row r="1163" spans="1:14" x14ac:dyDescent="0.25">
      <c r="A1163">
        <v>8641</v>
      </c>
      <c r="B1163">
        <v>3786</v>
      </c>
      <c r="C1163">
        <f>1/COUNTIF(B:B,pizza_sales[[#This Row],[order_id]])</f>
        <v>1</v>
      </c>
      <c r="D1163" t="s">
        <v>12</v>
      </c>
      <c r="E1163">
        <v>1</v>
      </c>
      <c r="F1163" s="1">
        <v>42127</v>
      </c>
      <c r="G1163" s="1" t="str">
        <f>TEXT(pizza_sales[[#This Row],[order_date]],"dddd")</f>
        <v>Sunday</v>
      </c>
      <c r="H1163" s="2">
        <v>0.65842592592592597</v>
      </c>
      <c r="I1163">
        <v>13.25</v>
      </c>
      <c r="J1163">
        <v>13.25</v>
      </c>
      <c r="K1163" t="s">
        <v>59</v>
      </c>
      <c r="L1163" t="s">
        <v>13</v>
      </c>
      <c r="M1163" t="s">
        <v>14</v>
      </c>
      <c r="N1163" t="s">
        <v>15</v>
      </c>
    </row>
    <row r="1164" spans="1:14" x14ac:dyDescent="0.25">
      <c r="A1164">
        <v>8643</v>
      </c>
      <c r="B1164">
        <v>3787</v>
      </c>
      <c r="C1164">
        <f>1/COUNTIF(B:B,pizza_sales[[#This Row],[order_id]])</f>
        <v>0.5</v>
      </c>
      <c r="D1164" t="s">
        <v>56</v>
      </c>
      <c r="E1164">
        <v>1</v>
      </c>
      <c r="F1164" s="1">
        <v>42127</v>
      </c>
      <c r="G1164" s="1" t="str">
        <f>TEXT(pizza_sales[[#This Row],[order_date]],"dddd")</f>
        <v>Sunday</v>
      </c>
      <c r="H1164" s="2">
        <v>0.66469907407407403</v>
      </c>
      <c r="I1164">
        <v>20.25</v>
      </c>
      <c r="J1164">
        <v>20.25</v>
      </c>
      <c r="K1164" t="s">
        <v>58</v>
      </c>
      <c r="L1164" t="s">
        <v>35</v>
      </c>
      <c r="M1164" t="s">
        <v>36</v>
      </c>
      <c r="N1164" t="s">
        <v>37</v>
      </c>
    </row>
    <row r="1165" spans="1:14" x14ac:dyDescent="0.25">
      <c r="A1165">
        <v>8645</v>
      </c>
      <c r="B1165">
        <v>3787</v>
      </c>
      <c r="C1165">
        <f>1/COUNTIF(B:B,pizza_sales[[#This Row],[order_id]])</f>
        <v>0.5</v>
      </c>
      <c r="D1165" t="s">
        <v>42</v>
      </c>
      <c r="E1165">
        <v>1</v>
      </c>
      <c r="F1165" s="1">
        <v>42127</v>
      </c>
      <c r="G1165" s="1" t="str">
        <f>TEXT(pizza_sales[[#This Row],[order_date]],"dddd")</f>
        <v>Sunday</v>
      </c>
      <c r="H1165" s="2">
        <v>0.66469907407407403</v>
      </c>
      <c r="I1165">
        <v>12.5</v>
      </c>
      <c r="J1165">
        <v>12.5</v>
      </c>
      <c r="K1165" t="s">
        <v>59</v>
      </c>
      <c r="L1165" t="s">
        <v>13</v>
      </c>
      <c r="M1165" t="s">
        <v>26</v>
      </c>
      <c r="N1165" t="s">
        <v>27</v>
      </c>
    </row>
    <row r="1166" spans="1:14" x14ac:dyDescent="0.25">
      <c r="A1166">
        <v>8661</v>
      </c>
      <c r="B1166">
        <v>3794</v>
      </c>
      <c r="C1166">
        <f>1/COUNTIF(B:B,pizza_sales[[#This Row],[order_id]])</f>
        <v>1</v>
      </c>
      <c r="D1166" t="s">
        <v>20</v>
      </c>
      <c r="E1166">
        <v>1</v>
      </c>
      <c r="F1166" s="1">
        <v>42127</v>
      </c>
      <c r="G1166" s="1" t="str">
        <f>TEXT(pizza_sales[[#This Row],[order_date]],"dddd")</f>
        <v>Sunday</v>
      </c>
      <c r="H1166" s="2">
        <v>0.71508101851851846</v>
      </c>
      <c r="I1166">
        <v>12</v>
      </c>
      <c r="J1166">
        <v>12</v>
      </c>
      <c r="K1166" t="s">
        <v>60</v>
      </c>
      <c r="L1166" t="s">
        <v>13</v>
      </c>
      <c r="M1166" t="s">
        <v>21</v>
      </c>
      <c r="N1166" t="s">
        <v>22</v>
      </c>
    </row>
    <row r="1167" spans="1:14" x14ac:dyDescent="0.25">
      <c r="A1167">
        <v>8662</v>
      </c>
      <c r="B1167">
        <v>3795</v>
      </c>
      <c r="C1167">
        <f>1/COUNTIF(B:B,pizza_sales[[#This Row],[order_id]])</f>
        <v>1</v>
      </c>
      <c r="D1167" t="s">
        <v>28</v>
      </c>
      <c r="E1167">
        <v>1</v>
      </c>
      <c r="F1167" s="1">
        <v>42127</v>
      </c>
      <c r="G1167" s="1" t="str">
        <f>TEXT(pizza_sales[[#This Row],[order_date]],"dddd")</f>
        <v>Sunday</v>
      </c>
      <c r="H1167" s="2">
        <v>0.71603009259259254</v>
      </c>
      <c r="I1167">
        <v>12</v>
      </c>
      <c r="J1167">
        <v>12</v>
      </c>
      <c r="K1167" t="s">
        <v>60</v>
      </c>
      <c r="L1167" t="s">
        <v>13</v>
      </c>
      <c r="M1167" t="s">
        <v>29</v>
      </c>
      <c r="N1167" t="s">
        <v>30</v>
      </c>
    </row>
    <row r="1168" spans="1:14" x14ac:dyDescent="0.25">
      <c r="A1168">
        <v>8675</v>
      </c>
      <c r="B1168">
        <v>3800</v>
      </c>
      <c r="C1168">
        <f>1/COUNTIF(B:B,pizza_sales[[#This Row],[order_id]])</f>
        <v>0.5</v>
      </c>
      <c r="D1168" t="s">
        <v>47</v>
      </c>
      <c r="E1168">
        <v>1</v>
      </c>
      <c r="F1168" s="1">
        <v>42127</v>
      </c>
      <c r="G1168" s="1" t="str">
        <f>TEXT(pizza_sales[[#This Row],[order_date]],"dddd")</f>
        <v>Sunday</v>
      </c>
      <c r="H1168" s="2">
        <v>0.72979166666666662</v>
      </c>
      <c r="I1168">
        <v>16.5</v>
      </c>
      <c r="J1168">
        <v>16.5</v>
      </c>
      <c r="K1168" t="s">
        <v>58</v>
      </c>
      <c r="L1168" t="s">
        <v>13</v>
      </c>
      <c r="M1168" t="s">
        <v>14</v>
      </c>
      <c r="N1168" t="s">
        <v>15</v>
      </c>
    </row>
    <row r="1169" spans="1:14" x14ac:dyDescent="0.25">
      <c r="A1169">
        <v>8676</v>
      </c>
      <c r="B1169">
        <v>3800</v>
      </c>
      <c r="C1169">
        <f>1/COUNTIF(B:B,pizza_sales[[#This Row],[order_id]])</f>
        <v>0.5</v>
      </c>
      <c r="D1169" t="s">
        <v>23</v>
      </c>
      <c r="E1169">
        <v>1</v>
      </c>
      <c r="F1169" s="1">
        <v>42127</v>
      </c>
      <c r="G1169" s="1" t="str">
        <f>TEXT(pizza_sales[[#This Row],[order_date]],"dddd")</f>
        <v>Sunday</v>
      </c>
      <c r="H1169" s="2">
        <v>0.72979166666666662</v>
      </c>
      <c r="I1169">
        <v>12</v>
      </c>
      <c r="J1169">
        <v>12</v>
      </c>
      <c r="K1169" t="s">
        <v>60</v>
      </c>
      <c r="L1169" t="s">
        <v>17</v>
      </c>
      <c r="M1169" t="s">
        <v>18</v>
      </c>
      <c r="N1169" t="s">
        <v>19</v>
      </c>
    </row>
    <row r="1170" spans="1:14" x14ac:dyDescent="0.25">
      <c r="A1170">
        <v>8679</v>
      </c>
      <c r="B1170">
        <v>3801</v>
      </c>
      <c r="C1170">
        <f>1/COUNTIF(B:B,pizza_sales[[#This Row],[order_id]])</f>
        <v>0.5</v>
      </c>
      <c r="D1170" t="s">
        <v>28</v>
      </c>
      <c r="E1170">
        <v>2</v>
      </c>
      <c r="F1170" s="1">
        <v>42127</v>
      </c>
      <c r="G1170" s="1" t="str">
        <f>TEXT(pizza_sales[[#This Row],[order_date]],"dddd")</f>
        <v>Sunday</v>
      </c>
      <c r="H1170" s="2">
        <v>0.74429398148148151</v>
      </c>
      <c r="I1170">
        <v>12</v>
      </c>
      <c r="J1170">
        <v>24</v>
      </c>
      <c r="K1170" t="s">
        <v>60</v>
      </c>
      <c r="L1170" t="s">
        <v>13</v>
      </c>
      <c r="M1170" t="s">
        <v>29</v>
      </c>
      <c r="N1170" t="s">
        <v>30</v>
      </c>
    </row>
    <row r="1171" spans="1:14" x14ac:dyDescent="0.25">
      <c r="A1171">
        <v>8681</v>
      </c>
      <c r="B1171">
        <v>3801</v>
      </c>
      <c r="C1171">
        <f>1/COUNTIF(B:B,pizza_sales[[#This Row],[order_id]])</f>
        <v>0.5</v>
      </c>
      <c r="D1171" t="s">
        <v>24</v>
      </c>
      <c r="E1171">
        <v>1</v>
      </c>
      <c r="F1171" s="1">
        <v>42127</v>
      </c>
      <c r="G1171" s="1" t="str">
        <f>TEXT(pizza_sales[[#This Row],[order_date]],"dddd")</f>
        <v>Sunday</v>
      </c>
      <c r="H1171" s="2">
        <v>0.74429398148148151</v>
      </c>
      <c r="I1171">
        <v>20.25</v>
      </c>
      <c r="J1171">
        <v>20.25</v>
      </c>
      <c r="K1171" t="s">
        <v>58</v>
      </c>
      <c r="L1171" t="s">
        <v>17</v>
      </c>
      <c r="M1171" t="s">
        <v>18</v>
      </c>
      <c r="N1171" t="s">
        <v>19</v>
      </c>
    </row>
    <row r="1172" spans="1:14" x14ac:dyDescent="0.25">
      <c r="A1172">
        <v>8684</v>
      </c>
      <c r="B1172">
        <v>3803</v>
      </c>
      <c r="C1172">
        <f>1/COUNTIF(B:B,pizza_sales[[#This Row],[order_id]])</f>
        <v>1</v>
      </c>
      <c r="D1172" t="s">
        <v>47</v>
      </c>
      <c r="E1172">
        <v>1</v>
      </c>
      <c r="F1172" s="1">
        <v>42127</v>
      </c>
      <c r="G1172" s="1" t="str">
        <f>TEXT(pizza_sales[[#This Row],[order_date]],"dddd")</f>
        <v>Sunday</v>
      </c>
      <c r="H1172" s="2">
        <v>0.75392361111111106</v>
      </c>
      <c r="I1172">
        <v>16.5</v>
      </c>
      <c r="J1172">
        <v>16.5</v>
      </c>
      <c r="K1172" t="s">
        <v>58</v>
      </c>
      <c r="L1172" t="s">
        <v>13</v>
      </c>
      <c r="M1172" t="s">
        <v>14</v>
      </c>
      <c r="N1172" t="s">
        <v>15</v>
      </c>
    </row>
    <row r="1173" spans="1:14" x14ac:dyDescent="0.25">
      <c r="A1173">
        <v>8693</v>
      </c>
      <c r="B1173">
        <v>3809</v>
      </c>
      <c r="C1173">
        <f>1/COUNTIF(B:B,pizza_sales[[#This Row],[order_id]])</f>
        <v>0.33333333333333331</v>
      </c>
      <c r="D1173" t="s">
        <v>25</v>
      </c>
      <c r="E1173">
        <v>1</v>
      </c>
      <c r="F1173" s="1">
        <v>42127</v>
      </c>
      <c r="G1173" s="1" t="str">
        <f>TEXT(pizza_sales[[#This Row],[order_date]],"dddd")</f>
        <v>Sunday</v>
      </c>
      <c r="H1173" s="2">
        <v>0.78623842592592597</v>
      </c>
      <c r="I1173">
        <v>15.25</v>
      </c>
      <c r="J1173">
        <v>15.25</v>
      </c>
      <c r="K1173" t="s">
        <v>58</v>
      </c>
      <c r="L1173" t="s">
        <v>13</v>
      </c>
      <c r="M1173" t="s">
        <v>26</v>
      </c>
      <c r="N1173" t="s">
        <v>27</v>
      </c>
    </row>
    <row r="1174" spans="1:14" x14ac:dyDescent="0.25">
      <c r="A1174">
        <v>8694</v>
      </c>
      <c r="B1174">
        <v>3809</v>
      </c>
      <c r="C1174">
        <f>1/COUNTIF(B:B,pizza_sales[[#This Row],[order_id]])</f>
        <v>0.33333333333333331</v>
      </c>
      <c r="D1174" t="s">
        <v>48</v>
      </c>
      <c r="E1174">
        <v>1</v>
      </c>
      <c r="F1174" s="1">
        <v>42127</v>
      </c>
      <c r="G1174" s="1" t="str">
        <f>TEXT(pizza_sales[[#This Row],[order_date]],"dddd")</f>
        <v>Sunday</v>
      </c>
      <c r="H1174" s="2">
        <v>0.78623842592592597</v>
      </c>
      <c r="I1174">
        <v>12.25</v>
      </c>
      <c r="J1174">
        <v>12.25</v>
      </c>
      <c r="K1174" t="s">
        <v>60</v>
      </c>
      <c r="L1174" t="s">
        <v>35</v>
      </c>
      <c r="M1174" t="s">
        <v>40</v>
      </c>
      <c r="N1174" t="s">
        <v>41</v>
      </c>
    </row>
    <row r="1175" spans="1:14" x14ac:dyDescent="0.25">
      <c r="A1175">
        <v>8695</v>
      </c>
      <c r="B1175">
        <v>3809</v>
      </c>
      <c r="C1175">
        <f>1/COUNTIF(B:B,pizza_sales[[#This Row],[order_id]])</f>
        <v>0.33333333333333331</v>
      </c>
      <c r="D1175" t="s">
        <v>20</v>
      </c>
      <c r="E1175">
        <v>1</v>
      </c>
      <c r="F1175" s="1">
        <v>42127</v>
      </c>
      <c r="G1175" s="1" t="str">
        <f>TEXT(pizza_sales[[#This Row],[order_date]],"dddd")</f>
        <v>Sunday</v>
      </c>
      <c r="H1175" s="2">
        <v>0.78623842592592597</v>
      </c>
      <c r="I1175">
        <v>12</v>
      </c>
      <c r="J1175">
        <v>12</v>
      </c>
      <c r="K1175" t="s">
        <v>60</v>
      </c>
      <c r="L1175" t="s">
        <v>13</v>
      </c>
      <c r="M1175" t="s">
        <v>21</v>
      </c>
      <c r="N1175" t="s">
        <v>22</v>
      </c>
    </row>
    <row r="1176" spans="1:14" x14ac:dyDescent="0.25">
      <c r="A1176">
        <v>8714</v>
      </c>
      <c r="B1176">
        <v>3821</v>
      </c>
      <c r="C1176">
        <f>1/COUNTIF(B:B,pizza_sales[[#This Row],[order_id]])</f>
        <v>0.25</v>
      </c>
      <c r="D1176" t="s">
        <v>28</v>
      </c>
      <c r="E1176">
        <v>1</v>
      </c>
      <c r="F1176" s="1">
        <v>42158</v>
      </c>
      <c r="G1176" s="1" t="str">
        <f>TEXT(pizza_sales[[#This Row],[order_date]],"dddd")</f>
        <v>Wednesday</v>
      </c>
      <c r="H1176" s="2">
        <v>0.52074074074074073</v>
      </c>
      <c r="I1176">
        <v>12</v>
      </c>
      <c r="J1176">
        <v>12</v>
      </c>
      <c r="K1176" t="s">
        <v>60</v>
      </c>
      <c r="L1176" t="s">
        <v>13</v>
      </c>
      <c r="M1176" t="s">
        <v>29</v>
      </c>
      <c r="N1176" t="s">
        <v>30</v>
      </c>
    </row>
    <row r="1177" spans="1:14" x14ac:dyDescent="0.25">
      <c r="A1177">
        <v>8718</v>
      </c>
      <c r="B1177">
        <v>3821</v>
      </c>
      <c r="C1177">
        <f>1/COUNTIF(B:B,pizza_sales[[#This Row],[order_id]])</f>
        <v>0.25</v>
      </c>
      <c r="D1177" t="s">
        <v>45</v>
      </c>
      <c r="E1177">
        <v>2</v>
      </c>
      <c r="F1177" s="1">
        <v>42158</v>
      </c>
      <c r="G1177" s="1" t="str">
        <f>TEXT(pizza_sales[[#This Row],[order_date]],"dddd")</f>
        <v>Wednesday</v>
      </c>
      <c r="H1177" s="2">
        <v>0.52074074074074073</v>
      </c>
      <c r="I1177">
        <v>10.5</v>
      </c>
      <c r="J1177">
        <v>21</v>
      </c>
      <c r="K1177" t="s">
        <v>60</v>
      </c>
      <c r="L1177" t="s">
        <v>13</v>
      </c>
      <c r="M1177" t="s">
        <v>14</v>
      </c>
      <c r="N1177" t="s">
        <v>15</v>
      </c>
    </row>
    <row r="1178" spans="1:14" x14ac:dyDescent="0.25">
      <c r="A1178">
        <v>8719</v>
      </c>
      <c r="B1178">
        <v>3821</v>
      </c>
      <c r="C1178">
        <f>1/COUNTIF(B:B,pizza_sales[[#This Row],[order_id]])</f>
        <v>0.25</v>
      </c>
      <c r="D1178" t="s">
        <v>16</v>
      </c>
      <c r="E1178">
        <v>1</v>
      </c>
      <c r="F1178" s="1">
        <v>42158</v>
      </c>
      <c r="G1178" s="1" t="str">
        <f>TEXT(pizza_sales[[#This Row],[order_date]],"dddd")</f>
        <v>Wednesday</v>
      </c>
      <c r="H1178" s="2">
        <v>0.52074074074074073</v>
      </c>
      <c r="I1178">
        <v>16</v>
      </c>
      <c r="J1178">
        <v>16</v>
      </c>
      <c r="K1178" t="s">
        <v>59</v>
      </c>
      <c r="L1178" t="s">
        <v>17</v>
      </c>
      <c r="M1178" t="s">
        <v>18</v>
      </c>
      <c r="N1178" t="s">
        <v>19</v>
      </c>
    </row>
    <row r="1179" spans="1:14" x14ac:dyDescent="0.25">
      <c r="A1179">
        <v>8720</v>
      </c>
      <c r="B1179">
        <v>3821</v>
      </c>
      <c r="C1179">
        <f>1/COUNTIF(B:B,pizza_sales[[#This Row],[order_id]])</f>
        <v>0.25</v>
      </c>
      <c r="D1179" t="s">
        <v>44</v>
      </c>
      <c r="E1179">
        <v>1</v>
      </c>
      <c r="F1179" s="1">
        <v>42158</v>
      </c>
      <c r="G1179" s="1" t="str">
        <f>TEXT(pizza_sales[[#This Row],[order_date]],"dddd")</f>
        <v>Wednesday</v>
      </c>
      <c r="H1179" s="2">
        <v>0.52074074074074073</v>
      </c>
      <c r="I1179">
        <v>9.75</v>
      </c>
      <c r="J1179">
        <v>9.75</v>
      </c>
      <c r="K1179" t="s">
        <v>60</v>
      </c>
      <c r="L1179" t="s">
        <v>13</v>
      </c>
      <c r="M1179" t="s">
        <v>26</v>
      </c>
      <c r="N1179" t="s">
        <v>27</v>
      </c>
    </row>
    <row r="1180" spans="1:14" x14ac:dyDescent="0.25">
      <c r="A1180">
        <v>8727</v>
      </c>
      <c r="B1180">
        <v>3826</v>
      </c>
      <c r="C1180">
        <f>1/COUNTIF(B:B,pizza_sales[[#This Row],[order_id]])</f>
        <v>1</v>
      </c>
      <c r="D1180" t="s">
        <v>56</v>
      </c>
      <c r="E1180">
        <v>1</v>
      </c>
      <c r="F1180" s="1">
        <v>42158</v>
      </c>
      <c r="G1180" s="1" t="str">
        <f>TEXT(pizza_sales[[#This Row],[order_date]],"dddd")</f>
        <v>Wednesday</v>
      </c>
      <c r="H1180" s="2">
        <v>0.52746527777777774</v>
      </c>
      <c r="I1180">
        <v>20.25</v>
      </c>
      <c r="J1180">
        <v>20.25</v>
      </c>
      <c r="K1180" t="s">
        <v>58</v>
      </c>
      <c r="L1180" t="s">
        <v>35</v>
      </c>
      <c r="M1180" t="s">
        <v>36</v>
      </c>
      <c r="N1180" t="s">
        <v>37</v>
      </c>
    </row>
    <row r="1181" spans="1:14" x14ac:dyDescent="0.25">
      <c r="A1181">
        <v>8729</v>
      </c>
      <c r="B1181">
        <v>3827</v>
      </c>
      <c r="C1181">
        <f>1/COUNTIF(B:B,pizza_sales[[#This Row],[order_id]])</f>
        <v>0.5</v>
      </c>
      <c r="D1181" t="s">
        <v>42</v>
      </c>
      <c r="E1181">
        <v>1</v>
      </c>
      <c r="F1181" s="1">
        <v>42158</v>
      </c>
      <c r="G1181" s="1" t="str">
        <f>TEXT(pizza_sales[[#This Row],[order_date]],"dddd")</f>
        <v>Wednesday</v>
      </c>
      <c r="H1181" s="2">
        <v>0.5298032407407407</v>
      </c>
      <c r="I1181">
        <v>12.5</v>
      </c>
      <c r="J1181">
        <v>12.5</v>
      </c>
      <c r="K1181" t="s">
        <v>59</v>
      </c>
      <c r="L1181" t="s">
        <v>13</v>
      </c>
      <c r="M1181" t="s">
        <v>26</v>
      </c>
      <c r="N1181" t="s">
        <v>27</v>
      </c>
    </row>
    <row r="1182" spans="1:14" x14ac:dyDescent="0.25">
      <c r="A1182">
        <v>8731</v>
      </c>
      <c r="B1182">
        <v>3827</v>
      </c>
      <c r="C1182">
        <f>1/COUNTIF(B:B,pizza_sales[[#This Row],[order_id]])</f>
        <v>0.5</v>
      </c>
      <c r="D1182" t="s">
        <v>43</v>
      </c>
      <c r="E1182">
        <v>1</v>
      </c>
      <c r="F1182" s="1">
        <v>42158</v>
      </c>
      <c r="G1182" s="1" t="str">
        <f>TEXT(pizza_sales[[#This Row],[order_date]],"dddd")</f>
        <v>Wednesday</v>
      </c>
      <c r="H1182" s="2">
        <v>0.5298032407407407</v>
      </c>
      <c r="I1182">
        <v>16.25</v>
      </c>
      <c r="J1182">
        <v>16.25</v>
      </c>
      <c r="K1182" t="s">
        <v>59</v>
      </c>
      <c r="L1182" t="s">
        <v>35</v>
      </c>
      <c r="M1182" t="s">
        <v>40</v>
      </c>
      <c r="N1182" t="s">
        <v>41</v>
      </c>
    </row>
    <row r="1183" spans="1:14" x14ac:dyDescent="0.25">
      <c r="A1183">
        <v>8733</v>
      </c>
      <c r="B1183">
        <v>3828</v>
      </c>
      <c r="C1183">
        <f>1/COUNTIF(B:B,pizza_sales[[#This Row],[order_id]])</f>
        <v>0.5</v>
      </c>
      <c r="D1183" t="s">
        <v>28</v>
      </c>
      <c r="E1183">
        <v>2</v>
      </c>
      <c r="F1183" s="1">
        <v>42158</v>
      </c>
      <c r="G1183" s="1" t="str">
        <f>TEXT(pizza_sales[[#This Row],[order_date]],"dddd")</f>
        <v>Wednesday</v>
      </c>
      <c r="H1183" s="2">
        <v>0.53396990740740746</v>
      </c>
      <c r="I1183">
        <v>12</v>
      </c>
      <c r="J1183">
        <v>24</v>
      </c>
      <c r="K1183" t="s">
        <v>60</v>
      </c>
      <c r="L1183" t="s">
        <v>13</v>
      </c>
      <c r="M1183" t="s">
        <v>29</v>
      </c>
      <c r="N1183" t="s">
        <v>30</v>
      </c>
    </row>
    <row r="1184" spans="1:14" x14ac:dyDescent="0.25">
      <c r="A1184">
        <v>8736</v>
      </c>
      <c r="B1184">
        <v>3828</v>
      </c>
      <c r="C1184">
        <f>1/COUNTIF(B:B,pizza_sales[[#This Row],[order_id]])</f>
        <v>0.5</v>
      </c>
      <c r="D1184" t="s">
        <v>39</v>
      </c>
      <c r="E1184">
        <v>1</v>
      </c>
      <c r="F1184" s="1">
        <v>42158</v>
      </c>
      <c r="G1184" s="1" t="str">
        <f>TEXT(pizza_sales[[#This Row],[order_date]],"dddd")</f>
        <v>Wednesday</v>
      </c>
      <c r="H1184" s="2">
        <v>0.53396990740740746</v>
      </c>
      <c r="I1184">
        <v>20.25</v>
      </c>
      <c r="J1184">
        <v>20.25</v>
      </c>
      <c r="K1184" t="s">
        <v>58</v>
      </c>
      <c r="L1184" t="s">
        <v>35</v>
      </c>
      <c r="M1184" t="s">
        <v>40</v>
      </c>
      <c r="N1184" t="s">
        <v>41</v>
      </c>
    </row>
    <row r="1185" spans="1:14" x14ac:dyDescent="0.25">
      <c r="A1185">
        <v>8743</v>
      </c>
      <c r="B1185">
        <v>3830</v>
      </c>
      <c r="C1185">
        <f>1/COUNTIF(B:B,pizza_sales[[#This Row],[order_id]])</f>
        <v>1</v>
      </c>
      <c r="D1185" t="s">
        <v>45</v>
      </c>
      <c r="E1185">
        <v>1</v>
      </c>
      <c r="F1185" s="1">
        <v>42158</v>
      </c>
      <c r="G1185" s="1" t="str">
        <f>TEXT(pizza_sales[[#This Row],[order_date]],"dddd")</f>
        <v>Wednesday</v>
      </c>
      <c r="H1185" s="2">
        <v>0.54849537037037033</v>
      </c>
      <c r="I1185">
        <v>10.5</v>
      </c>
      <c r="J1185">
        <v>10.5</v>
      </c>
      <c r="K1185" t="s">
        <v>60</v>
      </c>
      <c r="L1185" t="s">
        <v>13</v>
      </c>
      <c r="M1185" t="s">
        <v>14</v>
      </c>
      <c r="N1185" t="s">
        <v>15</v>
      </c>
    </row>
    <row r="1186" spans="1:14" x14ac:dyDescent="0.25">
      <c r="A1186">
        <v>8746</v>
      </c>
      <c r="B1186">
        <v>3833</v>
      </c>
      <c r="C1186">
        <f>1/COUNTIF(B:B,pizza_sales[[#This Row],[order_id]])</f>
        <v>1</v>
      </c>
      <c r="D1186" t="s">
        <v>51</v>
      </c>
      <c r="E1186">
        <v>2</v>
      </c>
      <c r="F1186" s="1">
        <v>42158</v>
      </c>
      <c r="G1186" s="1" t="str">
        <f>TEXT(pizza_sales[[#This Row],[order_date]],"dddd")</f>
        <v>Wednesday</v>
      </c>
      <c r="H1186" s="2">
        <v>0.56232638888888886</v>
      </c>
      <c r="I1186">
        <v>23.65</v>
      </c>
      <c r="J1186">
        <v>47.3</v>
      </c>
      <c r="K1186" t="s">
        <v>60</v>
      </c>
      <c r="L1186" t="s">
        <v>35</v>
      </c>
      <c r="M1186" t="s">
        <v>52</v>
      </c>
      <c r="N1186" t="s">
        <v>53</v>
      </c>
    </row>
    <row r="1187" spans="1:14" x14ac:dyDescent="0.25">
      <c r="A1187">
        <v>8749</v>
      </c>
      <c r="B1187">
        <v>3834</v>
      </c>
      <c r="C1187">
        <f>1/COUNTIF(B:B,pizza_sales[[#This Row],[order_id]])</f>
        <v>0.33333333333333331</v>
      </c>
      <c r="D1187" t="s">
        <v>45</v>
      </c>
      <c r="E1187">
        <v>1</v>
      </c>
      <c r="F1187" s="1">
        <v>42158</v>
      </c>
      <c r="G1187" s="1" t="str">
        <f>TEXT(pizza_sales[[#This Row],[order_date]],"dddd")</f>
        <v>Wednesday</v>
      </c>
      <c r="H1187" s="2">
        <v>0.57502314814814814</v>
      </c>
      <c r="I1187">
        <v>10.5</v>
      </c>
      <c r="J1187">
        <v>10.5</v>
      </c>
      <c r="K1187" t="s">
        <v>60</v>
      </c>
      <c r="L1187" t="s">
        <v>13</v>
      </c>
      <c r="M1187" t="s">
        <v>14</v>
      </c>
      <c r="N1187" t="s">
        <v>15</v>
      </c>
    </row>
    <row r="1188" spans="1:14" x14ac:dyDescent="0.25">
      <c r="A1188">
        <v>8750</v>
      </c>
      <c r="B1188">
        <v>3834</v>
      </c>
      <c r="C1188">
        <f>1/COUNTIF(B:B,pizza_sales[[#This Row],[order_id]])</f>
        <v>0.33333333333333331</v>
      </c>
      <c r="D1188" t="s">
        <v>16</v>
      </c>
      <c r="E1188">
        <v>1</v>
      </c>
      <c r="F1188" s="1">
        <v>42158</v>
      </c>
      <c r="G1188" s="1" t="str">
        <f>TEXT(pizza_sales[[#This Row],[order_date]],"dddd")</f>
        <v>Wednesday</v>
      </c>
      <c r="H1188" s="2">
        <v>0.57502314814814814</v>
      </c>
      <c r="I1188">
        <v>16</v>
      </c>
      <c r="J1188">
        <v>16</v>
      </c>
      <c r="K1188" t="s">
        <v>59</v>
      </c>
      <c r="L1188" t="s">
        <v>17</v>
      </c>
      <c r="M1188" t="s">
        <v>18</v>
      </c>
      <c r="N1188" t="s">
        <v>19</v>
      </c>
    </row>
    <row r="1189" spans="1:14" x14ac:dyDescent="0.25">
      <c r="A1189">
        <v>8751</v>
      </c>
      <c r="B1189">
        <v>3834</v>
      </c>
      <c r="C1189">
        <f>1/COUNTIF(B:B,pizza_sales[[#This Row],[order_id]])</f>
        <v>0.33333333333333331</v>
      </c>
      <c r="D1189" t="s">
        <v>31</v>
      </c>
      <c r="E1189">
        <v>1</v>
      </c>
      <c r="F1189" s="1">
        <v>42158</v>
      </c>
      <c r="G1189" s="1" t="str">
        <f>TEXT(pizza_sales[[#This Row],[order_date]],"dddd")</f>
        <v>Wednesday</v>
      </c>
      <c r="H1189" s="2">
        <v>0.57502314814814814</v>
      </c>
      <c r="I1189">
        <v>12</v>
      </c>
      <c r="J1189">
        <v>12</v>
      </c>
      <c r="K1189" t="s">
        <v>60</v>
      </c>
      <c r="L1189" t="s">
        <v>13</v>
      </c>
      <c r="M1189" t="s">
        <v>32</v>
      </c>
      <c r="N1189" t="s">
        <v>33</v>
      </c>
    </row>
    <row r="1190" spans="1:14" x14ac:dyDescent="0.25">
      <c r="A1190">
        <v>8762</v>
      </c>
      <c r="B1190">
        <v>3842</v>
      </c>
      <c r="C1190">
        <f>1/COUNTIF(B:B,pizza_sales[[#This Row],[order_id]])</f>
        <v>1</v>
      </c>
      <c r="D1190" t="s">
        <v>24</v>
      </c>
      <c r="E1190">
        <v>1</v>
      </c>
      <c r="F1190" s="1">
        <v>42158</v>
      </c>
      <c r="G1190" s="1" t="str">
        <f>TEXT(pizza_sales[[#This Row],[order_date]],"dddd")</f>
        <v>Wednesday</v>
      </c>
      <c r="H1190" s="2">
        <v>0.65350694444444446</v>
      </c>
      <c r="I1190">
        <v>20.25</v>
      </c>
      <c r="J1190">
        <v>20.25</v>
      </c>
      <c r="K1190" t="s">
        <v>58</v>
      </c>
      <c r="L1190" t="s">
        <v>17</v>
      </c>
      <c r="M1190" t="s">
        <v>18</v>
      </c>
      <c r="N1190" t="s">
        <v>19</v>
      </c>
    </row>
    <row r="1191" spans="1:14" x14ac:dyDescent="0.25">
      <c r="A1191">
        <v>8769</v>
      </c>
      <c r="B1191">
        <v>3846</v>
      </c>
      <c r="C1191">
        <f>1/COUNTIF(B:B,pizza_sales[[#This Row],[order_id]])</f>
        <v>1</v>
      </c>
      <c r="D1191" t="s">
        <v>44</v>
      </c>
      <c r="E1191">
        <v>1</v>
      </c>
      <c r="F1191" s="1">
        <v>42158</v>
      </c>
      <c r="G1191" s="1" t="str">
        <f>TEXT(pizza_sales[[#This Row],[order_date]],"dddd")</f>
        <v>Wednesday</v>
      </c>
      <c r="H1191" s="2">
        <v>0.67685185185185182</v>
      </c>
      <c r="I1191">
        <v>9.75</v>
      </c>
      <c r="J1191">
        <v>9.75</v>
      </c>
      <c r="K1191" t="s">
        <v>60</v>
      </c>
      <c r="L1191" t="s">
        <v>13</v>
      </c>
      <c r="M1191" t="s">
        <v>26</v>
      </c>
      <c r="N1191" t="s">
        <v>27</v>
      </c>
    </row>
    <row r="1192" spans="1:14" x14ac:dyDescent="0.25">
      <c r="A1192">
        <v>8771</v>
      </c>
      <c r="B1192">
        <v>3847</v>
      </c>
      <c r="C1192">
        <f>1/COUNTIF(B:B,pizza_sales[[#This Row],[order_id]])</f>
        <v>1</v>
      </c>
      <c r="D1192" t="s">
        <v>45</v>
      </c>
      <c r="E1192">
        <v>1</v>
      </c>
      <c r="F1192" s="1">
        <v>42158</v>
      </c>
      <c r="G1192" s="1" t="str">
        <f>TEXT(pizza_sales[[#This Row],[order_date]],"dddd")</f>
        <v>Wednesday</v>
      </c>
      <c r="H1192" s="2">
        <v>0.69975694444444447</v>
      </c>
      <c r="I1192">
        <v>10.5</v>
      </c>
      <c r="J1192">
        <v>10.5</v>
      </c>
      <c r="K1192" t="s">
        <v>60</v>
      </c>
      <c r="L1192" t="s">
        <v>13</v>
      </c>
      <c r="M1192" t="s">
        <v>14</v>
      </c>
      <c r="N1192" t="s">
        <v>15</v>
      </c>
    </row>
    <row r="1193" spans="1:14" x14ac:dyDescent="0.25">
      <c r="A1193">
        <v>8779</v>
      </c>
      <c r="B1193">
        <v>3852</v>
      </c>
      <c r="C1193">
        <f>1/COUNTIF(B:B,pizza_sales[[#This Row],[order_id]])</f>
        <v>1</v>
      </c>
      <c r="D1193" t="s">
        <v>45</v>
      </c>
      <c r="E1193">
        <v>1</v>
      </c>
      <c r="F1193" s="1">
        <v>42158</v>
      </c>
      <c r="G1193" s="1" t="str">
        <f>TEXT(pizza_sales[[#This Row],[order_date]],"dddd")</f>
        <v>Wednesday</v>
      </c>
      <c r="H1193" s="2">
        <v>0.72729166666666667</v>
      </c>
      <c r="I1193">
        <v>10.5</v>
      </c>
      <c r="J1193">
        <v>10.5</v>
      </c>
      <c r="K1193" t="s">
        <v>60</v>
      </c>
      <c r="L1193" t="s">
        <v>13</v>
      </c>
      <c r="M1193" t="s">
        <v>14</v>
      </c>
      <c r="N1193" t="s">
        <v>15</v>
      </c>
    </row>
    <row r="1194" spans="1:14" x14ac:dyDescent="0.25">
      <c r="A1194">
        <v>8782</v>
      </c>
      <c r="B1194">
        <v>3853</v>
      </c>
      <c r="C1194">
        <f>1/COUNTIF(B:B,pizza_sales[[#This Row],[order_id]])</f>
        <v>0.25</v>
      </c>
      <c r="D1194" t="s">
        <v>56</v>
      </c>
      <c r="E1194">
        <v>1</v>
      </c>
      <c r="F1194" s="1">
        <v>42158</v>
      </c>
      <c r="G1194" s="1" t="str">
        <f>TEXT(pizza_sales[[#This Row],[order_date]],"dddd")</f>
        <v>Wednesday</v>
      </c>
      <c r="H1194" s="2">
        <v>0.74083333333333334</v>
      </c>
      <c r="I1194">
        <v>20.25</v>
      </c>
      <c r="J1194">
        <v>20.25</v>
      </c>
      <c r="K1194" t="s">
        <v>58</v>
      </c>
      <c r="L1194" t="s">
        <v>35</v>
      </c>
      <c r="M1194" t="s">
        <v>36</v>
      </c>
      <c r="N1194" t="s">
        <v>37</v>
      </c>
    </row>
    <row r="1195" spans="1:14" x14ac:dyDescent="0.25">
      <c r="A1195">
        <v>8783</v>
      </c>
      <c r="B1195">
        <v>3853</v>
      </c>
      <c r="C1195">
        <f>1/COUNTIF(B:B,pizza_sales[[#This Row],[order_id]])</f>
        <v>0.25</v>
      </c>
      <c r="D1195" t="s">
        <v>24</v>
      </c>
      <c r="E1195">
        <v>1</v>
      </c>
      <c r="F1195" s="1">
        <v>42158</v>
      </c>
      <c r="G1195" s="1" t="str">
        <f>TEXT(pizza_sales[[#This Row],[order_date]],"dddd")</f>
        <v>Wednesday</v>
      </c>
      <c r="H1195" s="2">
        <v>0.74083333333333334</v>
      </c>
      <c r="I1195">
        <v>20.25</v>
      </c>
      <c r="J1195">
        <v>20.25</v>
      </c>
      <c r="K1195" t="s">
        <v>58</v>
      </c>
      <c r="L1195" t="s">
        <v>17</v>
      </c>
      <c r="M1195" t="s">
        <v>18</v>
      </c>
      <c r="N1195" t="s">
        <v>19</v>
      </c>
    </row>
    <row r="1196" spans="1:14" x14ac:dyDescent="0.25">
      <c r="A1196">
        <v>8784</v>
      </c>
      <c r="B1196">
        <v>3853</v>
      </c>
      <c r="C1196">
        <f>1/COUNTIF(B:B,pizza_sales[[#This Row],[order_id]])</f>
        <v>0.25</v>
      </c>
      <c r="D1196" t="s">
        <v>25</v>
      </c>
      <c r="E1196">
        <v>1</v>
      </c>
      <c r="F1196" s="1">
        <v>42158</v>
      </c>
      <c r="G1196" s="1" t="str">
        <f>TEXT(pizza_sales[[#This Row],[order_date]],"dddd")</f>
        <v>Wednesday</v>
      </c>
      <c r="H1196" s="2">
        <v>0.74083333333333334</v>
      </c>
      <c r="I1196">
        <v>15.25</v>
      </c>
      <c r="J1196">
        <v>15.25</v>
      </c>
      <c r="K1196" t="s">
        <v>58</v>
      </c>
      <c r="L1196" t="s">
        <v>13</v>
      </c>
      <c r="M1196" t="s">
        <v>26</v>
      </c>
      <c r="N1196" t="s">
        <v>27</v>
      </c>
    </row>
    <row r="1197" spans="1:14" x14ac:dyDescent="0.25">
      <c r="A1197">
        <v>8785</v>
      </c>
      <c r="B1197">
        <v>3853</v>
      </c>
      <c r="C1197">
        <f>1/COUNTIF(B:B,pizza_sales[[#This Row],[order_id]])</f>
        <v>0.25</v>
      </c>
      <c r="D1197" t="s">
        <v>42</v>
      </c>
      <c r="E1197">
        <v>1</v>
      </c>
      <c r="F1197" s="1">
        <v>42158</v>
      </c>
      <c r="G1197" s="1" t="str">
        <f>TEXT(pizza_sales[[#This Row],[order_date]],"dddd")</f>
        <v>Wednesday</v>
      </c>
      <c r="H1197" s="2">
        <v>0.74083333333333334</v>
      </c>
      <c r="I1197">
        <v>12.5</v>
      </c>
      <c r="J1197">
        <v>12.5</v>
      </c>
      <c r="K1197" t="s">
        <v>59</v>
      </c>
      <c r="L1197" t="s">
        <v>13</v>
      </c>
      <c r="M1197" t="s">
        <v>26</v>
      </c>
      <c r="N1197" t="s">
        <v>27</v>
      </c>
    </row>
    <row r="1198" spans="1:14" x14ac:dyDescent="0.25">
      <c r="A1198">
        <v>8790</v>
      </c>
      <c r="B1198">
        <v>3856</v>
      </c>
      <c r="C1198">
        <f>1/COUNTIF(B:B,pizza_sales[[#This Row],[order_id]])</f>
        <v>0.5</v>
      </c>
      <c r="D1198" t="s">
        <v>25</v>
      </c>
      <c r="E1198">
        <v>1</v>
      </c>
      <c r="F1198" s="1">
        <v>42158</v>
      </c>
      <c r="G1198" s="1" t="str">
        <f>TEXT(pizza_sales[[#This Row],[order_date]],"dddd")</f>
        <v>Wednesday</v>
      </c>
      <c r="H1198" s="2">
        <v>0.76108796296296299</v>
      </c>
      <c r="I1198">
        <v>15.25</v>
      </c>
      <c r="J1198">
        <v>15.25</v>
      </c>
      <c r="K1198" t="s">
        <v>58</v>
      </c>
      <c r="L1198" t="s">
        <v>13</v>
      </c>
      <c r="M1198" t="s">
        <v>26</v>
      </c>
      <c r="N1198" t="s">
        <v>27</v>
      </c>
    </row>
    <row r="1199" spans="1:14" x14ac:dyDescent="0.25">
      <c r="A1199">
        <v>8791</v>
      </c>
      <c r="B1199">
        <v>3856</v>
      </c>
      <c r="C1199">
        <f>1/COUNTIF(B:B,pizza_sales[[#This Row],[order_id]])</f>
        <v>0.5</v>
      </c>
      <c r="D1199" t="s">
        <v>48</v>
      </c>
      <c r="E1199">
        <v>1</v>
      </c>
      <c r="F1199" s="1">
        <v>42158</v>
      </c>
      <c r="G1199" s="1" t="str">
        <f>TEXT(pizza_sales[[#This Row],[order_date]],"dddd")</f>
        <v>Wednesday</v>
      </c>
      <c r="H1199" s="2">
        <v>0.76108796296296299</v>
      </c>
      <c r="I1199">
        <v>12.25</v>
      </c>
      <c r="J1199">
        <v>12.25</v>
      </c>
      <c r="K1199" t="s">
        <v>60</v>
      </c>
      <c r="L1199" t="s">
        <v>35</v>
      </c>
      <c r="M1199" t="s">
        <v>40</v>
      </c>
      <c r="N1199" t="s">
        <v>41</v>
      </c>
    </row>
    <row r="1200" spans="1:14" x14ac:dyDescent="0.25">
      <c r="A1200">
        <v>8793</v>
      </c>
      <c r="B1200">
        <v>3857</v>
      </c>
      <c r="C1200">
        <f>1/COUNTIF(B:B,pizza_sales[[#This Row],[order_id]])</f>
        <v>1</v>
      </c>
      <c r="D1200" t="s">
        <v>42</v>
      </c>
      <c r="E1200">
        <v>1</v>
      </c>
      <c r="F1200" s="1">
        <v>42158</v>
      </c>
      <c r="G1200" s="1" t="str">
        <f>TEXT(pizza_sales[[#This Row],[order_date]],"dddd")</f>
        <v>Wednesday</v>
      </c>
      <c r="H1200" s="2">
        <v>0.76976851851851846</v>
      </c>
      <c r="I1200">
        <v>12.5</v>
      </c>
      <c r="J1200">
        <v>12.5</v>
      </c>
      <c r="K1200" t="s">
        <v>59</v>
      </c>
      <c r="L1200" t="s">
        <v>13</v>
      </c>
      <c r="M1200" t="s">
        <v>26</v>
      </c>
      <c r="N1200" t="s">
        <v>27</v>
      </c>
    </row>
    <row r="1201" spans="1:14" x14ac:dyDescent="0.25">
      <c r="A1201">
        <v>8794</v>
      </c>
      <c r="B1201">
        <v>3858</v>
      </c>
      <c r="C1201">
        <f>1/COUNTIF(B:B,pizza_sales[[#This Row],[order_id]])</f>
        <v>1</v>
      </c>
      <c r="D1201" t="s">
        <v>12</v>
      </c>
      <c r="E1201">
        <v>2</v>
      </c>
      <c r="F1201" s="1">
        <v>42158</v>
      </c>
      <c r="G1201" s="1" t="str">
        <f>TEXT(pizza_sales[[#This Row],[order_date]],"dddd")</f>
        <v>Wednesday</v>
      </c>
      <c r="H1201" s="2">
        <v>0.77976851851851847</v>
      </c>
      <c r="I1201">
        <v>13.25</v>
      </c>
      <c r="J1201">
        <v>26.5</v>
      </c>
      <c r="K1201" t="s">
        <v>59</v>
      </c>
      <c r="L1201" t="s">
        <v>13</v>
      </c>
      <c r="M1201" t="s">
        <v>14</v>
      </c>
      <c r="N1201" t="s">
        <v>15</v>
      </c>
    </row>
    <row r="1202" spans="1:14" x14ac:dyDescent="0.25">
      <c r="A1202">
        <v>8797</v>
      </c>
      <c r="B1202">
        <v>3859</v>
      </c>
      <c r="C1202">
        <f>1/COUNTIF(B:B,pizza_sales[[#This Row],[order_id]])</f>
        <v>1</v>
      </c>
      <c r="D1202" t="s">
        <v>51</v>
      </c>
      <c r="E1202">
        <v>1</v>
      </c>
      <c r="F1202" s="1">
        <v>42158</v>
      </c>
      <c r="G1202" s="1" t="str">
        <f>TEXT(pizza_sales[[#This Row],[order_date]],"dddd")</f>
        <v>Wednesday</v>
      </c>
      <c r="H1202" s="2">
        <v>0.78353009259259254</v>
      </c>
      <c r="I1202">
        <v>23.65</v>
      </c>
      <c r="J1202">
        <v>23.65</v>
      </c>
      <c r="K1202" t="s">
        <v>60</v>
      </c>
      <c r="L1202" t="s">
        <v>35</v>
      </c>
      <c r="M1202" t="s">
        <v>52</v>
      </c>
      <c r="N1202" t="s">
        <v>53</v>
      </c>
    </row>
    <row r="1203" spans="1:14" x14ac:dyDescent="0.25">
      <c r="A1203">
        <v>8809</v>
      </c>
      <c r="B1203">
        <v>3863</v>
      </c>
      <c r="C1203">
        <f>1/COUNTIF(B:B,pizza_sales[[#This Row],[order_id]])</f>
        <v>1</v>
      </c>
      <c r="D1203" t="s">
        <v>25</v>
      </c>
      <c r="E1203">
        <v>1</v>
      </c>
      <c r="F1203" s="1">
        <v>42158</v>
      </c>
      <c r="G1203" s="1" t="str">
        <f>TEXT(pizza_sales[[#This Row],[order_date]],"dddd")</f>
        <v>Wednesday</v>
      </c>
      <c r="H1203" s="2">
        <v>0.82681712962962961</v>
      </c>
      <c r="I1203">
        <v>15.25</v>
      </c>
      <c r="J1203">
        <v>15.25</v>
      </c>
      <c r="K1203" t="s">
        <v>58</v>
      </c>
      <c r="L1203" t="s">
        <v>13</v>
      </c>
      <c r="M1203" t="s">
        <v>26</v>
      </c>
      <c r="N1203" t="s">
        <v>27</v>
      </c>
    </row>
    <row r="1204" spans="1:14" x14ac:dyDescent="0.25">
      <c r="A1204">
        <v>8810</v>
      </c>
      <c r="B1204">
        <v>3864</v>
      </c>
      <c r="C1204">
        <f>1/COUNTIF(B:B,pizza_sales[[#This Row],[order_id]])</f>
        <v>1</v>
      </c>
      <c r="D1204" t="s">
        <v>42</v>
      </c>
      <c r="E1204">
        <v>1</v>
      </c>
      <c r="F1204" s="1">
        <v>42158</v>
      </c>
      <c r="G1204" s="1" t="str">
        <f>TEXT(pizza_sales[[#This Row],[order_date]],"dddd")</f>
        <v>Wednesday</v>
      </c>
      <c r="H1204" s="2">
        <v>0.83142361111111107</v>
      </c>
      <c r="I1204">
        <v>12.5</v>
      </c>
      <c r="J1204">
        <v>12.5</v>
      </c>
      <c r="K1204" t="s">
        <v>59</v>
      </c>
      <c r="L1204" t="s">
        <v>13</v>
      </c>
      <c r="M1204" t="s">
        <v>26</v>
      </c>
      <c r="N1204" t="s">
        <v>27</v>
      </c>
    </row>
    <row r="1205" spans="1:14" x14ac:dyDescent="0.25">
      <c r="A1205">
        <v>8813</v>
      </c>
      <c r="B1205">
        <v>3865</v>
      </c>
      <c r="C1205">
        <f>1/COUNTIF(B:B,pizza_sales[[#This Row],[order_id]])</f>
        <v>1</v>
      </c>
      <c r="D1205" t="s">
        <v>45</v>
      </c>
      <c r="E1205">
        <v>1</v>
      </c>
      <c r="F1205" s="1">
        <v>42158</v>
      </c>
      <c r="G1205" s="1" t="str">
        <f>TEXT(pizza_sales[[#This Row],[order_date]],"dddd")</f>
        <v>Wednesday</v>
      </c>
      <c r="H1205" s="2">
        <v>0.83250000000000002</v>
      </c>
      <c r="I1205">
        <v>10.5</v>
      </c>
      <c r="J1205">
        <v>10.5</v>
      </c>
      <c r="K1205" t="s">
        <v>60</v>
      </c>
      <c r="L1205" t="s">
        <v>13</v>
      </c>
      <c r="M1205" t="s">
        <v>14</v>
      </c>
      <c r="N1205" t="s">
        <v>15</v>
      </c>
    </row>
    <row r="1206" spans="1:14" x14ac:dyDescent="0.25">
      <c r="A1206">
        <v>8821</v>
      </c>
      <c r="B1206">
        <v>3867</v>
      </c>
      <c r="C1206">
        <f>1/COUNTIF(B:B,pizza_sales[[#This Row],[order_id]])</f>
        <v>1</v>
      </c>
      <c r="D1206" t="s">
        <v>50</v>
      </c>
      <c r="E1206">
        <v>1</v>
      </c>
      <c r="F1206" s="1">
        <v>42158</v>
      </c>
      <c r="G1206" s="1" t="str">
        <f>TEXT(pizza_sales[[#This Row],[order_date]],"dddd")</f>
        <v>Wednesday</v>
      </c>
      <c r="H1206" s="2">
        <v>0.8404166666666667</v>
      </c>
      <c r="I1206">
        <v>16</v>
      </c>
      <c r="J1206">
        <v>16</v>
      </c>
      <c r="K1206" t="s">
        <v>59</v>
      </c>
      <c r="L1206" t="s">
        <v>13</v>
      </c>
      <c r="M1206" t="s">
        <v>32</v>
      </c>
      <c r="N1206" t="s">
        <v>33</v>
      </c>
    </row>
    <row r="1207" spans="1:14" x14ac:dyDescent="0.25">
      <c r="A1207">
        <v>8828</v>
      </c>
      <c r="B1207">
        <v>3870</v>
      </c>
      <c r="C1207">
        <f>1/COUNTIF(B:B,pizza_sales[[#This Row],[order_id]])</f>
        <v>1</v>
      </c>
      <c r="D1207" t="s">
        <v>43</v>
      </c>
      <c r="E1207">
        <v>1</v>
      </c>
      <c r="F1207" s="1">
        <v>42158</v>
      </c>
      <c r="G1207" s="1" t="str">
        <f>TEXT(pizza_sales[[#This Row],[order_date]],"dddd")</f>
        <v>Wednesday</v>
      </c>
      <c r="H1207" s="2">
        <v>0.85744212962962962</v>
      </c>
      <c r="I1207">
        <v>16.25</v>
      </c>
      <c r="J1207">
        <v>16.25</v>
      </c>
      <c r="K1207" t="s">
        <v>59</v>
      </c>
      <c r="L1207" t="s">
        <v>35</v>
      </c>
      <c r="M1207" t="s">
        <v>40</v>
      </c>
      <c r="N1207" t="s">
        <v>41</v>
      </c>
    </row>
    <row r="1208" spans="1:14" x14ac:dyDescent="0.25">
      <c r="A1208">
        <v>8831</v>
      </c>
      <c r="B1208">
        <v>3871</v>
      </c>
      <c r="C1208">
        <f>1/COUNTIF(B:B,pizza_sales[[#This Row],[order_id]])</f>
        <v>0.5</v>
      </c>
      <c r="D1208" t="s">
        <v>44</v>
      </c>
      <c r="E1208">
        <v>1</v>
      </c>
      <c r="F1208" s="1">
        <v>42158</v>
      </c>
      <c r="G1208" s="1" t="str">
        <f>TEXT(pizza_sales[[#This Row],[order_date]],"dddd")</f>
        <v>Wednesday</v>
      </c>
      <c r="H1208" s="2">
        <v>0.8834143518518518</v>
      </c>
      <c r="I1208">
        <v>9.75</v>
      </c>
      <c r="J1208">
        <v>9.75</v>
      </c>
      <c r="K1208" t="s">
        <v>60</v>
      </c>
      <c r="L1208" t="s">
        <v>13</v>
      </c>
      <c r="M1208" t="s">
        <v>26</v>
      </c>
      <c r="N1208" t="s">
        <v>27</v>
      </c>
    </row>
    <row r="1209" spans="1:14" x14ac:dyDescent="0.25">
      <c r="A1209">
        <v>8832</v>
      </c>
      <c r="B1209">
        <v>3871</v>
      </c>
      <c r="C1209">
        <f>1/COUNTIF(B:B,pizza_sales[[#This Row],[order_id]])</f>
        <v>0.5</v>
      </c>
      <c r="D1209" t="s">
        <v>49</v>
      </c>
      <c r="E1209">
        <v>1</v>
      </c>
      <c r="F1209" s="1">
        <v>42158</v>
      </c>
      <c r="G1209" s="1" t="str">
        <f>TEXT(pizza_sales[[#This Row],[order_date]],"dddd")</f>
        <v>Wednesday</v>
      </c>
      <c r="H1209" s="2">
        <v>0.8834143518518518</v>
      </c>
      <c r="I1209">
        <v>16</v>
      </c>
      <c r="J1209">
        <v>16</v>
      </c>
      <c r="K1209" t="s">
        <v>59</v>
      </c>
      <c r="L1209" t="s">
        <v>13</v>
      </c>
      <c r="M1209" t="s">
        <v>21</v>
      </c>
      <c r="N1209" t="s">
        <v>22</v>
      </c>
    </row>
    <row r="1210" spans="1:14" x14ac:dyDescent="0.25">
      <c r="A1210">
        <v>8833</v>
      </c>
      <c r="B1210">
        <v>3872</v>
      </c>
      <c r="C1210">
        <f>1/COUNTIF(B:B,pizza_sales[[#This Row],[order_id]])</f>
        <v>1</v>
      </c>
      <c r="D1210" t="s">
        <v>28</v>
      </c>
      <c r="E1210">
        <v>1</v>
      </c>
      <c r="F1210" s="1">
        <v>42158</v>
      </c>
      <c r="G1210" s="1" t="str">
        <f>TEXT(pizza_sales[[#This Row],[order_date]],"dddd")</f>
        <v>Wednesday</v>
      </c>
      <c r="H1210" s="2">
        <v>0.88807870370370368</v>
      </c>
      <c r="I1210">
        <v>12</v>
      </c>
      <c r="J1210">
        <v>12</v>
      </c>
      <c r="K1210" t="s">
        <v>60</v>
      </c>
      <c r="L1210" t="s">
        <v>13</v>
      </c>
      <c r="M1210" t="s">
        <v>29</v>
      </c>
      <c r="N1210" t="s">
        <v>30</v>
      </c>
    </row>
    <row r="1211" spans="1:14" x14ac:dyDescent="0.25">
      <c r="A1211">
        <v>8840</v>
      </c>
      <c r="B1211">
        <v>3875</v>
      </c>
      <c r="C1211">
        <f>1/COUNTIF(B:B,pizza_sales[[#This Row],[order_id]])</f>
        <v>0.5</v>
      </c>
      <c r="D1211" t="s">
        <v>28</v>
      </c>
      <c r="E1211">
        <v>1</v>
      </c>
      <c r="F1211" s="1">
        <v>42158</v>
      </c>
      <c r="G1211" s="1" t="str">
        <f>TEXT(pizza_sales[[#This Row],[order_date]],"dddd")</f>
        <v>Wednesday</v>
      </c>
      <c r="H1211" s="2">
        <v>0.89475694444444442</v>
      </c>
      <c r="I1211">
        <v>12</v>
      </c>
      <c r="J1211">
        <v>12</v>
      </c>
      <c r="K1211" t="s">
        <v>60</v>
      </c>
      <c r="L1211" t="s">
        <v>13</v>
      </c>
      <c r="M1211" t="s">
        <v>29</v>
      </c>
      <c r="N1211" t="s">
        <v>30</v>
      </c>
    </row>
    <row r="1212" spans="1:14" x14ac:dyDescent="0.25">
      <c r="A1212">
        <v>8841</v>
      </c>
      <c r="B1212">
        <v>3875</v>
      </c>
      <c r="C1212">
        <f>1/COUNTIF(B:B,pizza_sales[[#This Row],[order_id]])</f>
        <v>0.5</v>
      </c>
      <c r="D1212" t="s">
        <v>46</v>
      </c>
      <c r="E1212">
        <v>1</v>
      </c>
      <c r="F1212" s="1">
        <v>42158</v>
      </c>
      <c r="G1212" s="1" t="str">
        <f>TEXT(pizza_sales[[#This Row],[order_date]],"dddd")</f>
        <v>Wednesday</v>
      </c>
      <c r="H1212" s="2">
        <v>0.89475694444444442</v>
      </c>
      <c r="I1212">
        <v>25.5</v>
      </c>
      <c r="J1212">
        <v>25.5</v>
      </c>
      <c r="K1212" t="s">
        <v>61</v>
      </c>
      <c r="L1212" t="s">
        <v>13</v>
      </c>
      <c r="M1212" t="s">
        <v>21</v>
      </c>
      <c r="N1212" t="s">
        <v>22</v>
      </c>
    </row>
    <row r="1213" spans="1:14" x14ac:dyDescent="0.25">
      <c r="A1213">
        <v>8843</v>
      </c>
      <c r="B1213">
        <v>3877</v>
      </c>
      <c r="C1213">
        <f>1/COUNTIF(B:B,pizza_sales[[#This Row],[order_id]])</f>
        <v>1</v>
      </c>
      <c r="D1213" t="s">
        <v>51</v>
      </c>
      <c r="E1213">
        <v>1</v>
      </c>
      <c r="F1213" s="1">
        <v>42158</v>
      </c>
      <c r="G1213" s="1" t="str">
        <f>TEXT(pizza_sales[[#This Row],[order_date]],"dddd")</f>
        <v>Wednesday</v>
      </c>
      <c r="H1213" s="2">
        <v>0.92637731481481478</v>
      </c>
      <c r="I1213">
        <v>23.65</v>
      </c>
      <c r="J1213">
        <v>23.65</v>
      </c>
      <c r="K1213" t="s">
        <v>60</v>
      </c>
      <c r="L1213" t="s">
        <v>35</v>
      </c>
      <c r="M1213" t="s">
        <v>52</v>
      </c>
      <c r="N1213" t="s">
        <v>53</v>
      </c>
    </row>
    <row r="1214" spans="1:14" x14ac:dyDescent="0.25">
      <c r="A1214">
        <v>8846</v>
      </c>
      <c r="B1214">
        <v>3878</v>
      </c>
      <c r="C1214">
        <f>1/COUNTIF(B:B,pizza_sales[[#This Row],[order_id]])</f>
        <v>1</v>
      </c>
      <c r="D1214" t="s">
        <v>45</v>
      </c>
      <c r="E1214">
        <v>1</v>
      </c>
      <c r="F1214" s="1">
        <v>42158</v>
      </c>
      <c r="G1214" s="1" t="str">
        <f>TEXT(pizza_sales[[#This Row],[order_date]],"dddd")</f>
        <v>Wednesday</v>
      </c>
      <c r="H1214" s="2">
        <v>0.93270833333333336</v>
      </c>
      <c r="I1214">
        <v>10.5</v>
      </c>
      <c r="J1214">
        <v>10.5</v>
      </c>
      <c r="K1214" t="s">
        <v>60</v>
      </c>
      <c r="L1214" t="s">
        <v>13</v>
      </c>
      <c r="M1214" t="s">
        <v>14</v>
      </c>
      <c r="N1214" t="s">
        <v>15</v>
      </c>
    </row>
    <row r="1215" spans="1:14" x14ac:dyDescent="0.25">
      <c r="A1215">
        <v>8850</v>
      </c>
      <c r="B1215">
        <v>3880</v>
      </c>
      <c r="C1215">
        <f>1/COUNTIF(B:B,pizza_sales[[#This Row],[order_id]])</f>
        <v>1</v>
      </c>
      <c r="D1215" t="s">
        <v>42</v>
      </c>
      <c r="E1215">
        <v>1</v>
      </c>
      <c r="F1215" s="1">
        <v>42188</v>
      </c>
      <c r="G1215" s="1" t="str">
        <f>TEXT(pizza_sales[[#This Row],[order_date]],"dddd")</f>
        <v>Friday</v>
      </c>
      <c r="H1215" s="2">
        <v>0.48481481481481481</v>
      </c>
      <c r="I1215">
        <v>12.5</v>
      </c>
      <c r="J1215">
        <v>12.5</v>
      </c>
      <c r="K1215" t="s">
        <v>59</v>
      </c>
      <c r="L1215" t="s">
        <v>13</v>
      </c>
      <c r="M1215" t="s">
        <v>26</v>
      </c>
      <c r="N1215" t="s">
        <v>27</v>
      </c>
    </row>
    <row r="1216" spans="1:14" x14ac:dyDescent="0.25">
      <c r="A1216">
        <v>8852</v>
      </c>
      <c r="B1216">
        <v>3881</v>
      </c>
      <c r="C1216">
        <f>1/COUNTIF(B:B,pizza_sales[[#This Row],[order_id]])</f>
        <v>1</v>
      </c>
      <c r="D1216" t="s">
        <v>48</v>
      </c>
      <c r="E1216">
        <v>2</v>
      </c>
      <c r="F1216" s="1">
        <v>42188</v>
      </c>
      <c r="G1216" s="1" t="str">
        <f>TEXT(pizza_sales[[#This Row],[order_date]],"dddd")</f>
        <v>Friday</v>
      </c>
      <c r="H1216" s="2">
        <v>0.49048611111111112</v>
      </c>
      <c r="I1216">
        <v>12.25</v>
      </c>
      <c r="J1216">
        <v>24.5</v>
      </c>
      <c r="K1216" t="s">
        <v>60</v>
      </c>
      <c r="L1216" t="s">
        <v>35</v>
      </c>
      <c r="M1216" t="s">
        <v>40</v>
      </c>
      <c r="N1216" t="s">
        <v>41</v>
      </c>
    </row>
    <row r="1217" spans="1:14" x14ac:dyDescent="0.25">
      <c r="A1217">
        <v>8853</v>
      </c>
      <c r="B1217">
        <v>3882</v>
      </c>
      <c r="C1217">
        <f>1/COUNTIF(B:B,pizza_sales[[#This Row],[order_id]])</f>
        <v>1</v>
      </c>
      <c r="D1217" t="s">
        <v>28</v>
      </c>
      <c r="E1217">
        <v>1</v>
      </c>
      <c r="F1217" s="1">
        <v>42188</v>
      </c>
      <c r="G1217" s="1" t="str">
        <f>TEXT(pizza_sales[[#This Row],[order_date]],"dddd")</f>
        <v>Friday</v>
      </c>
      <c r="H1217" s="2">
        <v>0.49151620370370369</v>
      </c>
      <c r="I1217">
        <v>12</v>
      </c>
      <c r="J1217">
        <v>12</v>
      </c>
      <c r="K1217" t="s">
        <v>60</v>
      </c>
      <c r="L1217" t="s">
        <v>13</v>
      </c>
      <c r="M1217" t="s">
        <v>29</v>
      </c>
      <c r="N1217" t="s">
        <v>30</v>
      </c>
    </row>
    <row r="1218" spans="1:14" x14ac:dyDescent="0.25">
      <c r="A1218">
        <v>8855</v>
      </c>
      <c r="B1218">
        <v>3884</v>
      </c>
      <c r="C1218">
        <f>1/COUNTIF(B:B,pizza_sales[[#This Row],[order_id]])</f>
        <v>0.5</v>
      </c>
      <c r="D1218" t="s">
        <v>12</v>
      </c>
      <c r="E1218">
        <v>1</v>
      </c>
      <c r="F1218" s="1">
        <v>42188</v>
      </c>
      <c r="G1218" s="1" t="str">
        <f>TEXT(pizza_sales[[#This Row],[order_date]],"dddd")</f>
        <v>Friday</v>
      </c>
      <c r="H1218" s="2">
        <v>0.49486111111111108</v>
      </c>
      <c r="I1218">
        <v>13.25</v>
      </c>
      <c r="J1218">
        <v>13.25</v>
      </c>
      <c r="K1218" t="s">
        <v>59</v>
      </c>
      <c r="L1218" t="s">
        <v>13</v>
      </c>
      <c r="M1218" t="s">
        <v>14</v>
      </c>
      <c r="N1218" t="s">
        <v>15</v>
      </c>
    </row>
    <row r="1219" spans="1:14" x14ac:dyDescent="0.25">
      <c r="A1219">
        <v>8856</v>
      </c>
      <c r="B1219">
        <v>3884</v>
      </c>
      <c r="C1219">
        <f>1/COUNTIF(B:B,pizza_sales[[#This Row],[order_id]])</f>
        <v>0.5</v>
      </c>
      <c r="D1219" t="s">
        <v>24</v>
      </c>
      <c r="E1219">
        <v>1</v>
      </c>
      <c r="F1219" s="1">
        <v>42188</v>
      </c>
      <c r="G1219" s="1" t="str">
        <f>TEXT(pizza_sales[[#This Row],[order_date]],"dddd")</f>
        <v>Friday</v>
      </c>
      <c r="H1219" s="2">
        <v>0.49486111111111108</v>
      </c>
      <c r="I1219">
        <v>20.25</v>
      </c>
      <c r="J1219">
        <v>20.25</v>
      </c>
      <c r="K1219" t="s">
        <v>58</v>
      </c>
      <c r="L1219" t="s">
        <v>17</v>
      </c>
      <c r="M1219" t="s">
        <v>18</v>
      </c>
      <c r="N1219" t="s">
        <v>19</v>
      </c>
    </row>
    <row r="1220" spans="1:14" x14ac:dyDescent="0.25">
      <c r="A1220">
        <v>8860</v>
      </c>
      <c r="B1220">
        <v>3886</v>
      </c>
      <c r="C1220">
        <f>1/COUNTIF(B:B,pizza_sales[[#This Row],[order_id]])</f>
        <v>0.5</v>
      </c>
      <c r="D1220" t="s">
        <v>34</v>
      </c>
      <c r="E1220">
        <v>1</v>
      </c>
      <c r="F1220" s="1">
        <v>42188</v>
      </c>
      <c r="G1220" s="1" t="str">
        <f>TEXT(pizza_sales[[#This Row],[order_date]],"dddd")</f>
        <v>Friday</v>
      </c>
      <c r="H1220" s="2">
        <v>0.51620370370370372</v>
      </c>
      <c r="I1220">
        <v>16.25</v>
      </c>
      <c r="J1220">
        <v>16.25</v>
      </c>
      <c r="K1220" t="s">
        <v>59</v>
      </c>
      <c r="L1220" t="s">
        <v>35</v>
      </c>
      <c r="M1220" t="s">
        <v>36</v>
      </c>
      <c r="N1220" t="s">
        <v>37</v>
      </c>
    </row>
    <row r="1221" spans="1:14" x14ac:dyDescent="0.25">
      <c r="A1221">
        <v>8863</v>
      </c>
      <c r="B1221">
        <v>3886</v>
      </c>
      <c r="C1221">
        <f>1/COUNTIF(B:B,pizza_sales[[#This Row],[order_id]])</f>
        <v>0.5</v>
      </c>
      <c r="D1221" t="s">
        <v>31</v>
      </c>
      <c r="E1221">
        <v>1</v>
      </c>
      <c r="F1221" s="1">
        <v>42188</v>
      </c>
      <c r="G1221" s="1" t="str">
        <f>TEXT(pizza_sales[[#This Row],[order_date]],"dddd")</f>
        <v>Friday</v>
      </c>
      <c r="H1221" s="2">
        <v>0.51620370370370372</v>
      </c>
      <c r="I1221">
        <v>12</v>
      </c>
      <c r="J1221">
        <v>12</v>
      </c>
      <c r="K1221" t="s">
        <v>60</v>
      </c>
      <c r="L1221" t="s">
        <v>13</v>
      </c>
      <c r="M1221" t="s">
        <v>32</v>
      </c>
      <c r="N1221" t="s">
        <v>33</v>
      </c>
    </row>
    <row r="1222" spans="1:14" x14ac:dyDescent="0.25">
      <c r="A1222">
        <v>8875</v>
      </c>
      <c r="B1222">
        <v>3888</v>
      </c>
      <c r="C1222">
        <f>1/COUNTIF(B:B,pizza_sales[[#This Row],[order_id]])</f>
        <v>1</v>
      </c>
      <c r="D1222" t="s">
        <v>43</v>
      </c>
      <c r="E1222">
        <v>1</v>
      </c>
      <c r="F1222" s="1">
        <v>42188</v>
      </c>
      <c r="G1222" s="1" t="str">
        <f>TEXT(pizza_sales[[#This Row],[order_date]],"dddd")</f>
        <v>Friday</v>
      </c>
      <c r="H1222" s="2">
        <v>0.53623842592592597</v>
      </c>
      <c r="I1222">
        <v>16.25</v>
      </c>
      <c r="J1222">
        <v>16.25</v>
      </c>
      <c r="K1222" t="s">
        <v>59</v>
      </c>
      <c r="L1222" t="s">
        <v>35</v>
      </c>
      <c r="M1222" t="s">
        <v>40</v>
      </c>
      <c r="N1222" t="s">
        <v>41</v>
      </c>
    </row>
    <row r="1223" spans="1:14" x14ac:dyDescent="0.25">
      <c r="A1223">
        <v>8878</v>
      </c>
      <c r="B1223">
        <v>3891</v>
      </c>
      <c r="C1223">
        <f>1/COUNTIF(B:B,pizza_sales[[#This Row],[order_id]])</f>
        <v>1</v>
      </c>
      <c r="D1223" t="s">
        <v>28</v>
      </c>
      <c r="E1223">
        <v>1</v>
      </c>
      <c r="F1223" s="1">
        <v>42188</v>
      </c>
      <c r="G1223" s="1" t="str">
        <f>TEXT(pizza_sales[[#This Row],[order_date]],"dddd")</f>
        <v>Friday</v>
      </c>
      <c r="H1223" s="2">
        <v>0.61290509259259263</v>
      </c>
      <c r="I1223">
        <v>12</v>
      </c>
      <c r="J1223">
        <v>12</v>
      </c>
      <c r="K1223" t="s">
        <v>60</v>
      </c>
      <c r="L1223" t="s">
        <v>13</v>
      </c>
      <c r="M1223" t="s">
        <v>29</v>
      </c>
      <c r="N1223" t="s">
        <v>30</v>
      </c>
    </row>
    <row r="1224" spans="1:14" x14ac:dyDescent="0.25">
      <c r="A1224">
        <v>8887</v>
      </c>
      <c r="B1224">
        <v>3895</v>
      </c>
      <c r="C1224">
        <f>1/COUNTIF(B:B,pizza_sales[[#This Row],[order_id]])</f>
        <v>0.33333333333333331</v>
      </c>
      <c r="D1224" t="s">
        <v>28</v>
      </c>
      <c r="E1224">
        <v>1</v>
      </c>
      <c r="F1224" s="1">
        <v>42188</v>
      </c>
      <c r="G1224" s="1" t="str">
        <f>TEXT(pizza_sales[[#This Row],[order_date]],"dddd")</f>
        <v>Friday</v>
      </c>
      <c r="H1224" s="2">
        <v>0.67232638888888885</v>
      </c>
      <c r="I1224">
        <v>12</v>
      </c>
      <c r="J1224">
        <v>12</v>
      </c>
      <c r="K1224" t="s">
        <v>60</v>
      </c>
      <c r="L1224" t="s">
        <v>13</v>
      </c>
      <c r="M1224" t="s">
        <v>29</v>
      </c>
      <c r="N1224" t="s">
        <v>30</v>
      </c>
    </row>
    <row r="1225" spans="1:14" x14ac:dyDescent="0.25">
      <c r="A1225">
        <v>8888</v>
      </c>
      <c r="B1225">
        <v>3895</v>
      </c>
      <c r="C1225">
        <f>1/COUNTIF(B:B,pizza_sales[[#This Row],[order_id]])</f>
        <v>0.33333333333333331</v>
      </c>
      <c r="D1225" t="s">
        <v>47</v>
      </c>
      <c r="E1225">
        <v>1</v>
      </c>
      <c r="F1225" s="1">
        <v>42188</v>
      </c>
      <c r="G1225" s="1" t="str">
        <f>TEXT(pizza_sales[[#This Row],[order_date]],"dddd")</f>
        <v>Friday</v>
      </c>
      <c r="H1225" s="2">
        <v>0.67232638888888885</v>
      </c>
      <c r="I1225">
        <v>16.5</v>
      </c>
      <c r="J1225">
        <v>16.5</v>
      </c>
      <c r="K1225" t="s">
        <v>58</v>
      </c>
      <c r="L1225" t="s">
        <v>13</v>
      </c>
      <c r="M1225" t="s">
        <v>14</v>
      </c>
      <c r="N1225" t="s">
        <v>15</v>
      </c>
    </row>
    <row r="1226" spans="1:14" x14ac:dyDescent="0.25">
      <c r="A1226">
        <v>8889</v>
      </c>
      <c r="B1226">
        <v>3895</v>
      </c>
      <c r="C1226">
        <f>1/COUNTIF(B:B,pizza_sales[[#This Row],[order_id]])</f>
        <v>0.33333333333333331</v>
      </c>
      <c r="D1226" t="s">
        <v>24</v>
      </c>
      <c r="E1226">
        <v>1</v>
      </c>
      <c r="F1226" s="1">
        <v>42188</v>
      </c>
      <c r="G1226" s="1" t="str">
        <f>TEXT(pizza_sales[[#This Row],[order_date]],"dddd")</f>
        <v>Friday</v>
      </c>
      <c r="H1226" s="2">
        <v>0.67232638888888885</v>
      </c>
      <c r="I1226">
        <v>20.25</v>
      </c>
      <c r="J1226">
        <v>20.25</v>
      </c>
      <c r="K1226" t="s">
        <v>58</v>
      </c>
      <c r="L1226" t="s">
        <v>17</v>
      </c>
      <c r="M1226" t="s">
        <v>18</v>
      </c>
      <c r="N1226" t="s">
        <v>19</v>
      </c>
    </row>
    <row r="1227" spans="1:14" x14ac:dyDescent="0.25">
      <c r="A1227">
        <v>8896</v>
      </c>
      <c r="B1227">
        <v>3899</v>
      </c>
      <c r="C1227">
        <f>1/COUNTIF(B:B,pizza_sales[[#This Row],[order_id]])</f>
        <v>1</v>
      </c>
      <c r="D1227" t="s">
        <v>31</v>
      </c>
      <c r="E1227">
        <v>1</v>
      </c>
      <c r="F1227" s="1">
        <v>42188</v>
      </c>
      <c r="G1227" s="1" t="str">
        <f>TEXT(pizza_sales[[#This Row],[order_date]],"dddd")</f>
        <v>Friday</v>
      </c>
      <c r="H1227" s="2">
        <v>0.68131944444444448</v>
      </c>
      <c r="I1227">
        <v>12</v>
      </c>
      <c r="J1227">
        <v>12</v>
      </c>
      <c r="K1227" t="s">
        <v>60</v>
      </c>
      <c r="L1227" t="s">
        <v>13</v>
      </c>
      <c r="M1227" t="s">
        <v>32</v>
      </c>
      <c r="N1227" t="s">
        <v>33</v>
      </c>
    </row>
    <row r="1228" spans="1:14" x14ac:dyDescent="0.25">
      <c r="A1228">
        <v>8905</v>
      </c>
      <c r="B1228">
        <v>3901</v>
      </c>
      <c r="C1228">
        <f>1/COUNTIF(B:B,pizza_sales[[#This Row],[order_id]])</f>
        <v>0.5</v>
      </c>
      <c r="D1228" t="s">
        <v>24</v>
      </c>
      <c r="E1228">
        <v>1</v>
      </c>
      <c r="F1228" s="1">
        <v>42188</v>
      </c>
      <c r="G1228" s="1" t="str">
        <f>TEXT(pizza_sales[[#This Row],[order_date]],"dddd")</f>
        <v>Friday</v>
      </c>
      <c r="H1228" s="2">
        <v>0.69096064814814817</v>
      </c>
      <c r="I1228">
        <v>20.25</v>
      </c>
      <c r="J1228">
        <v>20.25</v>
      </c>
      <c r="K1228" t="s">
        <v>58</v>
      </c>
      <c r="L1228" t="s">
        <v>17</v>
      </c>
      <c r="M1228" t="s">
        <v>18</v>
      </c>
      <c r="N1228" t="s">
        <v>19</v>
      </c>
    </row>
    <row r="1229" spans="1:14" x14ac:dyDescent="0.25">
      <c r="A1229">
        <v>8906</v>
      </c>
      <c r="B1229">
        <v>3901</v>
      </c>
      <c r="C1229">
        <f>1/COUNTIF(B:B,pizza_sales[[#This Row],[order_id]])</f>
        <v>0.5</v>
      </c>
      <c r="D1229" t="s">
        <v>48</v>
      </c>
      <c r="E1229">
        <v>1</v>
      </c>
      <c r="F1229" s="1">
        <v>42188</v>
      </c>
      <c r="G1229" s="1" t="str">
        <f>TEXT(pizza_sales[[#This Row],[order_date]],"dddd")</f>
        <v>Friday</v>
      </c>
      <c r="H1229" s="2">
        <v>0.69096064814814817</v>
      </c>
      <c r="I1229">
        <v>12.25</v>
      </c>
      <c r="J1229">
        <v>12.25</v>
      </c>
      <c r="K1229" t="s">
        <v>60</v>
      </c>
      <c r="L1229" t="s">
        <v>35</v>
      </c>
      <c r="M1229" t="s">
        <v>40</v>
      </c>
      <c r="N1229" t="s">
        <v>41</v>
      </c>
    </row>
    <row r="1230" spans="1:14" x14ac:dyDescent="0.25">
      <c r="A1230">
        <v>8907</v>
      </c>
      <c r="B1230">
        <v>3902</v>
      </c>
      <c r="C1230">
        <f>1/COUNTIF(B:B,pizza_sales[[#This Row],[order_id]])</f>
        <v>1</v>
      </c>
      <c r="D1230" t="s">
        <v>56</v>
      </c>
      <c r="E1230">
        <v>1</v>
      </c>
      <c r="F1230" s="1">
        <v>42188</v>
      </c>
      <c r="G1230" s="1" t="str">
        <f>TEXT(pizza_sales[[#This Row],[order_date]],"dddd")</f>
        <v>Friday</v>
      </c>
      <c r="H1230" s="2">
        <v>0.70915509259259257</v>
      </c>
      <c r="I1230">
        <v>20.25</v>
      </c>
      <c r="J1230">
        <v>20.25</v>
      </c>
      <c r="K1230" t="s">
        <v>58</v>
      </c>
      <c r="L1230" t="s">
        <v>35</v>
      </c>
      <c r="M1230" t="s">
        <v>36</v>
      </c>
      <c r="N1230" t="s">
        <v>37</v>
      </c>
    </row>
    <row r="1231" spans="1:14" x14ac:dyDescent="0.25">
      <c r="A1231">
        <v>8913</v>
      </c>
      <c r="B1231">
        <v>3905</v>
      </c>
      <c r="C1231">
        <f>1/COUNTIF(B:B,pizza_sales[[#This Row],[order_id]])</f>
        <v>1</v>
      </c>
      <c r="D1231" t="s">
        <v>47</v>
      </c>
      <c r="E1231">
        <v>1</v>
      </c>
      <c r="F1231" s="1">
        <v>42188</v>
      </c>
      <c r="G1231" s="1" t="str">
        <f>TEXT(pizza_sales[[#This Row],[order_date]],"dddd")</f>
        <v>Friday</v>
      </c>
      <c r="H1231" s="2">
        <v>0.73587962962962961</v>
      </c>
      <c r="I1231">
        <v>16.5</v>
      </c>
      <c r="J1231">
        <v>16.5</v>
      </c>
      <c r="K1231" t="s">
        <v>58</v>
      </c>
      <c r="L1231" t="s">
        <v>13</v>
      </c>
      <c r="M1231" t="s">
        <v>14</v>
      </c>
      <c r="N1231" t="s">
        <v>15</v>
      </c>
    </row>
    <row r="1232" spans="1:14" x14ac:dyDescent="0.25">
      <c r="A1232">
        <v>8915</v>
      </c>
      <c r="B1232">
        <v>3906</v>
      </c>
      <c r="C1232">
        <f>1/COUNTIF(B:B,pizza_sales[[#This Row],[order_id]])</f>
        <v>1</v>
      </c>
      <c r="D1232" t="s">
        <v>46</v>
      </c>
      <c r="E1232">
        <v>1</v>
      </c>
      <c r="F1232" s="1">
        <v>42188</v>
      </c>
      <c r="G1232" s="1" t="str">
        <f>TEXT(pizza_sales[[#This Row],[order_date]],"dddd")</f>
        <v>Friday</v>
      </c>
      <c r="H1232" s="2">
        <v>0.73753472222222227</v>
      </c>
      <c r="I1232">
        <v>25.5</v>
      </c>
      <c r="J1232">
        <v>25.5</v>
      </c>
      <c r="K1232" t="s">
        <v>61</v>
      </c>
      <c r="L1232" t="s">
        <v>13</v>
      </c>
      <c r="M1232" t="s">
        <v>21</v>
      </c>
      <c r="N1232" t="s">
        <v>22</v>
      </c>
    </row>
    <row r="1233" spans="1:14" x14ac:dyDescent="0.25">
      <c r="A1233">
        <v>8916</v>
      </c>
      <c r="B1233">
        <v>3907</v>
      </c>
      <c r="C1233">
        <f>1/COUNTIF(B:B,pizza_sales[[#This Row],[order_id]])</f>
        <v>1</v>
      </c>
      <c r="D1233" t="s">
        <v>28</v>
      </c>
      <c r="E1233">
        <v>1</v>
      </c>
      <c r="F1233" s="1">
        <v>42188</v>
      </c>
      <c r="G1233" s="1" t="str">
        <f>TEXT(pizza_sales[[#This Row],[order_date]],"dddd")</f>
        <v>Friday</v>
      </c>
      <c r="H1233" s="2">
        <v>0.75467592592592592</v>
      </c>
      <c r="I1233">
        <v>12</v>
      </c>
      <c r="J1233">
        <v>12</v>
      </c>
      <c r="K1233" t="s">
        <v>60</v>
      </c>
      <c r="L1233" t="s">
        <v>13</v>
      </c>
      <c r="M1233" t="s">
        <v>29</v>
      </c>
      <c r="N1233" t="s">
        <v>30</v>
      </c>
    </row>
    <row r="1234" spans="1:14" x14ac:dyDescent="0.25">
      <c r="A1234">
        <v>8924</v>
      </c>
      <c r="B1234">
        <v>3911</v>
      </c>
      <c r="C1234">
        <f>1/COUNTIF(B:B,pizza_sales[[#This Row],[order_id]])</f>
        <v>1</v>
      </c>
      <c r="D1234" t="s">
        <v>48</v>
      </c>
      <c r="E1234">
        <v>1</v>
      </c>
      <c r="F1234" s="1">
        <v>42188</v>
      </c>
      <c r="G1234" s="1" t="str">
        <f>TEXT(pizza_sales[[#This Row],[order_date]],"dddd")</f>
        <v>Friday</v>
      </c>
      <c r="H1234" s="2">
        <v>0.77877314814814813</v>
      </c>
      <c r="I1234">
        <v>12.25</v>
      </c>
      <c r="J1234">
        <v>12.25</v>
      </c>
      <c r="K1234" t="s">
        <v>60</v>
      </c>
      <c r="L1234" t="s">
        <v>35</v>
      </c>
      <c r="M1234" t="s">
        <v>40</v>
      </c>
      <c r="N1234" t="s">
        <v>41</v>
      </c>
    </row>
    <row r="1235" spans="1:14" x14ac:dyDescent="0.25">
      <c r="A1235">
        <v>8928</v>
      </c>
      <c r="B1235">
        <v>3913</v>
      </c>
      <c r="C1235">
        <f>1/COUNTIF(B:B,pizza_sales[[#This Row],[order_id]])</f>
        <v>0.5</v>
      </c>
      <c r="D1235" t="s">
        <v>47</v>
      </c>
      <c r="E1235">
        <v>1</v>
      </c>
      <c r="F1235" s="1">
        <v>42188</v>
      </c>
      <c r="G1235" s="1" t="str">
        <f>TEXT(pizza_sales[[#This Row],[order_date]],"dddd")</f>
        <v>Friday</v>
      </c>
      <c r="H1235" s="2">
        <v>0.78186342592592595</v>
      </c>
      <c r="I1235">
        <v>16.5</v>
      </c>
      <c r="J1235">
        <v>16.5</v>
      </c>
      <c r="K1235" t="s">
        <v>58</v>
      </c>
      <c r="L1235" t="s">
        <v>13</v>
      </c>
      <c r="M1235" t="s">
        <v>14</v>
      </c>
      <c r="N1235" t="s">
        <v>15</v>
      </c>
    </row>
    <row r="1236" spans="1:14" x14ac:dyDescent="0.25">
      <c r="A1236">
        <v>8929</v>
      </c>
      <c r="B1236">
        <v>3913</v>
      </c>
      <c r="C1236">
        <f>1/COUNTIF(B:B,pizza_sales[[#This Row],[order_id]])</f>
        <v>0.5</v>
      </c>
      <c r="D1236" t="s">
        <v>24</v>
      </c>
      <c r="E1236">
        <v>1</v>
      </c>
      <c r="F1236" s="1">
        <v>42188</v>
      </c>
      <c r="G1236" s="1" t="str">
        <f>TEXT(pizza_sales[[#This Row],[order_date]],"dddd")</f>
        <v>Friday</v>
      </c>
      <c r="H1236" s="2">
        <v>0.78186342592592595</v>
      </c>
      <c r="I1236">
        <v>20.25</v>
      </c>
      <c r="J1236">
        <v>20.25</v>
      </c>
      <c r="K1236" t="s">
        <v>58</v>
      </c>
      <c r="L1236" t="s">
        <v>17</v>
      </c>
      <c r="M1236" t="s">
        <v>18</v>
      </c>
      <c r="N1236" t="s">
        <v>19</v>
      </c>
    </row>
    <row r="1237" spans="1:14" x14ac:dyDescent="0.25">
      <c r="A1237">
        <v>8932</v>
      </c>
      <c r="B1237">
        <v>3914</v>
      </c>
      <c r="C1237">
        <f>1/COUNTIF(B:B,pizza_sales[[#This Row],[order_id]])</f>
        <v>1</v>
      </c>
      <c r="D1237" t="s">
        <v>42</v>
      </c>
      <c r="E1237">
        <v>1</v>
      </c>
      <c r="F1237" s="1">
        <v>42188</v>
      </c>
      <c r="G1237" s="1" t="str">
        <f>TEXT(pizza_sales[[#This Row],[order_date]],"dddd")</f>
        <v>Friday</v>
      </c>
      <c r="H1237" s="2">
        <v>0.79771990740740739</v>
      </c>
      <c r="I1237">
        <v>12.5</v>
      </c>
      <c r="J1237">
        <v>12.5</v>
      </c>
      <c r="K1237" t="s">
        <v>59</v>
      </c>
      <c r="L1237" t="s">
        <v>13</v>
      </c>
      <c r="M1237" t="s">
        <v>26</v>
      </c>
      <c r="N1237" t="s">
        <v>27</v>
      </c>
    </row>
    <row r="1238" spans="1:14" x14ac:dyDescent="0.25">
      <c r="A1238">
        <v>8938</v>
      </c>
      <c r="B1238">
        <v>3916</v>
      </c>
      <c r="C1238">
        <f>1/COUNTIF(B:B,pizza_sales[[#This Row],[order_id]])</f>
        <v>1</v>
      </c>
      <c r="D1238" t="s">
        <v>44</v>
      </c>
      <c r="E1238">
        <v>1</v>
      </c>
      <c r="F1238" s="1">
        <v>42188</v>
      </c>
      <c r="G1238" s="1" t="str">
        <f>TEXT(pizza_sales[[#This Row],[order_date]],"dddd")</f>
        <v>Friday</v>
      </c>
      <c r="H1238" s="2">
        <v>0.80623842592592587</v>
      </c>
      <c r="I1238">
        <v>9.75</v>
      </c>
      <c r="J1238">
        <v>9.75</v>
      </c>
      <c r="K1238" t="s">
        <v>60</v>
      </c>
      <c r="L1238" t="s">
        <v>13</v>
      </c>
      <c r="M1238" t="s">
        <v>26</v>
      </c>
      <c r="N1238" t="s">
        <v>27</v>
      </c>
    </row>
    <row r="1239" spans="1:14" x14ac:dyDescent="0.25">
      <c r="A1239">
        <v>8939</v>
      </c>
      <c r="B1239">
        <v>3917</v>
      </c>
      <c r="C1239">
        <f>1/COUNTIF(B:B,pizza_sales[[#This Row],[order_id]])</f>
        <v>0.5</v>
      </c>
      <c r="D1239" t="s">
        <v>47</v>
      </c>
      <c r="E1239">
        <v>1</v>
      </c>
      <c r="F1239" s="1">
        <v>42188</v>
      </c>
      <c r="G1239" s="1" t="str">
        <f>TEXT(pizza_sales[[#This Row],[order_date]],"dddd")</f>
        <v>Friday</v>
      </c>
      <c r="H1239" s="2">
        <v>0.81376157407407412</v>
      </c>
      <c r="I1239">
        <v>16.5</v>
      </c>
      <c r="J1239">
        <v>16.5</v>
      </c>
      <c r="K1239" t="s">
        <v>58</v>
      </c>
      <c r="L1239" t="s">
        <v>13</v>
      </c>
      <c r="M1239" t="s">
        <v>14</v>
      </c>
      <c r="N1239" t="s">
        <v>15</v>
      </c>
    </row>
    <row r="1240" spans="1:14" x14ac:dyDescent="0.25">
      <c r="A1240">
        <v>8940</v>
      </c>
      <c r="B1240">
        <v>3917</v>
      </c>
      <c r="C1240">
        <f>1/COUNTIF(B:B,pizza_sales[[#This Row],[order_id]])</f>
        <v>0.5</v>
      </c>
      <c r="D1240" t="s">
        <v>43</v>
      </c>
      <c r="E1240">
        <v>1</v>
      </c>
      <c r="F1240" s="1">
        <v>42188</v>
      </c>
      <c r="G1240" s="1" t="str">
        <f>TEXT(pizza_sales[[#This Row],[order_date]],"dddd")</f>
        <v>Friday</v>
      </c>
      <c r="H1240" s="2">
        <v>0.81376157407407412</v>
      </c>
      <c r="I1240">
        <v>16.25</v>
      </c>
      <c r="J1240">
        <v>16.25</v>
      </c>
      <c r="K1240" t="s">
        <v>59</v>
      </c>
      <c r="L1240" t="s">
        <v>35</v>
      </c>
      <c r="M1240" t="s">
        <v>40</v>
      </c>
      <c r="N1240" t="s">
        <v>41</v>
      </c>
    </row>
    <row r="1241" spans="1:14" x14ac:dyDescent="0.25">
      <c r="A1241">
        <v>8941</v>
      </c>
      <c r="B1241">
        <v>3918</v>
      </c>
      <c r="C1241">
        <f>1/COUNTIF(B:B,pizza_sales[[#This Row],[order_id]])</f>
        <v>0.5</v>
      </c>
      <c r="D1241" t="s">
        <v>28</v>
      </c>
      <c r="E1241">
        <v>2</v>
      </c>
      <c r="F1241" s="1">
        <v>42188</v>
      </c>
      <c r="G1241" s="1" t="str">
        <f>TEXT(pizza_sales[[#This Row],[order_date]],"dddd")</f>
        <v>Friday</v>
      </c>
      <c r="H1241" s="2">
        <v>0.82012731481481482</v>
      </c>
      <c r="I1241">
        <v>12</v>
      </c>
      <c r="J1241">
        <v>24</v>
      </c>
      <c r="K1241" t="s">
        <v>60</v>
      </c>
      <c r="L1241" t="s">
        <v>13</v>
      </c>
      <c r="M1241" t="s">
        <v>29</v>
      </c>
      <c r="N1241" t="s">
        <v>30</v>
      </c>
    </row>
    <row r="1242" spans="1:14" x14ac:dyDescent="0.25">
      <c r="A1242">
        <v>8943</v>
      </c>
      <c r="B1242">
        <v>3918</v>
      </c>
      <c r="C1242">
        <f>1/COUNTIF(B:B,pizza_sales[[#This Row],[order_id]])</f>
        <v>0.5</v>
      </c>
      <c r="D1242" t="s">
        <v>48</v>
      </c>
      <c r="E1242">
        <v>1</v>
      </c>
      <c r="F1242" s="1">
        <v>42188</v>
      </c>
      <c r="G1242" s="1" t="str">
        <f>TEXT(pizza_sales[[#This Row],[order_date]],"dddd")</f>
        <v>Friday</v>
      </c>
      <c r="H1242" s="2">
        <v>0.82012731481481482</v>
      </c>
      <c r="I1242">
        <v>12.25</v>
      </c>
      <c r="J1242">
        <v>12.25</v>
      </c>
      <c r="K1242" t="s">
        <v>60</v>
      </c>
      <c r="L1242" t="s">
        <v>35</v>
      </c>
      <c r="M1242" t="s">
        <v>40</v>
      </c>
      <c r="N1242" t="s">
        <v>41</v>
      </c>
    </row>
    <row r="1243" spans="1:14" x14ac:dyDescent="0.25">
      <c r="A1243">
        <v>8951</v>
      </c>
      <c r="B1243">
        <v>3922</v>
      </c>
      <c r="C1243">
        <f>1/COUNTIF(B:B,pizza_sales[[#This Row],[order_id]])</f>
        <v>1</v>
      </c>
      <c r="D1243" t="s">
        <v>31</v>
      </c>
      <c r="E1243">
        <v>1</v>
      </c>
      <c r="F1243" s="1">
        <v>42188</v>
      </c>
      <c r="G1243" s="1" t="str">
        <f>TEXT(pizza_sales[[#This Row],[order_date]],"dddd")</f>
        <v>Friday</v>
      </c>
      <c r="H1243" s="2">
        <v>0.84211805555555552</v>
      </c>
      <c r="I1243">
        <v>12</v>
      </c>
      <c r="J1243">
        <v>12</v>
      </c>
      <c r="K1243" t="s">
        <v>60</v>
      </c>
      <c r="L1243" t="s">
        <v>13</v>
      </c>
      <c r="M1243" t="s">
        <v>32</v>
      </c>
      <c r="N1243" t="s">
        <v>33</v>
      </c>
    </row>
    <row r="1244" spans="1:14" x14ac:dyDescent="0.25">
      <c r="A1244">
        <v>8957</v>
      </c>
      <c r="B1244">
        <v>3924</v>
      </c>
      <c r="C1244">
        <f>1/COUNTIF(B:B,pizza_sales[[#This Row],[order_id]])</f>
        <v>1</v>
      </c>
      <c r="D1244" t="s">
        <v>49</v>
      </c>
      <c r="E1244">
        <v>1</v>
      </c>
      <c r="F1244" s="1">
        <v>42188</v>
      </c>
      <c r="G1244" s="1" t="str">
        <f>TEXT(pizza_sales[[#This Row],[order_date]],"dddd")</f>
        <v>Friday</v>
      </c>
      <c r="H1244" s="2">
        <v>0.85673611111111114</v>
      </c>
      <c r="I1244">
        <v>16</v>
      </c>
      <c r="J1244">
        <v>16</v>
      </c>
      <c r="K1244" t="s">
        <v>59</v>
      </c>
      <c r="L1244" t="s">
        <v>13</v>
      </c>
      <c r="M1244" t="s">
        <v>21</v>
      </c>
      <c r="N1244" t="s">
        <v>22</v>
      </c>
    </row>
    <row r="1245" spans="1:14" x14ac:dyDescent="0.25">
      <c r="A1245">
        <v>8961</v>
      </c>
      <c r="B1245">
        <v>3926</v>
      </c>
      <c r="C1245">
        <f>1/COUNTIF(B:B,pizza_sales[[#This Row],[order_id]])</f>
        <v>1</v>
      </c>
      <c r="D1245" t="s">
        <v>28</v>
      </c>
      <c r="E1245">
        <v>1</v>
      </c>
      <c r="F1245" s="1">
        <v>42188</v>
      </c>
      <c r="G1245" s="1" t="str">
        <f>TEXT(pizza_sales[[#This Row],[order_date]],"dddd")</f>
        <v>Friday</v>
      </c>
      <c r="H1245" s="2">
        <v>0.86797453703703709</v>
      </c>
      <c r="I1245">
        <v>12</v>
      </c>
      <c r="J1245">
        <v>12</v>
      </c>
      <c r="K1245" t="s">
        <v>60</v>
      </c>
      <c r="L1245" t="s">
        <v>13</v>
      </c>
      <c r="M1245" t="s">
        <v>29</v>
      </c>
      <c r="N1245" t="s">
        <v>30</v>
      </c>
    </row>
    <row r="1246" spans="1:14" x14ac:dyDescent="0.25">
      <c r="A1246">
        <v>8966</v>
      </c>
      <c r="B1246">
        <v>3928</v>
      </c>
      <c r="C1246">
        <f>1/COUNTIF(B:B,pizza_sales[[#This Row],[order_id]])</f>
        <v>0.5</v>
      </c>
      <c r="D1246" t="s">
        <v>51</v>
      </c>
      <c r="E1246">
        <v>1</v>
      </c>
      <c r="F1246" s="1">
        <v>42188</v>
      </c>
      <c r="G1246" s="1" t="str">
        <f>TEXT(pizza_sales[[#This Row],[order_date]],"dddd")</f>
        <v>Friday</v>
      </c>
      <c r="H1246" s="2">
        <v>0.87633101851851847</v>
      </c>
      <c r="I1246">
        <v>23.65</v>
      </c>
      <c r="J1246">
        <v>23.65</v>
      </c>
      <c r="K1246" t="s">
        <v>60</v>
      </c>
      <c r="L1246" t="s">
        <v>35</v>
      </c>
      <c r="M1246" t="s">
        <v>52</v>
      </c>
      <c r="N1246" t="s">
        <v>53</v>
      </c>
    </row>
    <row r="1247" spans="1:14" x14ac:dyDescent="0.25">
      <c r="A1247">
        <v>8967</v>
      </c>
      <c r="B1247">
        <v>3928</v>
      </c>
      <c r="C1247">
        <f>1/COUNTIF(B:B,pizza_sales[[#This Row],[order_id]])</f>
        <v>0.5</v>
      </c>
      <c r="D1247" t="s">
        <v>20</v>
      </c>
      <c r="E1247">
        <v>1</v>
      </c>
      <c r="F1247" s="1">
        <v>42188</v>
      </c>
      <c r="G1247" s="1" t="str">
        <f>TEXT(pizza_sales[[#This Row],[order_date]],"dddd")</f>
        <v>Friday</v>
      </c>
      <c r="H1247" s="2">
        <v>0.87633101851851847</v>
      </c>
      <c r="I1247">
        <v>12</v>
      </c>
      <c r="J1247">
        <v>12</v>
      </c>
      <c r="K1247" t="s">
        <v>60</v>
      </c>
      <c r="L1247" t="s">
        <v>13</v>
      </c>
      <c r="M1247" t="s">
        <v>21</v>
      </c>
      <c r="N1247" t="s">
        <v>22</v>
      </c>
    </row>
    <row r="1248" spans="1:14" x14ac:dyDescent="0.25">
      <c r="A1248">
        <v>8968</v>
      </c>
      <c r="B1248">
        <v>3929</v>
      </c>
      <c r="C1248">
        <f>1/COUNTIF(B:B,pizza_sales[[#This Row],[order_id]])</f>
        <v>1</v>
      </c>
      <c r="D1248" t="s">
        <v>38</v>
      </c>
      <c r="E1248">
        <v>1</v>
      </c>
      <c r="F1248" s="1">
        <v>42188</v>
      </c>
      <c r="G1248" s="1" t="str">
        <f>TEXT(pizza_sales[[#This Row],[order_date]],"dddd")</f>
        <v>Friday</v>
      </c>
      <c r="H1248" s="2">
        <v>0.88445601851851852</v>
      </c>
      <c r="I1248">
        <v>20.5</v>
      </c>
      <c r="J1248">
        <v>20.5</v>
      </c>
      <c r="K1248" t="s">
        <v>58</v>
      </c>
      <c r="L1248" t="s">
        <v>13</v>
      </c>
      <c r="M1248" t="s">
        <v>32</v>
      </c>
      <c r="N1248" t="s">
        <v>33</v>
      </c>
    </row>
    <row r="1249" spans="1:14" x14ac:dyDescent="0.25">
      <c r="A1249">
        <v>8973</v>
      </c>
      <c r="B1249">
        <v>3932</v>
      </c>
      <c r="C1249">
        <f>1/COUNTIF(B:B,pizza_sales[[#This Row],[order_id]])</f>
        <v>1</v>
      </c>
      <c r="D1249" t="s">
        <v>39</v>
      </c>
      <c r="E1249">
        <v>1</v>
      </c>
      <c r="F1249" s="1">
        <v>42188</v>
      </c>
      <c r="G1249" s="1" t="str">
        <f>TEXT(pizza_sales[[#This Row],[order_date]],"dddd")</f>
        <v>Friday</v>
      </c>
      <c r="H1249" s="2">
        <v>0.90916666666666668</v>
      </c>
      <c r="I1249">
        <v>20.25</v>
      </c>
      <c r="J1249">
        <v>20.25</v>
      </c>
      <c r="K1249" t="s">
        <v>58</v>
      </c>
      <c r="L1249" t="s">
        <v>35</v>
      </c>
      <c r="M1249" t="s">
        <v>40</v>
      </c>
      <c r="N1249" t="s">
        <v>41</v>
      </c>
    </row>
    <row r="1250" spans="1:14" x14ac:dyDescent="0.25">
      <c r="A1250">
        <v>8980</v>
      </c>
      <c r="B1250">
        <v>3935</v>
      </c>
      <c r="C1250">
        <f>1/COUNTIF(B:B,pizza_sales[[#This Row],[order_id]])</f>
        <v>1</v>
      </c>
      <c r="D1250" t="s">
        <v>47</v>
      </c>
      <c r="E1250">
        <v>1</v>
      </c>
      <c r="F1250" s="1">
        <v>42188</v>
      </c>
      <c r="G1250" s="1" t="str">
        <f>TEXT(pizza_sales[[#This Row],[order_date]],"dddd")</f>
        <v>Friday</v>
      </c>
      <c r="H1250" s="2">
        <v>0.94626157407407407</v>
      </c>
      <c r="I1250">
        <v>16.5</v>
      </c>
      <c r="J1250">
        <v>16.5</v>
      </c>
      <c r="K1250" t="s">
        <v>58</v>
      </c>
      <c r="L1250" t="s">
        <v>13</v>
      </c>
      <c r="M1250" t="s">
        <v>14</v>
      </c>
      <c r="N1250" t="s">
        <v>15</v>
      </c>
    </row>
    <row r="1251" spans="1:14" x14ac:dyDescent="0.25">
      <c r="A1251">
        <v>8984</v>
      </c>
      <c r="B1251">
        <v>3937</v>
      </c>
      <c r="C1251">
        <f>1/COUNTIF(B:B,pizza_sales[[#This Row],[order_id]])</f>
        <v>1</v>
      </c>
      <c r="D1251" t="s">
        <v>28</v>
      </c>
      <c r="E1251">
        <v>1</v>
      </c>
      <c r="F1251" s="1">
        <v>42188</v>
      </c>
      <c r="G1251" s="1" t="str">
        <f>TEXT(pizza_sales[[#This Row],[order_date]],"dddd")</f>
        <v>Friday</v>
      </c>
      <c r="H1251" s="2">
        <v>0.96012731481481484</v>
      </c>
      <c r="I1251">
        <v>12</v>
      </c>
      <c r="J1251">
        <v>12</v>
      </c>
      <c r="K1251" t="s">
        <v>60</v>
      </c>
      <c r="L1251" t="s">
        <v>13</v>
      </c>
      <c r="M1251" t="s">
        <v>29</v>
      </c>
      <c r="N1251" t="s">
        <v>30</v>
      </c>
    </row>
    <row r="1252" spans="1:14" x14ac:dyDescent="0.25">
      <c r="A1252">
        <v>8987</v>
      </c>
      <c r="B1252">
        <v>3938</v>
      </c>
      <c r="C1252">
        <f>1/COUNTIF(B:B,pizza_sales[[#This Row],[order_id]])</f>
        <v>1</v>
      </c>
      <c r="D1252" t="s">
        <v>47</v>
      </c>
      <c r="E1252">
        <v>1</v>
      </c>
      <c r="F1252" s="1">
        <v>42219</v>
      </c>
      <c r="G1252" s="1" t="str">
        <f>TEXT(pizza_sales[[#This Row],[order_date]],"dddd")</f>
        <v>Monday</v>
      </c>
      <c r="H1252" s="2">
        <v>0.49327546296296299</v>
      </c>
      <c r="I1252">
        <v>16.5</v>
      </c>
      <c r="J1252">
        <v>16.5</v>
      </c>
      <c r="K1252" t="s">
        <v>58</v>
      </c>
      <c r="L1252" t="s">
        <v>13</v>
      </c>
      <c r="M1252" t="s">
        <v>14</v>
      </c>
      <c r="N1252" t="s">
        <v>15</v>
      </c>
    </row>
    <row r="1253" spans="1:14" x14ac:dyDescent="0.25">
      <c r="A1253">
        <v>8988</v>
      </c>
      <c r="B1253">
        <v>3939</v>
      </c>
      <c r="C1253">
        <f>1/COUNTIF(B:B,pizza_sales[[#This Row],[order_id]])</f>
        <v>1</v>
      </c>
      <c r="D1253" t="s">
        <v>48</v>
      </c>
      <c r="E1253">
        <v>1</v>
      </c>
      <c r="F1253" s="1">
        <v>42219</v>
      </c>
      <c r="G1253" s="1" t="str">
        <f>TEXT(pizza_sales[[#This Row],[order_date]],"dddd")</f>
        <v>Monday</v>
      </c>
      <c r="H1253" s="2">
        <v>0.51587962962962963</v>
      </c>
      <c r="I1253">
        <v>12.25</v>
      </c>
      <c r="J1253">
        <v>12.25</v>
      </c>
      <c r="K1253" t="s">
        <v>60</v>
      </c>
      <c r="L1253" t="s">
        <v>35</v>
      </c>
      <c r="M1253" t="s">
        <v>40</v>
      </c>
      <c r="N1253" t="s">
        <v>41</v>
      </c>
    </row>
    <row r="1254" spans="1:14" x14ac:dyDescent="0.25">
      <c r="A1254">
        <v>8993</v>
      </c>
      <c r="B1254">
        <v>3940</v>
      </c>
      <c r="C1254">
        <f>1/COUNTIF(B:B,pizza_sales[[#This Row],[order_id]])</f>
        <v>0.5</v>
      </c>
      <c r="D1254" t="s">
        <v>25</v>
      </c>
      <c r="E1254">
        <v>2</v>
      </c>
      <c r="F1254" s="1">
        <v>42219</v>
      </c>
      <c r="G1254" s="1" t="str">
        <f>TEXT(pizza_sales[[#This Row],[order_date]],"dddd")</f>
        <v>Monday</v>
      </c>
      <c r="H1254" s="2">
        <v>0.52046296296296302</v>
      </c>
      <c r="I1254">
        <v>15.25</v>
      </c>
      <c r="J1254">
        <v>30.5</v>
      </c>
      <c r="K1254" t="s">
        <v>58</v>
      </c>
      <c r="L1254" t="s">
        <v>13</v>
      </c>
      <c r="M1254" t="s">
        <v>26</v>
      </c>
      <c r="N1254" t="s">
        <v>27</v>
      </c>
    </row>
    <row r="1255" spans="1:14" x14ac:dyDescent="0.25">
      <c r="A1255">
        <v>8994</v>
      </c>
      <c r="B1255">
        <v>3940</v>
      </c>
      <c r="C1255">
        <f>1/COUNTIF(B:B,pizza_sales[[#This Row],[order_id]])</f>
        <v>0.5</v>
      </c>
      <c r="D1255" t="s">
        <v>42</v>
      </c>
      <c r="E1255">
        <v>1</v>
      </c>
      <c r="F1255" s="1">
        <v>42219</v>
      </c>
      <c r="G1255" s="1" t="str">
        <f>TEXT(pizza_sales[[#This Row],[order_date]],"dddd")</f>
        <v>Monday</v>
      </c>
      <c r="H1255" s="2">
        <v>0.52046296296296302</v>
      </c>
      <c r="I1255">
        <v>12.5</v>
      </c>
      <c r="J1255">
        <v>12.5</v>
      </c>
      <c r="K1255" t="s">
        <v>59</v>
      </c>
      <c r="L1255" t="s">
        <v>13</v>
      </c>
      <c r="M1255" t="s">
        <v>26</v>
      </c>
      <c r="N1255" t="s">
        <v>27</v>
      </c>
    </row>
    <row r="1256" spans="1:14" x14ac:dyDescent="0.25">
      <c r="A1256">
        <v>9006</v>
      </c>
      <c r="B1256">
        <v>3945</v>
      </c>
      <c r="C1256">
        <f>1/COUNTIF(B:B,pizza_sales[[#This Row],[order_id]])</f>
        <v>0.33333333333333331</v>
      </c>
      <c r="D1256" t="s">
        <v>28</v>
      </c>
      <c r="E1256">
        <v>1</v>
      </c>
      <c r="F1256" s="1">
        <v>42219</v>
      </c>
      <c r="G1256" s="1" t="str">
        <f>TEXT(pizza_sales[[#This Row],[order_date]],"dddd")</f>
        <v>Monday</v>
      </c>
      <c r="H1256" s="2">
        <v>0.54773148148148143</v>
      </c>
      <c r="I1256">
        <v>12</v>
      </c>
      <c r="J1256">
        <v>12</v>
      </c>
      <c r="K1256" t="s">
        <v>60</v>
      </c>
      <c r="L1256" t="s">
        <v>13</v>
      </c>
      <c r="M1256" t="s">
        <v>29</v>
      </c>
      <c r="N1256" t="s">
        <v>30</v>
      </c>
    </row>
    <row r="1257" spans="1:14" x14ac:dyDescent="0.25">
      <c r="A1257">
        <v>9009</v>
      </c>
      <c r="B1257">
        <v>3945</v>
      </c>
      <c r="C1257">
        <f>1/COUNTIF(B:B,pizza_sales[[#This Row],[order_id]])</f>
        <v>0.33333333333333331</v>
      </c>
      <c r="D1257" t="s">
        <v>44</v>
      </c>
      <c r="E1257">
        <v>1</v>
      </c>
      <c r="F1257" s="1">
        <v>42219</v>
      </c>
      <c r="G1257" s="1" t="str">
        <f>TEXT(pizza_sales[[#This Row],[order_date]],"dddd")</f>
        <v>Monday</v>
      </c>
      <c r="H1257" s="2">
        <v>0.54773148148148143</v>
      </c>
      <c r="I1257">
        <v>9.75</v>
      </c>
      <c r="J1257">
        <v>9.75</v>
      </c>
      <c r="K1257" t="s">
        <v>60</v>
      </c>
      <c r="L1257" t="s">
        <v>13</v>
      </c>
      <c r="M1257" t="s">
        <v>26</v>
      </c>
      <c r="N1257" t="s">
        <v>27</v>
      </c>
    </row>
    <row r="1258" spans="1:14" x14ac:dyDescent="0.25">
      <c r="A1258">
        <v>9010</v>
      </c>
      <c r="B1258">
        <v>3945</v>
      </c>
      <c r="C1258">
        <f>1/COUNTIF(B:B,pizza_sales[[#This Row],[order_id]])</f>
        <v>0.33333333333333331</v>
      </c>
      <c r="D1258" t="s">
        <v>48</v>
      </c>
      <c r="E1258">
        <v>1</v>
      </c>
      <c r="F1258" s="1">
        <v>42219</v>
      </c>
      <c r="G1258" s="1" t="str">
        <f>TEXT(pizza_sales[[#This Row],[order_date]],"dddd")</f>
        <v>Monday</v>
      </c>
      <c r="H1258" s="2">
        <v>0.54773148148148143</v>
      </c>
      <c r="I1258">
        <v>12.25</v>
      </c>
      <c r="J1258">
        <v>12.25</v>
      </c>
      <c r="K1258" t="s">
        <v>60</v>
      </c>
      <c r="L1258" t="s">
        <v>35</v>
      </c>
      <c r="M1258" t="s">
        <v>40</v>
      </c>
      <c r="N1258" t="s">
        <v>41</v>
      </c>
    </row>
    <row r="1259" spans="1:14" x14ac:dyDescent="0.25">
      <c r="A1259">
        <v>9012</v>
      </c>
      <c r="B1259">
        <v>3946</v>
      </c>
      <c r="C1259">
        <f>1/COUNTIF(B:B,pizza_sales[[#This Row],[order_id]])</f>
        <v>1</v>
      </c>
      <c r="D1259" t="s">
        <v>45</v>
      </c>
      <c r="E1259">
        <v>1</v>
      </c>
      <c r="F1259" s="1">
        <v>42219</v>
      </c>
      <c r="G1259" s="1" t="str">
        <f>TEXT(pizza_sales[[#This Row],[order_date]],"dddd")</f>
        <v>Monday</v>
      </c>
      <c r="H1259" s="2">
        <v>0.55278935185185185</v>
      </c>
      <c r="I1259">
        <v>10.5</v>
      </c>
      <c r="J1259">
        <v>10.5</v>
      </c>
      <c r="K1259" t="s">
        <v>60</v>
      </c>
      <c r="L1259" t="s">
        <v>13</v>
      </c>
      <c r="M1259" t="s">
        <v>14</v>
      </c>
      <c r="N1259" t="s">
        <v>15</v>
      </c>
    </row>
    <row r="1260" spans="1:14" x14ac:dyDescent="0.25">
      <c r="A1260">
        <v>9014</v>
      </c>
      <c r="B1260">
        <v>3947</v>
      </c>
      <c r="C1260">
        <f>1/COUNTIF(B:B,pizza_sales[[#This Row],[order_id]])</f>
        <v>1</v>
      </c>
      <c r="D1260" t="s">
        <v>44</v>
      </c>
      <c r="E1260">
        <v>1</v>
      </c>
      <c r="F1260" s="1">
        <v>42219</v>
      </c>
      <c r="G1260" s="1" t="str">
        <f>TEXT(pizza_sales[[#This Row],[order_date]],"dddd")</f>
        <v>Monday</v>
      </c>
      <c r="H1260" s="2">
        <v>0.55481481481481476</v>
      </c>
      <c r="I1260">
        <v>9.75</v>
      </c>
      <c r="J1260">
        <v>9.75</v>
      </c>
      <c r="K1260" t="s">
        <v>60</v>
      </c>
      <c r="L1260" t="s">
        <v>13</v>
      </c>
      <c r="M1260" t="s">
        <v>26</v>
      </c>
      <c r="N1260" t="s">
        <v>27</v>
      </c>
    </row>
    <row r="1261" spans="1:14" x14ac:dyDescent="0.25">
      <c r="A1261">
        <v>9017</v>
      </c>
      <c r="B1261">
        <v>3950</v>
      </c>
      <c r="C1261">
        <f>1/COUNTIF(B:B,pizza_sales[[#This Row],[order_id]])</f>
        <v>1</v>
      </c>
      <c r="D1261" t="s">
        <v>28</v>
      </c>
      <c r="E1261">
        <v>1</v>
      </c>
      <c r="F1261" s="1">
        <v>42219</v>
      </c>
      <c r="G1261" s="1" t="str">
        <f>TEXT(pizza_sales[[#This Row],[order_date]],"dddd")</f>
        <v>Monday</v>
      </c>
      <c r="H1261" s="2">
        <v>0.5718981481481481</v>
      </c>
      <c r="I1261">
        <v>12</v>
      </c>
      <c r="J1261">
        <v>12</v>
      </c>
      <c r="K1261" t="s">
        <v>60</v>
      </c>
      <c r="L1261" t="s">
        <v>13</v>
      </c>
      <c r="M1261" t="s">
        <v>29</v>
      </c>
      <c r="N1261" t="s">
        <v>30</v>
      </c>
    </row>
    <row r="1262" spans="1:14" x14ac:dyDescent="0.25">
      <c r="A1262">
        <v>9019</v>
      </c>
      <c r="B1262">
        <v>3951</v>
      </c>
      <c r="C1262">
        <f>1/COUNTIF(B:B,pizza_sales[[#This Row],[order_id]])</f>
        <v>0.5</v>
      </c>
      <c r="D1262" t="s">
        <v>12</v>
      </c>
      <c r="E1262">
        <v>1</v>
      </c>
      <c r="F1262" s="1">
        <v>42219</v>
      </c>
      <c r="G1262" s="1" t="str">
        <f>TEXT(pizza_sales[[#This Row],[order_date]],"dddd")</f>
        <v>Monday</v>
      </c>
      <c r="H1262" s="2">
        <v>0.59334490740740742</v>
      </c>
      <c r="I1262">
        <v>13.25</v>
      </c>
      <c r="J1262">
        <v>13.25</v>
      </c>
      <c r="K1262" t="s">
        <v>59</v>
      </c>
      <c r="L1262" t="s">
        <v>13</v>
      </c>
      <c r="M1262" t="s">
        <v>14</v>
      </c>
      <c r="N1262" t="s">
        <v>15</v>
      </c>
    </row>
    <row r="1263" spans="1:14" x14ac:dyDescent="0.25">
      <c r="A1263">
        <v>9020</v>
      </c>
      <c r="B1263">
        <v>3951</v>
      </c>
      <c r="C1263">
        <f>1/COUNTIF(B:B,pizza_sales[[#This Row],[order_id]])</f>
        <v>0.5</v>
      </c>
      <c r="D1263" t="s">
        <v>16</v>
      </c>
      <c r="E1263">
        <v>1</v>
      </c>
      <c r="F1263" s="1">
        <v>42219</v>
      </c>
      <c r="G1263" s="1" t="str">
        <f>TEXT(pizza_sales[[#This Row],[order_date]],"dddd")</f>
        <v>Monday</v>
      </c>
      <c r="H1263" s="2">
        <v>0.59334490740740742</v>
      </c>
      <c r="I1263">
        <v>16</v>
      </c>
      <c r="J1263">
        <v>16</v>
      </c>
      <c r="K1263" t="s">
        <v>59</v>
      </c>
      <c r="L1263" t="s">
        <v>17</v>
      </c>
      <c r="M1263" t="s">
        <v>18</v>
      </c>
      <c r="N1263" t="s">
        <v>19</v>
      </c>
    </row>
    <row r="1264" spans="1:14" x14ac:dyDescent="0.25">
      <c r="A1264">
        <v>9027</v>
      </c>
      <c r="B1264">
        <v>3957</v>
      </c>
      <c r="C1264">
        <f>1/COUNTIF(B:B,pizza_sales[[#This Row],[order_id]])</f>
        <v>1</v>
      </c>
      <c r="D1264" t="s">
        <v>12</v>
      </c>
      <c r="E1264">
        <v>1</v>
      </c>
      <c r="F1264" s="1">
        <v>42219</v>
      </c>
      <c r="G1264" s="1" t="str">
        <f>TEXT(pizza_sales[[#This Row],[order_date]],"dddd")</f>
        <v>Monday</v>
      </c>
      <c r="H1264" s="2">
        <v>0.62693287037037038</v>
      </c>
      <c r="I1264">
        <v>13.25</v>
      </c>
      <c r="J1264">
        <v>13.25</v>
      </c>
      <c r="K1264" t="s">
        <v>59</v>
      </c>
      <c r="L1264" t="s">
        <v>13</v>
      </c>
      <c r="M1264" t="s">
        <v>14</v>
      </c>
      <c r="N1264" t="s">
        <v>15</v>
      </c>
    </row>
    <row r="1265" spans="1:14" x14ac:dyDescent="0.25">
      <c r="A1265">
        <v>9028</v>
      </c>
      <c r="B1265">
        <v>3958</v>
      </c>
      <c r="C1265">
        <f>1/COUNTIF(B:B,pizza_sales[[#This Row],[order_id]])</f>
        <v>1</v>
      </c>
      <c r="D1265" t="s">
        <v>28</v>
      </c>
      <c r="E1265">
        <v>1</v>
      </c>
      <c r="F1265" s="1">
        <v>42219</v>
      </c>
      <c r="G1265" s="1" t="str">
        <f>TEXT(pizza_sales[[#This Row],[order_date]],"dddd")</f>
        <v>Monday</v>
      </c>
      <c r="H1265" s="2">
        <v>0.63407407407407412</v>
      </c>
      <c r="I1265">
        <v>12</v>
      </c>
      <c r="J1265">
        <v>12</v>
      </c>
      <c r="K1265" t="s">
        <v>60</v>
      </c>
      <c r="L1265" t="s">
        <v>13</v>
      </c>
      <c r="M1265" t="s">
        <v>29</v>
      </c>
      <c r="N1265" t="s">
        <v>30</v>
      </c>
    </row>
    <row r="1266" spans="1:14" x14ac:dyDescent="0.25">
      <c r="A1266">
        <v>9032</v>
      </c>
      <c r="B1266">
        <v>3960</v>
      </c>
      <c r="C1266">
        <f>1/COUNTIF(B:B,pizza_sales[[#This Row],[order_id]])</f>
        <v>1</v>
      </c>
      <c r="D1266" t="s">
        <v>24</v>
      </c>
      <c r="E1266">
        <v>1</v>
      </c>
      <c r="F1266" s="1">
        <v>42219</v>
      </c>
      <c r="G1266" s="1" t="str">
        <f>TEXT(pizza_sales[[#This Row],[order_date]],"dddd")</f>
        <v>Monday</v>
      </c>
      <c r="H1266" s="2">
        <v>0.66398148148148151</v>
      </c>
      <c r="I1266">
        <v>20.25</v>
      </c>
      <c r="J1266">
        <v>20.25</v>
      </c>
      <c r="K1266" t="s">
        <v>58</v>
      </c>
      <c r="L1266" t="s">
        <v>17</v>
      </c>
      <c r="M1266" t="s">
        <v>18</v>
      </c>
      <c r="N1266" t="s">
        <v>19</v>
      </c>
    </row>
    <row r="1267" spans="1:14" x14ac:dyDescent="0.25">
      <c r="A1267">
        <v>9035</v>
      </c>
      <c r="B1267">
        <v>3963</v>
      </c>
      <c r="C1267">
        <f>1/COUNTIF(B:B,pizza_sales[[#This Row],[order_id]])</f>
        <v>0.5</v>
      </c>
      <c r="D1267" t="s">
        <v>28</v>
      </c>
      <c r="E1267">
        <v>1</v>
      </c>
      <c r="F1267" s="1">
        <v>42219</v>
      </c>
      <c r="G1267" s="1" t="str">
        <f>TEXT(pizza_sales[[#This Row],[order_date]],"dddd")</f>
        <v>Monday</v>
      </c>
      <c r="H1267" s="2">
        <v>0.66637731481481477</v>
      </c>
      <c r="I1267">
        <v>12</v>
      </c>
      <c r="J1267">
        <v>12</v>
      </c>
      <c r="K1267" t="s">
        <v>60</v>
      </c>
      <c r="L1267" t="s">
        <v>13</v>
      </c>
      <c r="M1267" t="s">
        <v>29</v>
      </c>
      <c r="N1267" t="s">
        <v>30</v>
      </c>
    </row>
    <row r="1268" spans="1:14" x14ac:dyDescent="0.25">
      <c r="A1268">
        <v>9036</v>
      </c>
      <c r="B1268">
        <v>3963</v>
      </c>
      <c r="C1268">
        <f>1/COUNTIF(B:B,pizza_sales[[#This Row],[order_id]])</f>
        <v>0.5</v>
      </c>
      <c r="D1268" t="s">
        <v>12</v>
      </c>
      <c r="E1268">
        <v>1</v>
      </c>
      <c r="F1268" s="1">
        <v>42219</v>
      </c>
      <c r="G1268" s="1" t="str">
        <f>TEXT(pizza_sales[[#This Row],[order_date]],"dddd")</f>
        <v>Monday</v>
      </c>
      <c r="H1268" s="2">
        <v>0.66637731481481477</v>
      </c>
      <c r="I1268">
        <v>13.25</v>
      </c>
      <c r="J1268">
        <v>13.25</v>
      </c>
      <c r="K1268" t="s">
        <v>59</v>
      </c>
      <c r="L1268" t="s">
        <v>13</v>
      </c>
      <c r="M1268" t="s">
        <v>14</v>
      </c>
      <c r="N1268" t="s">
        <v>15</v>
      </c>
    </row>
    <row r="1269" spans="1:14" x14ac:dyDescent="0.25">
      <c r="A1269">
        <v>9041</v>
      </c>
      <c r="B1269">
        <v>3966</v>
      </c>
      <c r="C1269">
        <f>1/COUNTIF(B:B,pizza_sales[[#This Row],[order_id]])</f>
        <v>0.5</v>
      </c>
      <c r="D1269" t="s">
        <v>28</v>
      </c>
      <c r="E1269">
        <v>1</v>
      </c>
      <c r="F1269" s="1">
        <v>42219</v>
      </c>
      <c r="G1269" s="1" t="str">
        <f>TEXT(pizza_sales[[#This Row],[order_date]],"dddd")</f>
        <v>Monday</v>
      </c>
      <c r="H1269" s="2">
        <v>0.68956018518518514</v>
      </c>
      <c r="I1269">
        <v>12</v>
      </c>
      <c r="J1269">
        <v>12</v>
      </c>
      <c r="K1269" t="s">
        <v>60</v>
      </c>
      <c r="L1269" t="s">
        <v>13</v>
      </c>
      <c r="M1269" t="s">
        <v>29</v>
      </c>
      <c r="N1269" t="s">
        <v>30</v>
      </c>
    </row>
    <row r="1270" spans="1:14" x14ac:dyDescent="0.25">
      <c r="A1270">
        <v>9043</v>
      </c>
      <c r="B1270">
        <v>3966</v>
      </c>
      <c r="C1270">
        <f>1/COUNTIF(B:B,pizza_sales[[#This Row],[order_id]])</f>
        <v>0.5</v>
      </c>
      <c r="D1270" t="s">
        <v>45</v>
      </c>
      <c r="E1270">
        <v>1</v>
      </c>
      <c r="F1270" s="1">
        <v>42219</v>
      </c>
      <c r="G1270" s="1" t="str">
        <f>TEXT(pizza_sales[[#This Row],[order_date]],"dddd")</f>
        <v>Monday</v>
      </c>
      <c r="H1270" s="2">
        <v>0.68956018518518514</v>
      </c>
      <c r="I1270">
        <v>10.5</v>
      </c>
      <c r="J1270">
        <v>10.5</v>
      </c>
      <c r="K1270" t="s">
        <v>60</v>
      </c>
      <c r="L1270" t="s">
        <v>13</v>
      </c>
      <c r="M1270" t="s">
        <v>14</v>
      </c>
      <c r="N1270" t="s">
        <v>15</v>
      </c>
    </row>
    <row r="1271" spans="1:14" x14ac:dyDescent="0.25">
      <c r="A1271">
        <v>9046</v>
      </c>
      <c r="B1271">
        <v>3967</v>
      </c>
      <c r="C1271">
        <f>1/COUNTIF(B:B,pizza_sales[[#This Row],[order_id]])</f>
        <v>1</v>
      </c>
      <c r="D1271" t="s">
        <v>51</v>
      </c>
      <c r="E1271">
        <v>1</v>
      </c>
      <c r="F1271" s="1">
        <v>42219</v>
      </c>
      <c r="G1271" s="1" t="str">
        <f>TEXT(pizza_sales[[#This Row],[order_date]],"dddd")</f>
        <v>Monday</v>
      </c>
      <c r="H1271" s="2">
        <v>0.70026620370370374</v>
      </c>
      <c r="I1271">
        <v>23.65</v>
      </c>
      <c r="J1271">
        <v>23.65</v>
      </c>
      <c r="K1271" t="s">
        <v>60</v>
      </c>
      <c r="L1271" t="s">
        <v>35</v>
      </c>
      <c r="M1271" t="s">
        <v>52</v>
      </c>
      <c r="N1271" t="s">
        <v>53</v>
      </c>
    </row>
    <row r="1272" spans="1:14" x14ac:dyDescent="0.25">
      <c r="A1272">
        <v>9047</v>
      </c>
      <c r="B1272">
        <v>3968</v>
      </c>
      <c r="C1272">
        <f>1/COUNTIF(B:B,pizza_sales[[#This Row],[order_id]])</f>
        <v>1</v>
      </c>
      <c r="D1272" t="s">
        <v>38</v>
      </c>
      <c r="E1272">
        <v>1</v>
      </c>
      <c r="F1272" s="1">
        <v>42219</v>
      </c>
      <c r="G1272" s="1" t="str">
        <f>TEXT(pizza_sales[[#This Row],[order_date]],"dddd")</f>
        <v>Monday</v>
      </c>
      <c r="H1272" s="2">
        <v>0.70537037037037043</v>
      </c>
      <c r="I1272">
        <v>20.5</v>
      </c>
      <c r="J1272">
        <v>20.5</v>
      </c>
      <c r="K1272" t="s">
        <v>58</v>
      </c>
      <c r="L1272" t="s">
        <v>13</v>
      </c>
      <c r="M1272" t="s">
        <v>32</v>
      </c>
      <c r="N1272" t="s">
        <v>33</v>
      </c>
    </row>
    <row r="1273" spans="1:14" x14ac:dyDescent="0.25">
      <c r="A1273">
        <v>9057</v>
      </c>
      <c r="B1273">
        <v>3971</v>
      </c>
      <c r="C1273">
        <f>1/COUNTIF(B:B,pizza_sales[[#This Row],[order_id]])</f>
        <v>1</v>
      </c>
      <c r="D1273" t="s">
        <v>25</v>
      </c>
      <c r="E1273">
        <v>1</v>
      </c>
      <c r="F1273" s="1">
        <v>42219</v>
      </c>
      <c r="G1273" s="1" t="str">
        <f>TEXT(pizza_sales[[#This Row],[order_date]],"dddd")</f>
        <v>Monday</v>
      </c>
      <c r="H1273" s="2">
        <v>0.71756944444444448</v>
      </c>
      <c r="I1273">
        <v>15.25</v>
      </c>
      <c r="J1273">
        <v>15.25</v>
      </c>
      <c r="K1273" t="s">
        <v>58</v>
      </c>
      <c r="L1273" t="s">
        <v>13</v>
      </c>
      <c r="M1273" t="s">
        <v>26</v>
      </c>
      <c r="N1273" t="s">
        <v>27</v>
      </c>
    </row>
    <row r="1274" spans="1:14" x14ac:dyDescent="0.25">
      <c r="A1274">
        <v>9066</v>
      </c>
      <c r="B1274">
        <v>3974</v>
      </c>
      <c r="C1274">
        <f>1/COUNTIF(B:B,pizza_sales[[#This Row],[order_id]])</f>
        <v>1</v>
      </c>
      <c r="D1274" t="s">
        <v>24</v>
      </c>
      <c r="E1274">
        <v>1</v>
      </c>
      <c r="F1274" s="1">
        <v>42219</v>
      </c>
      <c r="G1274" s="1" t="str">
        <f>TEXT(pizza_sales[[#This Row],[order_date]],"dddd")</f>
        <v>Monday</v>
      </c>
      <c r="H1274" s="2">
        <v>0.73719907407407403</v>
      </c>
      <c r="I1274">
        <v>20.25</v>
      </c>
      <c r="J1274">
        <v>20.25</v>
      </c>
      <c r="K1274" t="s">
        <v>58</v>
      </c>
      <c r="L1274" t="s">
        <v>17</v>
      </c>
      <c r="M1274" t="s">
        <v>18</v>
      </c>
      <c r="N1274" t="s">
        <v>19</v>
      </c>
    </row>
    <row r="1275" spans="1:14" x14ac:dyDescent="0.25">
      <c r="A1275">
        <v>9068</v>
      </c>
      <c r="B1275">
        <v>3975</v>
      </c>
      <c r="C1275">
        <f>1/COUNTIF(B:B,pizza_sales[[#This Row],[order_id]])</f>
        <v>1</v>
      </c>
      <c r="D1275" t="s">
        <v>28</v>
      </c>
      <c r="E1275">
        <v>1</v>
      </c>
      <c r="F1275" s="1">
        <v>42219</v>
      </c>
      <c r="G1275" s="1" t="str">
        <f>TEXT(pizza_sales[[#This Row],[order_date]],"dddd")</f>
        <v>Monday</v>
      </c>
      <c r="H1275" s="2">
        <v>0.74084490740740738</v>
      </c>
      <c r="I1275">
        <v>12</v>
      </c>
      <c r="J1275">
        <v>12</v>
      </c>
      <c r="K1275" t="s">
        <v>60</v>
      </c>
      <c r="L1275" t="s">
        <v>13</v>
      </c>
      <c r="M1275" t="s">
        <v>29</v>
      </c>
      <c r="N1275" t="s">
        <v>30</v>
      </c>
    </row>
    <row r="1276" spans="1:14" x14ac:dyDescent="0.25">
      <c r="A1276">
        <v>9071</v>
      </c>
      <c r="B1276">
        <v>3977</v>
      </c>
      <c r="C1276">
        <f>1/COUNTIF(B:B,pizza_sales[[#This Row],[order_id]])</f>
        <v>1</v>
      </c>
      <c r="D1276" t="s">
        <v>34</v>
      </c>
      <c r="E1276">
        <v>1</v>
      </c>
      <c r="F1276" s="1">
        <v>42219</v>
      </c>
      <c r="G1276" s="1" t="str">
        <f>TEXT(pizza_sales[[#This Row],[order_date]],"dddd")</f>
        <v>Monday</v>
      </c>
      <c r="H1276" s="2">
        <v>0.74462962962962964</v>
      </c>
      <c r="I1276">
        <v>16.25</v>
      </c>
      <c r="J1276">
        <v>16.25</v>
      </c>
      <c r="K1276" t="s">
        <v>59</v>
      </c>
      <c r="L1276" t="s">
        <v>35</v>
      </c>
      <c r="M1276" t="s">
        <v>36</v>
      </c>
      <c r="N1276" t="s">
        <v>37</v>
      </c>
    </row>
    <row r="1277" spans="1:14" x14ac:dyDescent="0.25">
      <c r="A1277">
        <v>9074</v>
      </c>
      <c r="B1277">
        <v>3978</v>
      </c>
      <c r="C1277">
        <f>1/COUNTIF(B:B,pizza_sales[[#This Row],[order_id]])</f>
        <v>0.5</v>
      </c>
      <c r="D1277" t="s">
        <v>12</v>
      </c>
      <c r="E1277">
        <v>2</v>
      </c>
      <c r="F1277" s="1">
        <v>42219</v>
      </c>
      <c r="G1277" s="1" t="str">
        <f>TEXT(pizza_sales[[#This Row],[order_date]],"dddd")</f>
        <v>Monday</v>
      </c>
      <c r="H1277" s="2">
        <v>0.74677083333333338</v>
      </c>
      <c r="I1277">
        <v>13.25</v>
      </c>
      <c r="J1277">
        <v>26.5</v>
      </c>
      <c r="K1277" t="s">
        <v>59</v>
      </c>
      <c r="L1277" t="s">
        <v>13</v>
      </c>
      <c r="M1277" t="s">
        <v>14</v>
      </c>
      <c r="N1277" t="s">
        <v>15</v>
      </c>
    </row>
    <row r="1278" spans="1:14" x14ac:dyDescent="0.25">
      <c r="A1278">
        <v>9075</v>
      </c>
      <c r="B1278">
        <v>3978</v>
      </c>
      <c r="C1278">
        <f>1/COUNTIF(B:B,pizza_sales[[#This Row],[order_id]])</f>
        <v>0.5</v>
      </c>
      <c r="D1278" t="s">
        <v>39</v>
      </c>
      <c r="E1278">
        <v>1</v>
      </c>
      <c r="F1278" s="1">
        <v>42219</v>
      </c>
      <c r="G1278" s="1" t="str">
        <f>TEXT(pizza_sales[[#This Row],[order_date]],"dddd")</f>
        <v>Monday</v>
      </c>
      <c r="H1278" s="2">
        <v>0.74677083333333338</v>
      </c>
      <c r="I1278">
        <v>20.25</v>
      </c>
      <c r="J1278">
        <v>20.25</v>
      </c>
      <c r="K1278" t="s">
        <v>58</v>
      </c>
      <c r="L1278" t="s">
        <v>35</v>
      </c>
      <c r="M1278" t="s">
        <v>40</v>
      </c>
      <c r="N1278" t="s">
        <v>41</v>
      </c>
    </row>
    <row r="1279" spans="1:14" x14ac:dyDescent="0.25">
      <c r="A1279">
        <v>9077</v>
      </c>
      <c r="B1279">
        <v>3979</v>
      </c>
      <c r="C1279">
        <f>1/COUNTIF(B:B,pizza_sales[[#This Row],[order_id]])</f>
        <v>1</v>
      </c>
      <c r="D1279" t="s">
        <v>45</v>
      </c>
      <c r="E1279">
        <v>1</v>
      </c>
      <c r="F1279" s="1">
        <v>42219</v>
      </c>
      <c r="G1279" s="1" t="str">
        <f>TEXT(pizza_sales[[#This Row],[order_date]],"dddd")</f>
        <v>Monday</v>
      </c>
      <c r="H1279" s="2">
        <v>0.75806712962962963</v>
      </c>
      <c r="I1279">
        <v>10.5</v>
      </c>
      <c r="J1279">
        <v>10.5</v>
      </c>
      <c r="K1279" t="s">
        <v>60</v>
      </c>
      <c r="L1279" t="s">
        <v>13</v>
      </c>
      <c r="M1279" t="s">
        <v>14</v>
      </c>
      <c r="N1279" t="s">
        <v>15</v>
      </c>
    </row>
    <row r="1280" spans="1:14" x14ac:dyDescent="0.25">
      <c r="A1280">
        <v>9080</v>
      </c>
      <c r="B1280">
        <v>3982</v>
      </c>
      <c r="C1280">
        <f>1/COUNTIF(B:B,pizza_sales[[#This Row],[order_id]])</f>
        <v>1</v>
      </c>
      <c r="D1280" t="s">
        <v>56</v>
      </c>
      <c r="E1280">
        <v>1</v>
      </c>
      <c r="F1280" s="1">
        <v>42219</v>
      </c>
      <c r="G1280" s="1" t="str">
        <f>TEXT(pizza_sales[[#This Row],[order_date]],"dddd")</f>
        <v>Monday</v>
      </c>
      <c r="H1280" s="2">
        <v>0.76350694444444445</v>
      </c>
      <c r="I1280">
        <v>20.25</v>
      </c>
      <c r="J1280">
        <v>20.25</v>
      </c>
      <c r="K1280" t="s">
        <v>58</v>
      </c>
      <c r="L1280" t="s">
        <v>35</v>
      </c>
      <c r="M1280" t="s">
        <v>36</v>
      </c>
      <c r="N1280" t="s">
        <v>37</v>
      </c>
    </row>
    <row r="1281" spans="1:14" x14ac:dyDescent="0.25">
      <c r="A1281">
        <v>9081</v>
      </c>
      <c r="B1281">
        <v>3983</v>
      </c>
      <c r="C1281">
        <f>1/COUNTIF(B:B,pizza_sales[[#This Row],[order_id]])</f>
        <v>1</v>
      </c>
      <c r="D1281" t="s">
        <v>43</v>
      </c>
      <c r="E1281">
        <v>1</v>
      </c>
      <c r="F1281" s="1">
        <v>42219</v>
      </c>
      <c r="G1281" s="1" t="str">
        <f>TEXT(pizza_sales[[#This Row],[order_date]],"dddd")</f>
        <v>Monday</v>
      </c>
      <c r="H1281" s="2">
        <v>0.76771990740740736</v>
      </c>
      <c r="I1281">
        <v>16.25</v>
      </c>
      <c r="J1281">
        <v>16.25</v>
      </c>
      <c r="K1281" t="s">
        <v>59</v>
      </c>
      <c r="L1281" t="s">
        <v>35</v>
      </c>
      <c r="M1281" t="s">
        <v>40</v>
      </c>
      <c r="N1281" t="s">
        <v>41</v>
      </c>
    </row>
    <row r="1282" spans="1:14" x14ac:dyDescent="0.25">
      <c r="A1282">
        <v>9083</v>
      </c>
      <c r="B1282">
        <v>3984</v>
      </c>
      <c r="C1282">
        <f>1/COUNTIF(B:B,pizza_sales[[#This Row],[order_id]])</f>
        <v>0.5</v>
      </c>
      <c r="D1282" t="s">
        <v>45</v>
      </c>
      <c r="E1282">
        <v>1</v>
      </c>
      <c r="F1282" s="1">
        <v>42219</v>
      </c>
      <c r="G1282" s="1" t="str">
        <f>TEXT(pizza_sales[[#This Row],[order_date]],"dddd")</f>
        <v>Monday</v>
      </c>
      <c r="H1282" s="2">
        <v>0.76952546296296298</v>
      </c>
      <c r="I1282">
        <v>10.5</v>
      </c>
      <c r="J1282">
        <v>10.5</v>
      </c>
      <c r="K1282" t="s">
        <v>60</v>
      </c>
      <c r="L1282" t="s">
        <v>13</v>
      </c>
      <c r="M1282" t="s">
        <v>14</v>
      </c>
      <c r="N1282" t="s">
        <v>15</v>
      </c>
    </row>
    <row r="1283" spans="1:14" x14ac:dyDescent="0.25">
      <c r="A1283">
        <v>9084</v>
      </c>
      <c r="B1283">
        <v>3984</v>
      </c>
      <c r="C1283">
        <f>1/COUNTIF(B:B,pizza_sales[[#This Row],[order_id]])</f>
        <v>0.5</v>
      </c>
      <c r="D1283" t="s">
        <v>42</v>
      </c>
      <c r="E1283">
        <v>1</v>
      </c>
      <c r="F1283" s="1">
        <v>42219</v>
      </c>
      <c r="G1283" s="1" t="str">
        <f>TEXT(pizza_sales[[#This Row],[order_date]],"dddd")</f>
        <v>Monday</v>
      </c>
      <c r="H1283" s="2">
        <v>0.76952546296296298</v>
      </c>
      <c r="I1283">
        <v>12.5</v>
      </c>
      <c r="J1283">
        <v>12.5</v>
      </c>
      <c r="K1283" t="s">
        <v>59</v>
      </c>
      <c r="L1283" t="s">
        <v>13</v>
      </c>
      <c r="M1283" t="s">
        <v>26</v>
      </c>
      <c r="N1283" t="s">
        <v>27</v>
      </c>
    </row>
    <row r="1284" spans="1:14" x14ac:dyDescent="0.25">
      <c r="A1284">
        <v>9094</v>
      </c>
      <c r="B1284">
        <v>3988</v>
      </c>
      <c r="C1284">
        <f>1/COUNTIF(B:B,pizza_sales[[#This Row],[order_id]])</f>
        <v>1</v>
      </c>
      <c r="D1284" t="s">
        <v>28</v>
      </c>
      <c r="E1284">
        <v>1</v>
      </c>
      <c r="F1284" s="1">
        <v>42219</v>
      </c>
      <c r="G1284" s="1" t="str">
        <f>TEXT(pizza_sales[[#This Row],[order_date]],"dddd")</f>
        <v>Monday</v>
      </c>
      <c r="H1284" s="2">
        <v>0.81057870370370366</v>
      </c>
      <c r="I1284">
        <v>12</v>
      </c>
      <c r="J1284">
        <v>12</v>
      </c>
      <c r="K1284" t="s">
        <v>60</v>
      </c>
      <c r="L1284" t="s">
        <v>13</v>
      </c>
      <c r="M1284" t="s">
        <v>29</v>
      </c>
      <c r="N1284" t="s">
        <v>30</v>
      </c>
    </row>
    <row r="1285" spans="1:14" x14ac:dyDescent="0.25">
      <c r="A1285">
        <v>9100</v>
      </c>
      <c r="B1285">
        <v>3991</v>
      </c>
      <c r="C1285">
        <f>1/COUNTIF(B:B,pizza_sales[[#This Row],[order_id]])</f>
        <v>1</v>
      </c>
      <c r="D1285" t="s">
        <v>38</v>
      </c>
      <c r="E1285">
        <v>1</v>
      </c>
      <c r="F1285" s="1">
        <v>42219</v>
      </c>
      <c r="G1285" s="1" t="str">
        <f>TEXT(pizza_sales[[#This Row],[order_date]],"dddd")</f>
        <v>Monday</v>
      </c>
      <c r="H1285" s="2">
        <v>0.83604166666666668</v>
      </c>
      <c r="I1285">
        <v>20.5</v>
      </c>
      <c r="J1285">
        <v>20.5</v>
      </c>
      <c r="K1285" t="s">
        <v>58</v>
      </c>
      <c r="L1285" t="s">
        <v>13</v>
      </c>
      <c r="M1285" t="s">
        <v>32</v>
      </c>
      <c r="N1285" t="s">
        <v>33</v>
      </c>
    </row>
    <row r="1286" spans="1:14" x14ac:dyDescent="0.25">
      <c r="A1286">
        <v>9103</v>
      </c>
      <c r="B1286">
        <v>3992</v>
      </c>
      <c r="C1286">
        <f>1/COUNTIF(B:B,pizza_sales[[#This Row],[order_id]])</f>
        <v>0.5</v>
      </c>
      <c r="D1286" t="s">
        <v>28</v>
      </c>
      <c r="E1286">
        <v>1</v>
      </c>
      <c r="F1286" s="1">
        <v>42219</v>
      </c>
      <c r="G1286" s="1" t="str">
        <f>TEXT(pizza_sales[[#This Row],[order_date]],"dddd")</f>
        <v>Monday</v>
      </c>
      <c r="H1286" s="2">
        <v>0.84307870370370375</v>
      </c>
      <c r="I1286">
        <v>12</v>
      </c>
      <c r="J1286">
        <v>12</v>
      </c>
      <c r="K1286" t="s">
        <v>60</v>
      </c>
      <c r="L1286" t="s">
        <v>13</v>
      </c>
      <c r="M1286" t="s">
        <v>29</v>
      </c>
      <c r="N1286" t="s">
        <v>30</v>
      </c>
    </row>
    <row r="1287" spans="1:14" x14ac:dyDescent="0.25">
      <c r="A1287">
        <v>9104</v>
      </c>
      <c r="B1287">
        <v>3992</v>
      </c>
      <c r="C1287">
        <f>1/COUNTIF(B:B,pizza_sales[[#This Row],[order_id]])</f>
        <v>0.5</v>
      </c>
      <c r="D1287" t="s">
        <v>25</v>
      </c>
      <c r="E1287">
        <v>1</v>
      </c>
      <c r="F1287" s="1">
        <v>42219</v>
      </c>
      <c r="G1287" s="1" t="str">
        <f>TEXT(pizza_sales[[#This Row],[order_date]],"dddd")</f>
        <v>Monday</v>
      </c>
      <c r="H1287" s="2">
        <v>0.84307870370370375</v>
      </c>
      <c r="I1287">
        <v>15.25</v>
      </c>
      <c r="J1287">
        <v>15.25</v>
      </c>
      <c r="K1287" t="s">
        <v>58</v>
      </c>
      <c r="L1287" t="s">
        <v>13</v>
      </c>
      <c r="M1287" t="s">
        <v>26</v>
      </c>
      <c r="N1287" t="s">
        <v>27</v>
      </c>
    </row>
    <row r="1288" spans="1:14" x14ac:dyDescent="0.25">
      <c r="A1288">
        <v>9108</v>
      </c>
      <c r="B1288">
        <v>3994</v>
      </c>
      <c r="C1288">
        <f>1/COUNTIF(B:B,pizza_sales[[#This Row],[order_id]])</f>
        <v>1</v>
      </c>
      <c r="D1288" t="s">
        <v>24</v>
      </c>
      <c r="E1288">
        <v>1</v>
      </c>
      <c r="F1288" s="1">
        <v>42219</v>
      </c>
      <c r="G1288" s="1" t="str">
        <f>TEXT(pizza_sales[[#This Row],[order_date]],"dddd")</f>
        <v>Monday</v>
      </c>
      <c r="H1288" s="2">
        <v>0.85427083333333331</v>
      </c>
      <c r="I1288">
        <v>20.25</v>
      </c>
      <c r="J1288">
        <v>20.25</v>
      </c>
      <c r="K1288" t="s">
        <v>58</v>
      </c>
      <c r="L1288" t="s">
        <v>17</v>
      </c>
      <c r="M1288" t="s">
        <v>18</v>
      </c>
      <c r="N1288" t="s">
        <v>19</v>
      </c>
    </row>
    <row r="1289" spans="1:14" x14ac:dyDescent="0.25">
      <c r="A1289">
        <v>9133</v>
      </c>
      <c r="B1289">
        <v>4005</v>
      </c>
      <c r="C1289">
        <f>1/COUNTIF(B:B,pizza_sales[[#This Row],[order_id]])</f>
        <v>1</v>
      </c>
      <c r="D1289" t="s">
        <v>23</v>
      </c>
      <c r="E1289">
        <v>1</v>
      </c>
      <c r="F1289" s="1">
        <v>42250</v>
      </c>
      <c r="G1289" s="1" t="str">
        <f>TEXT(pizza_sales[[#This Row],[order_date]],"dddd")</f>
        <v>Thursday</v>
      </c>
      <c r="H1289" s="2">
        <v>0.52793981481481478</v>
      </c>
      <c r="I1289">
        <v>12</v>
      </c>
      <c r="J1289">
        <v>12</v>
      </c>
      <c r="K1289" t="s">
        <v>60</v>
      </c>
      <c r="L1289" t="s">
        <v>17</v>
      </c>
      <c r="M1289" t="s">
        <v>18</v>
      </c>
      <c r="N1289" t="s">
        <v>19</v>
      </c>
    </row>
    <row r="1290" spans="1:14" x14ac:dyDescent="0.25">
      <c r="A1290">
        <v>9135</v>
      </c>
      <c r="B1290">
        <v>4006</v>
      </c>
      <c r="C1290">
        <f>1/COUNTIF(B:B,pizza_sales[[#This Row],[order_id]])</f>
        <v>1</v>
      </c>
      <c r="D1290" t="s">
        <v>43</v>
      </c>
      <c r="E1290">
        <v>1</v>
      </c>
      <c r="F1290" s="1">
        <v>42250</v>
      </c>
      <c r="G1290" s="1" t="str">
        <f>TEXT(pizza_sales[[#This Row],[order_date]],"dddd")</f>
        <v>Thursday</v>
      </c>
      <c r="H1290" s="2">
        <v>0.53112268518518524</v>
      </c>
      <c r="I1290">
        <v>16.25</v>
      </c>
      <c r="J1290">
        <v>16.25</v>
      </c>
      <c r="K1290" t="s">
        <v>59</v>
      </c>
      <c r="L1290" t="s">
        <v>35</v>
      </c>
      <c r="M1290" t="s">
        <v>40</v>
      </c>
      <c r="N1290" t="s">
        <v>41</v>
      </c>
    </row>
    <row r="1291" spans="1:14" x14ac:dyDescent="0.25">
      <c r="A1291">
        <v>9149</v>
      </c>
      <c r="B1291">
        <v>4012</v>
      </c>
      <c r="C1291">
        <f>1/COUNTIF(B:B,pizza_sales[[#This Row],[order_id]])</f>
        <v>1</v>
      </c>
      <c r="D1291" t="s">
        <v>20</v>
      </c>
      <c r="E1291">
        <v>1</v>
      </c>
      <c r="F1291" s="1">
        <v>42250</v>
      </c>
      <c r="G1291" s="1" t="str">
        <f>TEXT(pizza_sales[[#This Row],[order_date]],"dddd")</f>
        <v>Thursday</v>
      </c>
      <c r="H1291" s="2">
        <v>0.55409722222222224</v>
      </c>
      <c r="I1291">
        <v>12</v>
      </c>
      <c r="J1291">
        <v>12</v>
      </c>
      <c r="K1291" t="s">
        <v>60</v>
      </c>
      <c r="L1291" t="s">
        <v>13</v>
      </c>
      <c r="M1291" t="s">
        <v>21</v>
      </c>
      <c r="N1291" t="s">
        <v>22</v>
      </c>
    </row>
    <row r="1292" spans="1:14" x14ac:dyDescent="0.25">
      <c r="A1292">
        <v>9158</v>
      </c>
      <c r="B1292">
        <v>4014</v>
      </c>
      <c r="C1292">
        <f>1/COUNTIF(B:B,pizza_sales[[#This Row],[order_id]])</f>
        <v>0.5</v>
      </c>
      <c r="D1292" t="s">
        <v>16</v>
      </c>
      <c r="E1292">
        <v>1</v>
      </c>
      <c r="F1292" s="1">
        <v>42250</v>
      </c>
      <c r="G1292" s="1" t="str">
        <f>TEXT(pizza_sales[[#This Row],[order_date]],"dddd")</f>
        <v>Thursday</v>
      </c>
      <c r="H1292" s="2">
        <v>0.56920138888888894</v>
      </c>
      <c r="I1292">
        <v>16</v>
      </c>
      <c r="J1292">
        <v>16</v>
      </c>
      <c r="K1292" t="s">
        <v>59</v>
      </c>
      <c r="L1292" t="s">
        <v>17</v>
      </c>
      <c r="M1292" t="s">
        <v>18</v>
      </c>
      <c r="N1292" t="s">
        <v>19</v>
      </c>
    </row>
    <row r="1293" spans="1:14" x14ac:dyDescent="0.25">
      <c r="A1293">
        <v>9159</v>
      </c>
      <c r="B1293">
        <v>4014</v>
      </c>
      <c r="C1293">
        <f>1/COUNTIF(B:B,pizza_sales[[#This Row],[order_id]])</f>
        <v>0.5</v>
      </c>
      <c r="D1293" t="s">
        <v>42</v>
      </c>
      <c r="E1293">
        <v>1</v>
      </c>
      <c r="F1293" s="1">
        <v>42250</v>
      </c>
      <c r="G1293" s="1" t="str">
        <f>TEXT(pizza_sales[[#This Row],[order_date]],"dddd")</f>
        <v>Thursday</v>
      </c>
      <c r="H1293" s="2">
        <v>0.56920138888888894</v>
      </c>
      <c r="I1293">
        <v>12.5</v>
      </c>
      <c r="J1293">
        <v>12.5</v>
      </c>
      <c r="K1293" t="s">
        <v>59</v>
      </c>
      <c r="L1293" t="s">
        <v>13</v>
      </c>
      <c r="M1293" t="s">
        <v>26</v>
      </c>
      <c r="N1293" t="s">
        <v>27</v>
      </c>
    </row>
    <row r="1294" spans="1:14" x14ac:dyDescent="0.25">
      <c r="A1294">
        <v>9165</v>
      </c>
      <c r="B1294">
        <v>4015</v>
      </c>
      <c r="C1294">
        <f>1/COUNTIF(B:B,pizza_sales[[#This Row],[order_id]])</f>
        <v>1</v>
      </c>
      <c r="D1294" t="s">
        <v>34</v>
      </c>
      <c r="E1294">
        <v>1</v>
      </c>
      <c r="F1294" s="1">
        <v>42250</v>
      </c>
      <c r="G1294" s="1" t="str">
        <f>TEXT(pizza_sales[[#This Row],[order_date]],"dddd")</f>
        <v>Thursday</v>
      </c>
      <c r="H1294" s="2">
        <v>0.58736111111111111</v>
      </c>
      <c r="I1294">
        <v>16.25</v>
      </c>
      <c r="J1294">
        <v>16.25</v>
      </c>
      <c r="K1294" t="s">
        <v>59</v>
      </c>
      <c r="L1294" t="s">
        <v>35</v>
      </c>
      <c r="M1294" t="s">
        <v>36</v>
      </c>
      <c r="N1294" t="s">
        <v>37</v>
      </c>
    </row>
    <row r="1295" spans="1:14" x14ac:dyDescent="0.25">
      <c r="A1295">
        <v>9171</v>
      </c>
      <c r="B1295">
        <v>4016</v>
      </c>
      <c r="C1295">
        <f>1/COUNTIF(B:B,pizza_sales[[#This Row],[order_id]])</f>
        <v>1</v>
      </c>
      <c r="D1295" t="s">
        <v>49</v>
      </c>
      <c r="E1295">
        <v>1</v>
      </c>
      <c r="F1295" s="1">
        <v>42250</v>
      </c>
      <c r="G1295" s="1" t="str">
        <f>TEXT(pizza_sales[[#This Row],[order_date]],"dddd")</f>
        <v>Thursday</v>
      </c>
      <c r="H1295" s="2">
        <v>0.58993055555555551</v>
      </c>
      <c r="I1295">
        <v>16</v>
      </c>
      <c r="J1295">
        <v>16</v>
      </c>
      <c r="K1295" t="s">
        <v>59</v>
      </c>
      <c r="L1295" t="s">
        <v>13</v>
      </c>
      <c r="M1295" t="s">
        <v>21</v>
      </c>
      <c r="N1295" t="s">
        <v>22</v>
      </c>
    </row>
    <row r="1296" spans="1:14" x14ac:dyDescent="0.25">
      <c r="A1296">
        <v>9172</v>
      </c>
      <c r="B1296">
        <v>4017</v>
      </c>
      <c r="C1296">
        <f>1/COUNTIF(B:B,pizza_sales[[#This Row],[order_id]])</f>
        <v>1</v>
      </c>
      <c r="D1296" t="s">
        <v>45</v>
      </c>
      <c r="E1296">
        <v>1</v>
      </c>
      <c r="F1296" s="1">
        <v>42250</v>
      </c>
      <c r="G1296" s="1" t="str">
        <f>TEXT(pizza_sales[[#This Row],[order_date]],"dddd")</f>
        <v>Thursday</v>
      </c>
      <c r="H1296" s="2">
        <v>0.59739583333333335</v>
      </c>
      <c r="I1296">
        <v>10.5</v>
      </c>
      <c r="J1296">
        <v>10.5</v>
      </c>
      <c r="K1296" t="s">
        <v>60</v>
      </c>
      <c r="L1296" t="s">
        <v>13</v>
      </c>
      <c r="M1296" t="s">
        <v>14</v>
      </c>
      <c r="N1296" t="s">
        <v>15</v>
      </c>
    </row>
    <row r="1297" spans="1:14" x14ac:dyDescent="0.25">
      <c r="A1297">
        <v>9174</v>
      </c>
      <c r="B1297">
        <v>4019</v>
      </c>
      <c r="C1297">
        <f>1/COUNTIF(B:B,pizza_sales[[#This Row],[order_id]])</f>
        <v>1</v>
      </c>
      <c r="D1297" t="s">
        <v>45</v>
      </c>
      <c r="E1297">
        <v>1</v>
      </c>
      <c r="F1297" s="1">
        <v>42250</v>
      </c>
      <c r="G1297" s="1" t="str">
        <f>TEXT(pizza_sales[[#This Row],[order_date]],"dddd")</f>
        <v>Thursday</v>
      </c>
      <c r="H1297" s="2">
        <v>0.62185185185185188</v>
      </c>
      <c r="I1297">
        <v>10.5</v>
      </c>
      <c r="J1297">
        <v>10.5</v>
      </c>
      <c r="K1297" t="s">
        <v>60</v>
      </c>
      <c r="L1297" t="s">
        <v>13</v>
      </c>
      <c r="M1297" t="s">
        <v>14</v>
      </c>
      <c r="N1297" t="s">
        <v>15</v>
      </c>
    </row>
    <row r="1298" spans="1:14" x14ac:dyDescent="0.25">
      <c r="A1298">
        <v>9198</v>
      </c>
      <c r="B1298">
        <v>4030</v>
      </c>
      <c r="C1298">
        <f>1/COUNTIF(B:B,pizza_sales[[#This Row],[order_id]])</f>
        <v>1</v>
      </c>
      <c r="D1298" t="s">
        <v>28</v>
      </c>
      <c r="E1298">
        <v>1</v>
      </c>
      <c r="F1298" s="1">
        <v>42250</v>
      </c>
      <c r="G1298" s="1" t="str">
        <f>TEXT(pizza_sales[[#This Row],[order_date]],"dddd")</f>
        <v>Thursday</v>
      </c>
      <c r="H1298" s="2">
        <v>0.71574074074074079</v>
      </c>
      <c r="I1298">
        <v>12</v>
      </c>
      <c r="J1298">
        <v>12</v>
      </c>
      <c r="K1298" t="s">
        <v>60</v>
      </c>
      <c r="L1298" t="s">
        <v>13</v>
      </c>
      <c r="M1298" t="s">
        <v>29</v>
      </c>
      <c r="N1298" t="s">
        <v>30</v>
      </c>
    </row>
    <row r="1299" spans="1:14" x14ac:dyDescent="0.25">
      <c r="A1299">
        <v>9200</v>
      </c>
      <c r="B1299">
        <v>4031</v>
      </c>
      <c r="C1299">
        <f>1/COUNTIF(B:B,pizza_sales[[#This Row],[order_id]])</f>
        <v>0.5</v>
      </c>
      <c r="D1299" t="s">
        <v>28</v>
      </c>
      <c r="E1299">
        <v>1</v>
      </c>
      <c r="F1299" s="1">
        <v>42250</v>
      </c>
      <c r="G1299" s="1" t="str">
        <f>TEXT(pizza_sales[[#This Row],[order_date]],"dddd")</f>
        <v>Thursday</v>
      </c>
      <c r="H1299" s="2">
        <v>0.72658564814814819</v>
      </c>
      <c r="I1299">
        <v>12</v>
      </c>
      <c r="J1299">
        <v>12</v>
      </c>
      <c r="K1299" t="s">
        <v>60</v>
      </c>
      <c r="L1299" t="s">
        <v>13</v>
      </c>
      <c r="M1299" t="s">
        <v>29</v>
      </c>
      <c r="N1299" t="s">
        <v>30</v>
      </c>
    </row>
    <row r="1300" spans="1:14" x14ac:dyDescent="0.25">
      <c r="A1300">
        <v>9202</v>
      </c>
      <c r="B1300">
        <v>4031</v>
      </c>
      <c r="C1300">
        <f>1/COUNTIF(B:B,pizza_sales[[#This Row],[order_id]])</f>
        <v>0.5</v>
      </c>
      <c r="D1300" t="s">
        <v>47</v>
      </c>
      <c r="E1300">
        <v>1</v>
      </c>
      <c r="F1300" s="1">
        <v>42250</v>
      </c>
      <c r="G1300" s="1" t="str">
        <f>TEXT(pizza_sales[[#This Row],[order_date]],"dddd")</f>
        <v>Thursday</v>
      </c>
      <c r="H1300" s="2">
        <v>0.72658564814814819</v>
      </c>
      <c r="I1300">
        <v>16.5</v>
      </c>
      <c r="J1300">
        <v>16.5</v>
      </c>
      <c r="K1300" t="s">
        <v>58</v>
      </c>
      <c r="L1300" t="s">
        <v>13</v>
      </c>
      <c r="M1300" t="s">
        <v>14</v>
      </c>
      <c r="N1300" t="s">
        <v>15</v>
      </c>
    </row>
    <row r="1301" spans="1:14" x14ac:dyDescent="0.25">
      <c r="A1301">
        <v>9203</v>
      </c>
      <c r="B1301">
        <v>4032</v>
      </c>
      <c r="C1301">
        <f>1/COUNTIF(B:B,pizza_sales[[#This Row],[order_id]])</f>
        <v>1</v>
      </c>
      <c r="D1301" t="s">
        <v>48</v>
      </c>
      <c r="E1301">
        <v>1</v>
      </c>
      <c r="F1301" s="1">
        <v>42250</v>
      </c>
      <c r="G1301" s="1" t="str">
        <f>TEXT(pizza_sales[[#This Row],[order_date]],"dddd")</f>
        <v>Thursday</v>
      </c>
      <c r="H1301" s="2">
        <v>0.73668981481481477</v>
      </c>
      <c r="I1301">
        <v>12.25</v>
      </c>
      <c r="J1301">
        <v>12.25</v>
      </c>
      <c r="K1301" t="s">
        <v>60</v>
      </c>
      <c r="L1301" t="s">
        <v>35</v>
      </c>
      <c r="M1301" t="s">
        <v>40</v>
      </c>
      <c r="N1301" t="s">
        <v>41</v>
      </c>
    </row>
    <row r="1302" spans="1:14" x14ac:dyDescent="0.25">
      <c r="A1302">
        <v>9206</v>
      </c>
      <c r="B1302">
        <v>4034</v>
      </c>
      <c r="C1302">
        <f>1/COUNTIF(B:B,pizza_sales[[#This Row],[order_id]])</f>
        <v>0.25</v>
      </c>
      <c r="D1302" t="s">
        <v>45</v>
      </c>
      <c r="E1302">
        <v>1</v>
      </c>
      <c r="F1302" s="1">
        <v>42250</v>
      </c>
      <c r="G1302" s="1" t="str">
        <f>TEXT(pizza_sales[[#This Row],[order_date]],"dddd")</f>
        <v>Thursday</v>
      </c>
      <c r="H1302" s="2">
        <v>0.74186342592592591</v>
      </c>
      <c r="I1302">
        <v>10.5</v>
      </c>
      <c r="J1302">
        <v>10.5</v>
      </c>
      <c r="K1302" t="s">
        <v>60</v>
      </c>
      <c r="L1302" t="s">
        <v>13</v>
      </c>
      <c r="M1302" t="s">
        <v>14</v>
      </c>
      <c r="N1302" t="s">
        <v>15</v>
      </c>
    </row>
    <row r="1303" spans="1:14" x14ac:dyDescent="0.25">
      <c r="A1303">
        <v>9207</v>
      </c>
      <c r="B1303">
        <v>4034</v>
      </c>
      <c r="C1303">
        <f>1/COUNTIF(B:B,pizza_sales[[#This Row],[order_id]])</f>
        <v>0.25</v>
      </c>
      <c r="D1303" t="s">
        <v>16</v>
      </c>
      <c r="E1303">
        <v>1</v>
      </c>
      <c r="F1303" s="1">
        <v>42250</v>
      </c>
      <c r="G1303" s="1" t="str">
        <f>TEXT(pizza_sales[[#This Row],[order_date]],"dddd")</f>
        <v>Thursday</v>
      </c>
      <c r="H1303" s="2">
        <v>0.74186342592592591</v>
      </c>
      <c r="I1303">
        <v>16</v>
      </c>
      <c r="J1303">
        <v>16</v>
      </c>
      <c r="K1303" t="s">
        <v>59</v>
      </c>
      <c r="L1303" t="s">
        <v>17</v>
      </c>
      <c r="M1303" t="s">
        <v>18</v>
      </c>
      <c r="N1303" t="s">
        <v>19</v>
      </c>
    </row>
    <row r="1304" spans="1:14" x14ac:dyDescent="0.25">
      <c r="A1304">
        <v>9208</v>
      </c>
      <c r="B1304">
        <v>4034</v>
      </c>
      <c r="C1304">
        <f>1/COUNTIF(B:B,pizza_sales[[#This Row],[order_id]])</f>
        <v>0.25</v>
      </c>
      <c r="D1304" t="s">
        <v>25</v>
      </c>
      <c r="E1304">
        <v>1</v>
      </c>
      <c r="F1304" s="1">
        <v>42250</v>
      </c>
      <c r="G1304" s="1" t="str">
        <f>TEXT(pizza_sales[[#This Row],[order_date]],"dddd")</f>
        <v>Thursday</v>
      </c>
      <c r="H1304" s="2">
        <v>0.74186342592592591</v>
      </c>
      <c r="I1304">
        <v>15.25</v>
      </c>
      <c r="J1304">
        <v>15.25</v>
      </c>
      <c r="K1304" t="s">
        <v>58</v>
      </c>
      <c r="L1304" t="s">
        <v>13</v>
      </c>
      <c r="M1304" t="s">
        <v>26</v>
      </c>
      <c r="N1304" t="s">
        <v>27</v>
      </c>
    </row>
    <row r="1305" spans="1:14" x14ac:dyDescent="0.25">
      <c r="A1305">
        <v>9209</v>
      </c>
      <c r="B1305">
        <v>4034</v>
      </c>
      <c r="C1305">
        <f>1/COUNTIF(B:B,pizza_sales[[#This Row],[order_id]])</f>
        <v>0.25</v>
      </c>
      <c r="D1305" t="s">
        <v>55</v>
      </c>
      <c r="E1305">
        <v>1</v>
      </c>
      <c r="F1305" s="1">
        <v>42250</v>
      </c>
      <c r="G1305" s="1" t="str">
        <f>TEXT(pizza_sales[[#This Row],[order_date]],"dddd")</f>
        <v>Thursday</v>
      </c>
      <c r="H1305" s="2">
        <v>0.74186342592592591</v>
      </c>
      <c r="I1305">
        <v>20.5</v>
      </c>
      <c r="J1305">
        <v>20.5</v>
      </c>
      <c r="K1305" t="s">
        <v>58</v>
      </c>
      <c r="L1305" t="s">
        <v>13</v>
      </c>
      <c r="M1305" t="s">
        <v>21</v>
      </c>
      <c r="N1305" t="s">
        <v>22</v>
      </c>
    </row>
    <row r="1306" spans="1:14" x14ac:dyDescent="0.25">
      <c r="A1306">
        <v>9219</v>
      </c>
      <c r="B1306">
        <v>4037</v>
      </c>
      <c r="C1306">
        <f>1/COUNTIF(B:B,pizza_sales[[#This Row],[order_id]])</f>
        <v>1</v>
      </c>
      <c r="D1306" t="s">
        <v>25</v>
      </c>
      <c r="E1306">
        <v>1</v>
      </c>
      <c r="F1306" s="1">
        <v>42250</v>
      </c>
      <c r="G1306" s="1" t="str">
        <f>TEXT(pizza_sales[[#This Row],[order_date]],"dddd")</f>
        <v>Thursday</v>
      </c>
      <c r="H1306" s="2">
        <v>0.75108796296296299</v>
      </c>
      <c r="I1306">
        <v>15.25</v>
      </c>
      <c r="J1306">
        <v>15.25</v>
      </c>
      <c r="K1306" t="s">
        <v>58</v>
      </c>
      <c r="L1306" t="s">
        <v>13</v>
      </c>
      <c r="M1306" t="s">
        <v>26</v>
      </c>
      <c r="N1306" t="s">
        <v>27</v>
      </c>
    </row>
    <row r="1307" spans="1:14" x14ac:dyDescent="0.25">
      <c r="A1307">
        <v>9221</v>
      </c>
      <c r="B1307">
        <v>4038</v>
      </c>
      <c r="C1307">
        <f>1/COUNTIF(B:B,pizza_sales[[#This Row],[order_id]])</f>
        <v>1</v>
      </c>
      <c r="D1307" t="s">
        <v>55</v>
      </c>
      <c r="E1307">
        <v>1</v>
      </c>
      <c r="F1307" s="1">
        <v>42250</v>
      </c>
      <c r="G1307" s="1" t="str">
        <f>TEXT(pizza_sales[[#This Row],[order_date]],"dddd")</f>
        <v>Thursday</v>
      </c>
      <c r="H1307" s="2">
        <v>0.7528125</v>
      </c>
      <c r="I1307">
        <v>20.5</v>
      </c>
      <c r="J1307">
        <v>20.5</v>
      </c>
      <c r="K1307" t="s">
        <v>58</v>
      </c>
      <c r="L1307" t="s">
        <v>13</v>
      </c>
      <c r="M1307" t="s">
        <v>21</v>
      </c>
      <c r="N1307" t="s">
        <v>22</v>
      </c>
    </row>
    <row r="1308" spans="1:14" x14ac:dyDescent="0.25">
      <c r="A1308">
        <v>9223</v>
      </c>
      <c r="B1308">
        <v>4040</v>
      </c>
      <c r="C1308">
        <f>1/COUNTIF(B:B,pizza_sales[[#This Row],[order_id]])</f>
        <v>1</v>
      </c>
      <c r="D1308" t="s">
        <v>38</v>
      </c>
      <c r="E1308">
        <v>1</v>
      </c>
      <c r="F1308" s="1">
        <v>42250</v>
      </c>
      <c r="G1308" s="1" t="str">
        <f>TEXT(pizza_sales[[#This Row],[order_date]],"dddd")</f>
        <v>Thursday</v>
      </c>
      <c r="H1308" s="2">
        <v>0.7721527777777778</v>
      </c>
      <c r="I1308">
        <v>20.5</v>
      </c>
      <c r="J1308">
        <v>20.5</v>
      </c>
      <c r="K1308" t="s">
        <v>58</v>
      </c>
      <c r="L1308" t="s">
        <v>13</v>
      </c>
      <c r="M1308" t="s">
        <v>32</v>
      </c>
      <c r="N1308" t="s">
        <v>33</v>
      </c>
    </row>
    <row r="1309" spans="1:14" x14ac:dyDescent="0.25">
      <c r="A1309">
        <v>9225</v>
      </c>
      <c r="B1309">
        <v>4041</v>
      </c>
      <c r="C1309">
        <f>1/COUNTIF(B:B,pizza_sales[[#This Row],[order_id]])</f>
        <v>1</v>
      </c>
      <c r="D1309" t="s">
        <v>28</v>
      </c>
      <c r="E1309">
        <v>1</v>
      </c>
      <c r="F1309" s="1">
        <v>42250</v>
      </c>
      <c r="G1309" s="1" t="str">
        <f>TEXT(pizza_sales[[#This Row],[order_date]],"dddd")</f>
        <v>Thursday</v>
      </c>
      <c r="H1309" s="2">
        <v>0.77331018518518524</v>
      </c>
      <c r="I1309">
        <v>12</v>
      </c>
      <c r="J1309">
        <v>12</v>
      </c>
      <c r="K1309" t="s">
        <v>60</v>
      </c>
      <c r="L1309" t="s">
        <v>13</v>
      </c>
      <c r="M1309" t="s">
        <v>29</v>
      </c>
      <c r="N1309" t="s">
        <v>30</v>
      </c>
    </row>
    <row r="1310" spans="1:14" x14ac:dyDescent="0.25">
      <c r="A1310">
        <v>9227</v>
      </c>
      <c r="B1310">
        <v>4042</v>
      </c>
      <c r="C1310">
        <f>1/COUNTIF(B:B,pizza_sales[[#This Row],[order_id]])</f>
        <v>1</v>
      </c>
      <c r="D1310" t="s">
        <v>24</v>
      </c>
      <c r="E1310">
        <v>1</v>
      </c>
      <c r="F1310" s="1">
        <v>42250</v>
      </c>
      <c r="G1310" s="1" t="str">
        <f>TEXT(pizza_sales[[#This Row],[order_date]],"dddd")</f>
        <v>Thursday</v>
      </c>
      <c r="H1310" s="2">
        <v>0.77619212962962958</v>
      </c>
      <c r="I1310">
        <v>20.25</v>
      </c>
      <c r="J1310">
        <v>20.25</v>
      </c>
      <c r="K1310" t="s">
        <v>58</v>
      </c>
      <c r="L1310" t="s">
        <v>17</v>
      </c>
      <c r="M1310" t="s">
        <v>18</v>
      </c>
      <c r="N1310" t="s">
        <v>19</v>
      </c>
    </row>
    <row r="1311" spans="1:14" x14ac:dyDescent="0.25">
      <c r="A1311">
        <v>9229</v>
      </c>
      <c r="B1311">
        <v>4044</v>
      </c>
      <c r="C1311">
        <f>1/COUNTIF(B:B,pizza_sales[[#This Row],[order_id]])</f>
        <v>1</v>
      </c>
      <c r="D1311" t="s">
        <v>28</v>
      </c>
      <c r="E1311">
        <v>1</v>
      </c>
      <c r="F1311" s="1">
        <v>42250</v>
      </c>
      <c r="G1311" s="1" t="str">
        <f>TEXT(pizza_sales[[#This Row],[order_date]],"dddd")</f>
        <v>Thursday</v>
      </c>
      <c r="H1311" s="2">
        <v>0.79153935185185187</v>
      </c>
      <c r="I1311">
        <v>12</v>
      </c>
      <c r="J1311">
        <v>12</v>
      </c>
      <c r="K1311" t="s">
        <v>60</v>
      </c>
      <c r="L1311" t="s">
        <v>13</v>
      </c>
      <c r="M1311" t="s">
        <v>29</v>
      </c>
      <c r="N1311" t="s">
        <v>30</v>
      </c>
    </row>
    <row r="1312" spans="1:14" x14ac:dyDescent="0.25">
      <c r="A1312">
        <v>9231</v>
      </c>
      <c r="B1312">
        <v>4045</v>
      </c>
      <c r="C1312">
        <f>1/COUNTIF(B:B,pizza_sales[[#This Row],[order_id]])</f>
        <v>1</v>
      </c>
      <c r="D1312" t="s">
        <v>50</v>
      </c>
      <c r="E1312">
        <v>1</v>
      </c>
      <c r="F1312" s="1">
        <v>42250</v>
      </c>
      <c r="G1312" s="1" t="str">
        <f>TEXT(pizza_sales[[#This Row],[order_date]],"dddd")</f>
        <v>Thursday</v>
      </c>
      <c r="H1312" s="2">
        <v>0.79715277777777782</v>
      </c>
      <c r="I1312">
        <v>16</v>
      </c>
      <c r="J1312">
        <v>16</v>
      </c>
      <c r="K1312" t="s">
        <v>59</v>
      </c>
      <c r="L1312" t="s">
        <v>13</v>
      </c>
      <c r="M1312" t="s">
        <v>32</v>
      </c>
      <c r="N1312" t="s">
        <v>33</v>
      </c>
    </row>
    <row r="1313" spans="1:14" x14ac:dyDescent="0.25">
      <c r="A1313">
        <v>9234</v>
      </c>
      <c r="B1313">
        <v>4046</v>
      </c>
      <c r="C1313">
        <f>1/COUNTIF(B:B,pizza_sales[[#This Row],[order_id]])</f>
        <v>1</v>
      </c>
      <c r="D1313" t="s">
        <v>45</v>
      </c>
      <c r="E1313">
        <v>1</v>
      </c>
      <c r="F1313" s="1">
        <v>42250</v>
      </c>
      <c r="G1313" s="1" t="str">
        <f>TEXT(pizza_sales[[#This Row],[order_date]],"dddd")</f>
        <v>Thursday</v>
      </c>
      <c r="H1313" s="2">
        <v>0.80532407407407403</v>
      </c>
      <c r="I1313">
        <v>10.5</v>
      </c>
      <c r="J1313">
        <v>10.5</v>
      </c>
      <c r="K1313" t="s">
        <v>60</v>
      </c>
      <c r="L1313" t="s">
        <v>13</v>
      </c>
      <c r="M1313" t="s">
        <v>14</v>
      </c>
      <c r="N1313" t="s">
        <v>15</v>
      </c>
    </row>
    <row r="1314" spans="1:14" x14ac:dyDescent="0.25">
      <c r="A1314">
        <v>9236</v>
      </c>
      <c r="B1314">
        <v>4048</v>
      </c>
      <c r="C1314">
        <f>1/COUNTIF(B:B,pizza_sales[[#This Row],[order_id]])</f>
        <v>0.33333333333333331</v>
      </c>
      <c r="D1314" t="s">
        <v>51</v>
      </c>
      <c r="E1314">
        <v>1</v>
      </c>
      <c r="F1314" s="1">
        <v>42250</v>
      </c>
      <c r="G1314" s="1" t="str">
        <f>TEXT(pizza_sales[[#This Row],[order_date]],"dddd")</f>
        <v>Thursday</v>
      </c>
      <c r="H1314" s="2">
        <v>0.82143518518518521</v>
      </c>
      <c r="I1314">
        <v>23.65</v>
      </c>
      <c r="J1314">
        <v>23.65</v>
      </c>
      <c r="K1314" t="s">
        <v>60</v>
      </c>
      <c r="L1314" t="s">
        <v>35</v>
      </c>
      <c r="M1314" t="s">
        <v>52</v>
      </c>
      <c r="N1314" t="s">
        <v>53</v>
      </c>
    </row>
    <row r="1315" spans="1:14" x14ac:dyDescent="0.25">
      <c r="A1315">
        <v>9238</v>
      </c>
      <c r="B1315">
        <v>4048</v>
      </c>
      <c r="C1315">
        <f>1/COUNTIF(B:B,pizza_sales[[#This Row],[order_id]])</f>
        <v>0.33333333333333331</v>
      </c>
      <c r="D1315" t="s">
        <v>47</v>
      </c>
      <c r="E1315">
        <v>1</v>
      </c>
      <c r="F1315" s="1">
        <v>42250</v>
      </c>
      <c r="G1315" s="1" t="str">
        <f>TEXT(pizza_sales[[#This Row],[order_date]],"dddd")</f>
        <v>Thursday</v>
      </c>
      <c r="H1315" s="2">
        <v>0.82143518518518521</v>
      </c>
      <c r="I1315">
        <v>16.5</v>
      </c>
      <c r="J1315">
        <v>16.5</v>
      </c>
      <c r="K1315" t="s">
        <v>58</v>
      </c>
      <c r="L1315" t="s">
        <v>13</v>
      </c>
      <c r="M1315" t="s">
        <v>14</v>
      </c>
      <c r="N1315" t="s">
        <v>15</v>
      </c>
    </row>
    <row r="1316" spans="1:14" x14ac:dyDescent="0.25">
      <c r="A1316">
        <v>9239</v>
      </c>
      <c r="B1316">
        <v>4048</v>
      </c>
      <c r="C1316">
        <f>1/COUNTIF(B:B,pizza_sales[[#This Row],[order_id]])</f>
        <v>0.33333333333333331</v>
      </c>
      <c r="D1316" t="s">
        <v>55</v>
      </c>
      <c r="E1316">
        <v>1</v>
      </c>
      <c r="F1316" s="1">
        <v>42250</v>
      </c>
      <c r="G1316" s="1" t="str">
        <f>TEXT(pizza_sales[[#This Row],[order_date]],"dddd")</f>
        <v>Thursday</v>
      </c>
      <c r="H1316" s="2">
        <v>0.82143518518518521</v>
      </c>
      <c r="I1316">
        <v>20.5</v>
      </c>
      <c r="J1316">
        <v>20.5</v>
      </c>
      <c r="K1316" t="s">
        <v>58</v>
      </c>
      <c r="L1316" t="s">
        <v>13</v>
      </c>
      <c r="M1316" t="s">
        <v>21</v>
      </c>
      <c r="N1316" t="s">
        <v>22</v>
      </c>
    </row>
    <row r="1317" spans="1:14" x14ac:dyDescent="0.25">
      <c r="A1317">
        <v>9240</v>
      </c>
      <c r="B1317">
        <v>4049</v>
      </c>
      <c r="C1317">
        <f>1/COUNTIF(B:B,pizza_sales[[#This Row],[order_id]])</f>
        <v>1</v>
      </c>
      <c r="D1317" t="s">
        <v>51</v>
      </c>
      <c r="E1317">
        <v>1</v>
      </c>
      <c r="F1317" s="1">
        <v>42250</v>
      </c>
      <c r="G1317" s="1" t="str">
        <f>TEXT(pizza_sales[[#This Row],[order_date]],"dddd")</f>
        <v>Thursday</v>
      </c>
      <c r="H1317" s="2">
        <v>0.84909722222222217</v>
      </c>
      <c r="I1317">
        <v>23.65</v>
      </c>
      <c r="J1317">
        <v>23.65</v>
      </c>
      <c r="K1317" t="s">
        <v>60</v>
      </c>
      <c r="L1317" t="s">
        <v>35</v>
      </c>
      <c r="M1317" t="s">
        <v>52</v>
      </c>
      <c r="N1317" t="s">
        <v>53</v>
      </c>
    </row>
    <row r="1318" spans="1:14" x14ac:dyDescent="0.25">
      <c r="A1318">
        <v>9245</v>
      </c>
      <c r="B1318">
        <v>4051</v>
      </c>
      <c r="C1318">
        <f>1/COUNTIF(B:B,pizza_sales[[#This Row],[order_id]])</f>
        <v>0.5</v>
      </c>
      <c r="D1318" t="s">
        <v>28</v>
      </c>
      <c r="E1318">
        <v>1</v>
      </c>
      <c r="F1318" s="1">
        <v>42250</v>
      </c>
      <c r="G1318" s="1" t="str">
        <f>TEXT(pizza_sales[[#This Row],[order_date]],"dddd")</f>
        <v>Thursday</v>
      </c>
      <c r="H1318" s="2">
        <v>0.8533680555555555</v>
      </c>
      <c r="I1318">
        <v>12</v>
      </c>
      <c r="J1318">
        <v>12</v>
      </c>
      <c r="K1318" t="s">
        <v>60</v>
      </c>
      <c r="L1318" t="s">
        <v>13</v>
      </c>
      <c r="M1318" t="s">
        <v>29</v>
      </c>
      <c r="N1318" t="s">
        <v>30</v>
      </c>
    </row>
    <row r="1319" spans="1:14" x14ac:dyDescent="0.25">
      <c r="A1319">
        <v>9246</v>
      </c>
      <c r="B1319">
        <v>4051</v>
      </c>
      <c r="C1319">
        <f>1/COUNTIF(B:B,pizza_sales[[#This Row],[order_id]])</f>
        <v>0.5</v>
      </c>
      <c r="D1319" t="s">
        <v>42</v>
      </c>
      <c r="E1319">
        <v>1</v>
      </c>
      <c r="F1319" s="1">
        <v>42250</v>
      </c>
      <c r="G1319" s="1" t="str">
        <f>TEXT(pizza_sales[[#This Row],[order_date]],"dddd")</f>
        <v>Thursday</v>
      </c>
      <c r="H1319" s="2">
        <v>0.8533680555555555</v>
      </c>
      <c r="I1319">
        <v>12.5</v>
      </c>
      <c r="J1319">
        <v>12.5</v>
      </c>
      <c r="K1319" t="s">
        <v>59</v>
      </c>
      <c r="L1319" t="s">
        <v>13</v>
      </c>
      <c r="M1319" t="s">
        <v>26</v>
      </c>
      <c r="N1319" t="s">
        <v>27</v>
      </c>
    </row>
    <row r="1320" spans="1:14" x14ac:dyDescent="0.25">
      <c r="A1320">
        <v>9252</v>
      </c>
      <c r="B1320">
        <v>4055</v>
      </c>
      <c r="C1320">
        <f>1/COUNTIF(B:B,pizza_sales[[#This Row],[order_id]])</f>
        <v>0.5</v>
      </c>
      <c r="D1320" t="s">
        <v>34</v>
      </c>
      <c r="E1320">
        <v>1</v>
      </c>
      <c r="F1320" s="1">
        <v>42250</v>
      </c>
      <c r="G1320" s="1" t="str">
        <f>TEXT(pizza_sales[[#This Row],[order_date]],"dddd")</f>
        <v>Thursday</v>
      </c>
      <c r="H1320" s="2">
        <v>0.91572916666666671</v>
      </c>
      <c r="I1320">
        <v>16.25</v>
      </c>
      <c r="J1320">
        <v>16.25</v>
      </c>
      <c r="K1320" t="s">
        <v>59</v>
      </c>
      <c r="L1320" t="s">
        <v>35</v>
      </c>
      <c r="M1320" t="s">
        <v>36</v>
      </c>
      <c r="N1320" t="s">
        <v>37</v>
      </c>
    </row>
    <row r="1321" spans="1:14" x14ac:dyDescent="0.25">
      <c r="A1321">
        <v>9253</v>
      </c>
      <c r="B1321">
        <v>4055</v>
      </c>
      <c r="C1321">
        <f>1/COUNTIF(B:B,pizza_sales[[#This Row],[order_id]])</f>
        <v>0.5</v>
      </c>
      <c r="D1321" t="s">
        <v>44</v>
      </c>
      <c r="E1321">
        <v>1</v>
      </c>
      <c r="F1321" s="1">
        <v>42250</v>
      </c>
      <c r="G1321" s="1" t="str">
        <f>TEXT(pizza_sales[[#This Row],[order_date]],"dddd")</f>
        <v>Thursday</v>
      </c>
      <c r="H1321" s="2">
        <v>0.91572916666666671</v>
      </c>
      <c r="I1321">
        <v>9.75</v>
      </c>
      <c r="J1321">
        <v>9.75</v>
      </c>
      <c r="K1321" t="s">
        <v>60</v>
      </c>
      <c r="L1321" t="s">
        <v>13</v>
      </c>
      <c r="M1321" t="s">
        <v>26</v>
      </c>
      <c r="N1321" t="s">
        <v>27</v>
      </c>
    </row>
    <row r="1322" spans="1:14" x14ac:dyDescent="0.25">
      <c r="A1322">
        <v>9256</v>
      </c>
      <c r="B1322">
        <v>4056</v>
      </c>
      <c r="C1322">
        <f>1/COUNTIF(B:B,pizza_sales[[#This Row],[order_id]])</f>
        <v>1</v>
      </c>
      <c r="D1322" t="s">
        <v>45</v>
      </c>
      <c r="E1322">
        <v>1</v>
      </c>
      <c r="F1322" s="1">
        <v>42280</v>
      </c>
      <c r="G1322" s="1" t="str">
        <f>TEXT(pizza_sales[[#This Row],[order_date]],"dddd")</f>
        <v>Saturday</v>
      </c>
      <c r="H1322" s="2">
        <v>0.4761111111111111</v>
      </c>
      <c r="I1322">
        <v>10.5</v>
      </c>
      <c r="J1322">
        <v>10.5</v>
      </c>
      <c r="K1322" t="s">
        <v>60</v>
      </c>
      <c r="L1322" t="s">
        <v>13</v>
      </c>
      <c r="M1322" t="s">
        <v>14</v>
      </c>
      <c r="N1322" t="s">
        <v>15</v>
      </c>
    </row>
    <row r="1323" spans="1:14" x14ac:dyDescent="0.25">
      <c r="A1323">
        <v>9260</v>
      </c>
      <c r="B1323">
        <v>4057</v>
      </c>
      <c r="C1323">
        <f>1/COUNTIF(B:B,pizza_sales[[#This Row],[order_id]])</f>
        <v>1</v>
      </c>
      <c r="D1323" t="s">
        <v>12</v>
      </c>
      <c r="E1323">
        <v>2</v>
      </c>
      <c r="F1323" s="1">
        <v>42280</v>
      </c>
      <c r="G1323" s="1" t="str">
        <f>TEXT(pizza_sales[[#This Row],[order_date]],"dddd")</f>
        <v>Saturday</v>
      </c>
      <c r="H1323" s="2">
        <v>0.47840277777777779</v>
      </c>
      <c r="I1323">
        <v>13.25</v>
      </c>
      <c r="J1323">
        <v>26.5</v>
      </c>
      <c r="K1323" t="s">
        <v>59</v>
      </c>
      <c r="L1323" t="s">
        <v>13</v>
      </c>
      <c r="M1323" t="s">
        <v>14</v>
      </c>
      <c r="N1323" t="s">
        <v>15</v>
      </c>
    </row>
    <row r="1324" spans="1:14" x14ac:dyDescent="0.25">
      <c r="A1324">
        <v>9271</v>
      </c>
      <c r="B1324">
        <v>4063</v>
      </c>
      <c r="C1324">
        <f>1/COUNTIF(B:B,pizza_sales[[#This Row],[order_id]])</f>
        <v>0.5</v>
      </c>
      <c r="D1324" t="s">
        <v>47</v>
      </c>
      <c r="E1324">
        <v>1</v>
      </c>
      <c r="F1324" s="1">
        <v>42280</v>
      </c>
      <c r="G1324" s="1" t="str">
        <f>TEXT(pizza_sales[[#This Row],[order_date]],"dddd")</f>
        <v>Saturday</v>
      </c>
      <c r="H1324" s="2">
        <v>0.52421296296296294</v>
      </c>
      <c r="I1324">
        <v>16.5</v>
      </c>
      <c r="J1324">
        <v>16.5</v>
      </c>
      <c r="K1324" t="s">
        <v>58</v>
      </c>
      <c r="L1324" t="s">
        <v>13</v>
      </c>
      <c r="M1324" t="s">
        <v>14</v>
      </c>
      <c r="N1324" t="s">
        <v>15</v>
      </c>
    </row>
    <row r="1325" spans="1:14" x14ac:dyDescent="0.25">
      <c r="A1325">
        <v>9273</v>
      </c>
      <c r="B1325">
        <v>4063</v>
      </c>
      <c r="C1325">
        <f>1/COUNTIF(B:B,pizza_sales[[#This Row],[order_id]])</f>
        <v>0.5</v>
      </c>
      <c r="D1325" t="s">
        <v>42</v>
      </c>
      <c r="E1325">
        <v>1</v>
      </c>
      <c r="F1325" s="1">
        <v>42280</v>
      </c>
      <c r="G1325" s="1" t="str">
        <f>TEXT(pizza_sales[[#This Row],[order_date]],"dddd")</f>
        <v>Saturday</v>
      </c>
      <c r="H1325" s="2">
        <v>0.52421296296296294</v>
      </c>
      <c r="I1325">
        <v>12.5</v>
      </c>
      <c r="J1325">
        <v>12.5</v>
      </c>
      <c r="K1325" t="s">
        <v>59</v>
      </c>
      <c r="L1325" t="s">
        <v>13</v>
      </c>
      <c r="M1325" t="s">
        <v>26</v>
      </c>
      <c r="N1325" t="s">
        <v>27</v>
      </c>
    </row>
    <row r="1326" spans="1:14" x14ac:dyDescent="0.25">
      <c r="A1326">
        <v>9276</v>
      </c>
      <c r="B1326">
        <v>4064</v>
      </c>
      <c r="C1326">
        <f>1/COUNTIF(B:B,pizza_sales[[#This Row],[order_id]])</f>
        <v>0.33333333333333331</v>
      </c>
      <c r="D1326" t="s">
        <v>47</v>
      </c>
      <c r="E1326">
        <v>1</v>
      </c>
      <c r="F1326" s="1">
        <v>42280</v>
      </c>
      <c r="G1326" s="1" t="str">
        <f>TEXT(pizza_sales[[#This Row],[order_date]],"dddd")</f>
        <v>Saturday</v>
      </c>
      <c r="H1326" s="2">
        <v>0.52766203703703707</v>
      </c>
      <c r="I1326">
        <v>16.5</v>
      </c>
      <c r="J1326">
        <v>16.5</v>
      </c>
      <c r="K1326" t="s">
        <v>58</v>
      </c>
      <c r="L1326" t="s">
        <v>13</v>
      </c>
      <c r="M1326" t="s">
        <v>14</v>
      </c>
      <c r="N1326" t="s">
        <v>15</v>
      </c>
    </row>
    <row r="1327" spans="1:14" x14ac:dyDescent="0.25">
      <c r="A1327">
        <v>9278</v>
      </c>
      <c r="B1327">
        <v>4064</v>
      </c>
      <c r="C1327">
        <f>1/COUNTIF(B:B,pizza_sales[[#This Row],[order_id]])</f>
        <v>0.33333333333333331</v>
      </c>
      <c r="D1327" t="s">
        <v>42</v>
      </c>
      <c r="E1327">
        <v>1</v>
      </c>
      <c r="F1327" s="1">
        <v>42280</v>
      </c>
      <c r="G1327" s="1" t="str">
        <f>TEXT(pizza_sales[[#This Row],[order_date]],"dddd")</f>
        <v>Saturday</v>
      </c>
      <c r="H1327" s="2">
        <v>0.52766203703703707</v>
      </c>
      <c r="I1327">
        <v>12.5</v>
      </c>
      <c r="J1327">
        <v>12.5</v>
      </c>
      <c r="K1327" t="s">
        <v>59</v>
      </c>
      <c r="L1327" t="s">
        <v>13</v>
      </c>
      <c r="M1327" t="s">
        <v>26</v>
      </c>
      <c r="N1327" t="s">
        <v>27</v>
      </c>
    </row>
    <row r="1328" spans="1:14" x14ac:dyDescent="0.25">
      <c r="A1328">
        <v>9279</v>
      </c>
      <c r="B1328">
        <v>4064</v>
      </c>
      <c r="C1328">
        <f>1/COUNTIF(B:B,pizza_sales[[#This Row],[order_id]])</f>
        <v>0.33333333333333331</v>
      </c>
      <c r="D1328" t="s">
        <v>44</v>
      </c>
      <c r="E1328">
        <v>1</v>
      </c>
      <c r="F1328" s="1">
        <v>42280</v>
      </c>
      <c r="G1328" s="1" t="str">
        <f>TEXT(pizza_sales[[#This Row],[order_date]],"dddd")</f>
        <v>Saturday</v>
      </c>
      <c r="H1328" s="2">
        <v>0.52766203703703707</v>
      </c>
      <c r="I1328">
        <v>9.75</v>
      </c>
      <c r="J1328">
        <v>9.75</v>
      </c>
      <c r="K1328" t="s">
        <v>60</v>
      </c>
      <c r="L1328" t="s">
        <v>13</v>
      </c>
      <c r="M1328" t="s">
        <v>26</v>
      </c>
      <c r="N1328" t="s">
        <v>27</v>
      </c>
    </row>
    <row r="1329" spans="1:14" x14ac:dyDescent="0.25">
      <c r="A1329">
        <v>9284</v>
      </c>
      <c r="B1329">
        <v>4066</v>
      </c>
      <c r="C1329">
        <f>1/COUNTIF(B:B,pizza_sales[[#This Row],[order_id]])</f>
        <v>1</v>
      </c>
      <c r="D1329" t="s">
        <v>28</v>
      </c>
      <c r="E1329">
        <v>1</v>
      </c>
      <c r="F1329" s="1">
        <v>42280</v>
      </c>
      <c r="G1329" s="1" t="str">
        <f>TEXT(pizza_sales[[#This Row],[order_date]],"dddd")</f>
        <v>Saturday</v>
      </c>
      <c r="H1329" s="2">
        <v>0.53525462962962966</v>
      </c>
      <c r="I1329">
        <v>12</v>
      </c>
      <c r="J1329">
        <v>12</v>
      </c>
      <c r="K1329" t="s">
        <v>60</v>
      </c>
      <c r="L1329" t="s">
        <v>13</v>
      </c>
      <c r="M1329" t="s">
        <v>29</v>
      </c>
      <c r="N1329" t="s">
        <v>30</v>
      </c>
    </row>
    <row r="1330" spans="1:14" x14ac:dyDescent="0.25">
      <c r="A1330">
        <v>9286</v>
      </c>
      <c r="B1330">
        <v>4068</v>
      </c>
      <c r="C1330">
        <f>1/COUNTIF(B:B,pizza_sales[[#This Row],[order_id]])</f>
        <v>0.5</v>
      </c>
      <c r="D1330" t="s">
        <v>28</v>
      </c>
      <c r="E1330">
        <v>1</v>
      </c>
      <c r="F1330" s="1">
        <v>42280</v>
      </c>
      <c r="G1330" s="1" t="str">
        <f>TEXT(pizza_sales[[#This Row],[order_date]],"dddd")</f>
        <v>Saturday</v>
      </c>
      <c r="H1330" s="2">
        <v>0.53935185185185186</v>
      </c>
      <c r="I1330">
        <v>12</v>
      </c>
      <c r="J1330">
        <v>12</v>
      </c>
      <c r="K1330" t="s">
        <v>60</v>
      </c>
      <c r="L1330" t="s">
        <v>13</v>
      </c>
      <c r="M1330" t="s">
        <v>29</v>
      </c>
      <c r="N1330" t="s">
        <v>30</v>
      </c>
    </row>
    <row r="1331" spans="1:14" x14ac:dyDescent="0.25">
      <c r="A1331">
        <v>9288</v>
      </c>
      <c r="B1331">
        <v>4068</v>
      </c>
      <c r="C1331">
        <f>1/COUNTIF(B:B,pizza_sales[[#This Row],[order_id]])</f>
        <v>0.5</v>
      </c>
      <c r="D1331" t="s">
        <v>50</v>
      </c>
      <c r="E1331">
        <v>1</v>
      </c>
      <c r="F1331" s="1">
        <v>42280</v>
      </c>
      <c r="G1331" s="1" t="str">
        <f>TEXT(pizza_sales[[#This Row],[order_date]],"dddd")</f>
        <v>Saturday</v>
      </c>
      <c r="H1331" s="2">
        <v>0.53935185185185186</v>
      </c>
      <c r="I1331">
        <v>16</v>
      </c>
      <c r="J1331">
        <v>16</v>
      </c>
      <c r="K1331" t="s">
        <v>59</v>
      </c>
      <c r="L1331" t="s">
        <v>13</v>
      </c>
      <c r="M1331" t="s">
        <v>32</v>
      </c>
      <c r="N1331" t="s">
        <v>33</v>
      </c>
    </row>
    <row r="1332" spans="1:14" x14ac:dyDescent="0.25">
      <c r="A1332">
        <v>9292</v>
      </c>
      <c r="B1332">
        <v>4070</v>
      </c>
      <c r="C1332">
        <f>1/COUNTIF(B:B,pizza_sales[[#This Row],[order_id]])</f>
        <v>1</v>
      </c>
      <c r="D1332" t="s">
        <v>24</v>
      </c>
      <c r="E1332">
        <v>1</v>
      </c>
      <c r="F1332" s="1">
        <v>42280</v>
      </c>
      <c r="G1332" s="1" t="str">
        <f>TEXT(pizza_sales[[#This Row],[order_date]],"dddd")</f>
        <v>Saturday</v>
      </c>
      <c r="H1332" s="2">
        <v>0.54829861111111111</v>
      </c>
      <c r="I1332">
        <v>20.25</v>
      </c>
      <c r="J1332">
        <v>20.25</v>
      </c>
      <c r="K1332" t="s">
        <v>58</v>
      </c>
      <c r="L1332" t="s">
        <v>17</v>
      </c>
      <c r="M1332" t="s">
        <v>18</v>
      </c>
      <c r="N1332" t="s">
        <v>19</v>
      </c>
    </row>
    <row r="1333" spans="1:14" x14ac:dyDescent="0.25">
      <c r="A1333">
        <v>9307</v>
      </c>
      <c r="B1333">
        <v>4077</v>
      </c>
      <c r="C1333">
        <f>1/COUNTIF(B:B,pizza_sales[[#This Row],[order_id]])</f>
        <v>0.33333333333333331</v>
      </c>
      <c r="D1333" t="s">
        <v>47</v>
      </c>
      <c r="E1333">
        <v>1</v>
      </c>
      <c r="F1333" s="1">
        <v>42280</v>
      </c>
      <c r="G1333" s="1" t="str">
        <f>TEXT(pizza_sales[[#This Row],[order_date]],"dddd")</f>
        <v>Saturday</v>
      </c>
      <c r="H1333" s="2">
        <v>0.57998842592592592</v>
      </c>
      <c r="I1333">
        <v>16.5</v>
      </c>
      <c r="J1333">
        <v>16.5</v>
      </c>
      <c r="K1333" t="s">
        <v>58</v>
      </c>
      <c r="L1333" t="s">
        <v>13</v>
      </c>
      <c r="M1333" t="s">
        <v>14</v>
      </c>
      <c r="N1333" t="s">
        <v>15</v>
      </c>
    </row>
    <row r="1334" spans="1:14" x14ac:dyDescent="0.25">
      <c r="A1334">
        <v>9309</v>
      </c>
      <c r="B1334">
        <v>4077</v>
      </c>
      <c r="C1334">
        <f>1/COUNTIF(B:B,pizza_sales[[#This Row],[order_id]])</f>
        <v>0.33333333333333331</v>
      </c>
      <c r="D1334" t="s">
        <v>16</v>
      </c>
      <c r="E1334">
        <v>1</v>
      </c>
      <c r="F1334" s="1">
        <v>42280</v>
      </c>
      <c r="G1334" s="1" t="str">
        <f>TEXT(pizza_sales[[#This Row],[order_date]],"dddd")</f>
        <v>Saturday</v>
      </c>
      <c r="H1334" s="2">
        <v>0.57998842592592592</v>
      </c>
      <c r="I1334">
        <v>16</v>
      </c>
      <c r="J1334">
        <v>16</v>
      </c>
      <c r="K1334" t="s">
        <v>59</v>
      </c>
      <c r="L1334" t="s">
        <v>17</v>
      </c>
      <c r="M1334" t="s">
        <v>18</v>
      </c>
      <c r="N1334" t="s">
        <v>19</v>
      </c>
    </row>
    <row r="1335" spans="1:14" x14ac:dyDescent="0.25">
      <c r="A1335">
        <v>9310</v>
      </c>
      <c r="B1335">
        <v>4077</v>
      </c>
      <c r="C1335">
        <f>1/COUNTIF(B:B,pizza_sales[[#This Row],[order_id]])</f>
        <v>0.33333333333333331</v>
      </c>
      <c r="D1335" t="s">
        <v>39</v>
      </c>
      <c r="E1335">
        <v>1</v>
      </c>
      <c r="F1335" s="1">
        <v>42280</v>
      </c>
      <c r="G1335" s="1" t="str">
        <f>TEXT(pizza_sales[[#This Row],[order_date]],"dddd")</f>
        <v>Saturday</v>
      </c>
      <c r="H1335" s="2">
        <v>0.57998842592592592</v>
      </c>
      <c r="I1335">
        <v>20.25</v>
      </c>
      <c r="J1335">
        <v>20.25</v>
      </c>
      <c r="K1335" t="s">
        <v>58</v>
      </c>
      <c r="L1335" t="s">
        <v>35</v>
      </c>
      <c r="M1335" t="s">
        <v>40</v>
      </c>
      <c r="N1335" t="s">
        <v>41</v>
      </c>
    </row>
    <row r="1336" spans="1:14" x14ac:dyDescent="0.25">
      <c r="A1336">
        <v>9315</v>
      </c>
      <c r="B1336">
        <v>4078</v>
      </c>
      <c r="C1336">
        <f>1/COUNTIF(B:B,pizza_sales[[#This Row],[order_id]])</f>
        <v>0.5</v>
      </c>
      <c r="D1336" t="s">
        <v>45</v>
      </c>
      <c r="E1336">
        <v>1</v>
      </c>
      <c r="F1336" s="1">
        <v>42280</v>
      </c>
      <c r="G1336" s="1" t="str">
        <f>TEXT(pizza_sales[[#This Row],[order_date]],"dddd")</f>
        <v>Saturday</v>
      </c>
      <c r="H1336" s="2">
        <v>0.58797453703703706</v>
      </c>
      <c r="I1336">
        <v>10.5</v>
      </c>
      <c r="J1336">
        <v>10.5</v>
      </c>
      <c r="K1336" t="s">
        <v>60</v>
      </c>
      <c r="L1336" t="s">
        <v>13</v>
      </c>
      <c r="M1336" t="s">
        <v>14</v>
      </c>
      <c r="N1336" t="s">
        <v>15</v>
      </c>
    </row>
    <row r="1337" spans="1:14" x14ac:dyDescent="0.25">
      <c r="A1337">
        <v>9316</v>
      </c>
      <c r="B1337">
        <v>4078</v>
      </c>
      <c r="C1337">
        <f>1/COUNTIF(B:B,pizza_sales[[#This Row],[order_id]])</f>
        <v>0.5</v>
      </c>
      <c r="D1337" t="s">
        <v>42</v>
      </c>
      <c r="E1337">
        <v>1</v>
      </c>
      <c r="F1337" s="1">
        <v>42280</v>
      </c>
      <c r="G1337" s="1" t="str">
        <f>TEXT(pizza_sales[[#This Row],[order_date]],"dddd")</f>
        <v>Saturday</v>
      </c>
      <c r="H1337" s="2">
        <v>0.58797453703703706</v>
      </c>
      <c r="I1337">
        <v>12.5</v>
      </c>
      <c r="J1337">
        <v>12.5</v>
      </c>
      <c r="K1337" t="s">
        <v>59</v>
      </c>
      <c r="L1337" t="s">
        <v>13</v>
      </c>
      <c r="M1337" t="s">
        <v>26</v>
      </c>
      <c r="N1337" t="s">
        <v>27</v>
      </c>
    </row>
    <row r="1338" spans="1:14" x14ac:dyDescent="0.25">
      <c r="A1338">
        <v>9320</v>
      </c>
      <c r="B1338">
        <v>4080</v>
      </c>
      <c r="C1338">
        <f>1/COUNTIF(B:B,pizza_sales[[#This Row],[order_id]])</f>
        <v>1</v>
      </c>
      <c r="D1338" t="s">
        <v>20</v>
      </c>
      <c r="E1338">
        <v>1</v>
      </c>
      <c r="F1338" s="1">
        <v>42280</v>
      </c>
      <c r="G1338" s="1" t="str">
        <f>TEXT(pizza_sales[[#This Row],[order_date]],"dddd")</f>
        <v>Saturday</v>
      </c>
      <c r="H1338" s="2">
        <v>0.609837962962963</v>
      </c>
      <c r="I1338">
        <v>12</v>
      </c>
      <c r="J1338">
        <v>12</v>
      </c>
      <c r="K1338" t="s">
        <v>60</v>
      </c>
      <c r="L1338" t="s">
        <v>13</v>
      </c>
      <c r="M1338" t="s">
        <v>21</v>
      </c>
      <c r="N1338" t="s">
        <v>22</v>
      </c>
    </row>
    <row r="1339" spans="1:14" x14ac:dyDescent="0.25">
      <c r="A1339">
        <v>9328</v>
      </c>
      <c r="B1339">
        <v>4085</v>
      </c>
      <c r="C1339">
        <f>1/COUNTIF(B:B,pizza_sales[[#This Row],[order_id]])</f>
        <v>1</v>
      </c>
      <c r="D1339" t="s">
        <v>24</v>
      </c>
      <c r="E1339">
        <v>1</v>
      </c>
      <c r="F1339" s="1">
        <v>42280</v>
      </c>
      <c r="G1339" s="1" t="str">
        <f>TEXT(pizza_sales[[#This Row],[order_date]],"dddd")</f>
        <v>Saturday</v>
      </c>
      <c r="H1339" s="2">
        <v>0.62370370370370365</v>
      </c>
      <c r="I1339">
        <v>20.25</v>
      </c>
      <c r="J1339">
        <v>20.25</v>
      </c>
      <c r="K1339" t="s">
        <v>58</v>
      </c>
      <c r="L1339" t="s">
        <v>17</v>
      </c>
      <c r="M1339" t="s">
        <v>18</v>
      </c>
      <c r="N1339" t="s">
        <v>19</v>
      </c>
    </row>
    <row r="1340" spans="1:14" x14ac:dyDescent="0.25">
      <c r="A1340">
        <v>9331</v>
      </c>
      <c r="B1340">
        <v>4087</v>
      </c>
      <c r="C1340">
        <f>1/COUNTIF(B:B,pizza_sales[[#This Row],[order_id]])</f>
        <v>1</v>
      </c>
      <c r="D1340" t="s">
        <v>28</v>
      </c>
      <c r="E1340">
        <v>1</v>
      </c>
      <c r="F1340" s="1">
        <v>42280</v>
      </c>
      <c r="G1340" s="1" t="str">
        <f>TEXT(pizza_sales[[#This Row],[order_date]],"dddd")</f>
        <v>Saturday</v>
      </c>
      <c r="H1340" s="2">
        <v>0.65417824074074071</v>
      </c>
      <c r="I1340">
        <v>12</v>
      </c>
      <c r="J1340">
        <v>12</v>
      </c>
      <c r="K1340" t="s">
        <v>60</v>
      </c>
      <c r="L1340" t="s">
        <v>13</v>
      </c>
      <c r="M1340" t="s">
        <v>29</v>
      </c>
      <c r="N1340" t="s">
        <v>30</v>
      </c>
    </row>
    <row r="1341" spans="1:14" x14ac:dyDescent="0.25">
      <c r="A1341">
        <v>9335</v>
      </c>
      <c r="B1341">
        <v>4088</v>
      </c>
      <c r="C1341">
        <f>1/COUNTIF(B:B,pizza_sales[[#This Row],[order_id]])</f>
        <v>1</v>
      </c>
      <c r="D1341" t="s">
        <v>55</v>
      </c>
      <c r="E1341">
        <v>1</v>
      </c>
      <c r="F1341" s="1">
        <v>42280</v>
      </c>
      <c r="G1341" s="1" t="str">
        <f>TEXT(pizza_sales[[#This Row],[order_date]],"dddd")</f>
        <v>Saturday</v>
      </c>
      <c r="H1341" s="2">
        <v>0.65834490740740736</v>
      </c>
      <c r="I1341">
        <v>20.5</v>
      </c>
      <c r="J1341">
        <v>20.5</v>
      </c>
      <c r="K1341" t="s">
        <v>58</v>
      </c>
      <c r="L1341" t="s">
        <v>13</v>
      </c>
      <c r="M1341" t="s">
        <v>21</v>
      </c>
      <c r="N1341" t="s">
        <v>22</v>
      </c>
    </row>
    <row r="1342" spans="1:14" x14ac:dyDescent="0.25">
      <c r="A1342">
        <v>9336</v>
      </c>
      <c r="B1342">
        <v>4089</v>
      </c>
      <c r="C1342">
        <f>1/COUNTIF(B:B,pizza_sales[[#This Row],[order_id]])</f>
        <v>1</v>
      </c>
      <c r="D1342" t="s">
        <v>51</v>
      </c>
      <c r="E1342">
        <v>1</v>
      </c>
      <c r="F1342" s="1">
        <v>42280</v>
      </c>
      <c r="G1342" s="1" t="str">
        <f>TEXT(pizza_sales[[#This Row],[order_date]],"dddd")</f>
        <v>Saturday</v>
      </c>
      <c r="H1342" s="2">
        <v>0.66957175925925927</v>
      </c>
      <c r="I1342">
        <v>23.65</v>
      </c>
      <c r="J1342">
        <v>23.65</v>
      </c>
      <c r="K1342" t="s">
        <v>60</v>
      </c>
      <c r="L1342" t="s">
        <v>35</v>
      </c>
      <c r="M1342" t="s">
        <v>52</v>
      </c>
      <c r="N1342" t="s">
        <v>53</v>
      </c>
    </row>
    <row r="1343" spans="1:14" x14ac:dyDescent="0.25">
      <c r="A1343">
        <v>9350</v>
      </c>
      <c r="B1343">
        <v>4094</v>
      </c>
      <c r="C1343">
        <f>1/COUNTIF(B:B,pizza_sales[[#This Row],[order_id]])</f>
        <v>1</v>
      </c>
      <c r="D1343" t="s">
        <v>28</v>
      </c>
      <c r="E1343">
        <v>1</v>
      </c>
      <c r="F1343" s="1">
        <v>42280</v>
      </c>
      <c r="G1343" s="1" t="str">
        <f>TEXT(pizza_sales[[#This Row],[order_date]],"dddd")</f>
        <v>Saturday</v>
      </c>
      <c r="H1343" s="2">
        <v>0.7179861111111111</v>
      </c>
      <c r="I1343">
        <v>12</v>
      </c>
      <c r="J1343">
        <v>12</v>
      </c>
      <c r="K1343" t="s">
        <v>60</v>
      </c>
      <c r="L1343" t="s">
        <v>13</v>
      </c>
      <c r="M1343" t="s">
        <v>29</v>
      </c>
      <c r="N1343" t="s">
        <v>30</v>
      </c>
    </row>
    <row r="1344" spans="1:14" x14ac:dyDescent="0.25">
      <c r="A1344">
        <v>9354</v>
      </c>
      <c r="B1344">
        <v>4097</v>
      </c>
      <c r="C1344">
        <f>1/COUNTIF(B:B,pizza_sales[[#This Row],[order_id]])</f>
        <v>0.5</v>
      </c>
      <c r="D1344" t="s">
        <v>47</v>
      </c>
      <c r="E1344">
        <v>1</v>
      </c>
      <c r="F1344" s="1">
        <v>42280</v>
      </c>
      <c r="G1344" s="1" t="str">
        <f>TEXT(pizza_sales[[#This Row],[order_date]],"dddd")</f>
        <v>Saturday</v>
      </c>
      <c r="H1344" s="2">
        <v>0.74835648148148148</v>
      </c>
      <c r="I1344">
        <v>16.5</v>
      </c>
      <c r="J1344">
        <v>16.5</v>
      </c>
      <c r="K1344" t="s">
        <v>58</v>
      </c>
      <c r="L1344" t="s">
        <v>13</v>
      </c>
      <c r="M1344" t="s">
        <v>14</v>
      </c>
      <c r="N1344" t="s">
        <v>15</v>
      </c>
    </row>
    <row r="1345" spans="1:14" x14ac:dyDescent="0.25">
      <c r="A1345">
        <v>9355</v>
      </c>
      <c r="B1345">
        <v>4097</v>
      </c>
      <c r="C1345">
        <f>1/COUNTIF(B:B,pizza_sales[[#This Row],[order_id]])</f>
        <v>0.5</v>
      </c>
      <c r="D1345" t="s">
        <v>24</v>
      </c>
      <c r="E1345">
        <v>1</v>
      </c>
      <c r="F1345" s="1">
        <v>42280</v>
      </c>
      <c r="G1345" s="1" t="str">
        <f>TEXT(pizza_sales[[#This Row],[order_date]],"dddd")</f>
        <v>Saturday</v>
      </c>
      <c r="H1345" s="2">
        <v>0.74835648148148148</v>
      </c>
      <c r="I1345">
        <v>20.25</v>
      </c>
      <c r="J1345">
        <v>20.25</v>
      </c>
      <c r="K1345" t="s">
        <v>58</v>
      </c>
      <c r="L1345" t="s">
        <v>17</v>
      </c>
      <c r="M1345" t="s">
        <v>18</v>
      </c>
      <c r="N1345" t="s">
        <v>19</v>
      </c>
    </row>
    <row r="1346" spans="1:14" x14ac:dyDescent="0.25">
      <c r="A1346">
        <v>9357</v>
      </c>
      <c r="B1346">
        <v>4098</v>
      </c>
      <c r="C1346">
        <f>1/COUNTIF(B:B,pizza_sales[[#This Row],[order_id]])</f>
        <v>1</v>
      </c>
      <c r="D1346" t="s">
        <v>45</v>
      </c>
      <c r="E1346">
        <v>1</v>
      </c>
      <c r="F1346" s="1">
        <v>42280</v>
      </c>
      <c r="G1346" s="1" t="str">
        <f>TEXT(pizza_sales[[#This Row],[order_date]],"dddd")</f>
        <v>Saturday</v>
      </c>
      <c r="H1346" s="2">
        <v>0.76443287037037033</v>
      </c>
      <c r="I1346">
        <v>10.5</v>
      </c>
      <c r="J1346">
        <v>10.5</v>
      </c>
      <c r="K1346" t="s">
        <v>60</v>
      </c>
      <c r="L1346" t="s">
        <v>13</v>
      </c>
      <c r="M1346" t="s">
        <v>14</v>
      </c>
      <c r="N1346" t="s">
        <v>15</v>
      </c>
    </row>
    <row r="1347" spans="1:14" x14ac:dyDescent="0.25">
      <c r="A1347">
        <v>9359</v>
      </c>
      <c r="B1347">
        <v>4099</v>
      </c>
      <c r="C1347">
        <f>1/COUNTIF(B:B,pizza_sales[[#This Row],[order_id]])</f>
        <v>1</v>
      </c>
      <c r="D1347" t="s">
        <v>51</v>
      </c>
      <c r="E1347">
        <v>1</v>
      </c>
      <c r="F1347" s="1">
        <v>42280</v>
      </c>
      <c r="G1347" s="1" t="str">
        <f>TEXT(pizza_sales[[#This Row],[order_date]],"dddd")</f>
        <v>Saturday</v>
      </c>
      <c r="H1347" s="2">
        <v>0.76487268518518514</v>
      </c>
      <c r="I1347">
        <v>23.65</v>
      </c>
      <c r="J1347">
        <v>23.65</v>
      </c>
      <c r="K1347" t="s">
        <v>60</v>
      </c>
      <c r="L1347" t="s">
        <v>35</v>
      </c>
      <c r="M1347" t="s">
        <v>52</v>
      </c>
      <c r="N1347" t="s">
        <v>53</v>
      </c>
    </row>
    <row r="1348" spans="1:14" x14ac:dyDescent="0.25">
      <c r="A1348">
        <v>9361</v>
      </c>
      <c r="B1348">
        <v>4100</v>
      </c>
      <c r="C1348">
        <f>1/COUNTIF(B:B,pizza_sales[[#This Row],[order_id]])</f>
        <v>1</v>
      </c>
      <c r="D1348" t="s">
        <v>47</v>
      </c>
      <c r="E1348">
        <v>1</v>
      </c>
      <c r="F1348" s="1">
        <v>42280</v>
      </c>
      <c r="G1348" s="1" t="str">
        <f>TEXT(pizza_sales[[#This Row],[order_date]],"dddd")</f>
        <v>Saturday</v>
      </c>
      <c r="H1348" s="2">
        <v>0.77090277777777783</v>
      </c>
      <c r="I1348">
        <v>16.5</v>
      </c>
      <c r="J1348">
        <v>16.5</v>
      </c>
      <c r="K1348" t="s">
        <v>58</v>
      </c>
      <c r="L1348" t="s">
        <v>13</v>
      </c>
      <c r="M1348" t="s">
        <v>14</v>
      </c>
      <c r="N1348" t="s">
        <v>15</v>
      </c>
    </row>
    <row r="1349" spans="1:14" x14ac:dyDescent="0.25">
      <c r="A1349">
        <v>9363</v>
      </c>
      <c r="B1349">
        <v>4102</v>
      </c>
      <c r="C1349">
        <f>1/COUNTIF(B:B,pizza_sales[[#This Row],[order_id]])</f>
        <v>1</v>
      </c>
      <c r="D1349" t="s">
        <v>28</v>
      </c>
      <c r="E1349">
        <v>1</v>
      </c>
      <c r="F1349" s="1">
        <v>42280</v>
      </c>
      <c r="G1349" s="1" t="str">
        <f>TEXT(pizza_sales[[#This Row],[order_date]],"dddd")</f>
        <v>Saturday</v>
      </c>
      <c r="H1349" s="2">
        <v>0.78162037037037035</v>
      </c>
      <c r="I1349">
        <v>12</v>
      </c>
      <c r="J1349">
        <v>12</v>
      </c>
      <c r="K1349" t="s">
        <v>60</v>
      </c>
      <c r="L1349" t="s">
        <v>13</v>
      </c>
      <c r="M1349" t="s">
        <v>29</v>
      </c>
      <c r="N1349" t="s">
        <v>30</v>
      </c>
    </row>
    <row r="1350" spans="1:14" x14ac:dyDescent="0.25">
      <c r="A1350">
        <v>9365</v>
      </c>
      <c r="B1350">
        <v>4103</v>
      </c>
      <c r="C1350">
        <f>1/COUNTIF(B:B,pizza_sales[[#This Row],[order_id]])</f>
        <v>0.33333333333333331</v>
      </c>
      <c r="D1350" t="s">
        <v>28</v>
      </c>
      <c r="E1350">
        <v>1</v>
      </c>
      <c r="F1350" s="1">
        <v>42280</v>
      </c>
      <c r="G1350" s="1" t="str">
        <f>TEXT(pizza_sales[[#This Row],[order_date]],"dddd")</f>
        <v>Saturday</v>
      </c>
      <c r="H1350" s="2">
        <v>0.79865740740740743</v>
      </c>
      <c r="I1350">
        <v>12</v>
      </c>
      <c r="J1350">
        <v>12</v>
      </c>
      <c r="K1350" t="s">
        <v>60</v>
      </c>
      <c r="L1350" t="s">
        <v>13</v>
      </c>
      <c r="M1350" t="s">
        <v>29</v>
      </c>
      <c r="N1350" t="s">
        <v>30</v>
      </c>
    </row>
    <row r="1351" spans="1:14" x14ac:dyDescent="0.25">
      <c r="A1351">
        <v>9366</v>
      </c>
      <c r="B1351">
        <v>4103</v>
      </c>
      <c r="C1351">
        <f>1/COUNTIF(B:B,pizza_sales[[#This Row],[order_id]])</f>
        <v>0.33333333333333331</v>
      </c>
      <c r="D1351" t="s">
        <v>44</v>
      </c>
      <c r="E1351">
        <v>1</v>
      </c>
      <c r="F1351" s="1">
        <v>42280</v>
      </c>
      <c r="G1351" s="1" t="str">
        <f>TEXT(pizza_sales[[#This Row],[order_date]],"dddd")</f>
        <v>Saturday</v>
      </c>
      <c r="H1351" s="2">
        <v>0.79865740740740743</v>
      </c>
      <c r="I1351">
        <v>9.75</v>
      </c>
      <c r="J1351">
        <v>9.75</v>
      </c>
      <c r="K1351" t="s">
        <v>60</v>
      </c>
      <c r="L1351" t="s">
        <v>13</v>
      </c>
      <c r="M1351" t="s">
        <v>26</v>
      </c>
      <c r="N1351" t="s">
        <v>27</v>
      </c>
    </row>
    <row r="1352" spans="1:14" x14ac:dyDescent="0.25">
      <c r="A1352">
        <v>9367</v>
      </c>
      <c r="B1352">
        <v>4103</v>
      </c>
      <c r="C1352">
        <f>1/COUNTIF(B:B,pizza_sales[[#This Row],[order_id]])</f>
        <v>0.33333333333333331</v>
      </c>
      <c r="D1352" t="s">
        <v>39</v>
      </c>
      <c r="E1352">
        <v>1</v>
      </c>
      <c r="F1352" s="1">
        <v>42280</v>
      </c>
      <c r="G1352" s="1" t="str">
        <f>TEXT(pizza_sales[[#This Row],[order_date]],"dddd")</f>
        <v>Saturday</v>
      </c>
      <c r="H1352" s="2">
        <v>0.79865740740740743</v>
      </c>
      <c r="I1352">
        <v>20.25</v>
      </c>
      <c r="J1352">
        <v>20.25</v>
      </c>
      <c r="K1352" t="s">
        <v>58</v>
      </c>
      <c r="L1352" t="s">
        <v>35</v>
      </c>
      <c r="M1352" t="s">
        <v>40</v>
      </c>
      <c r="N1352" t="s">
        <v>41</v>
      </c>
    </row>
    <row r="1353" spans="1:14" x14ac:dyDescent="0.25">
      <c r="A1353">
        <v>9372</v>
      </c>
      <c r="B1353">
        <v>4105</v>
      </c>
      <c r="C1353">
        <f>1/COUNTIF(B:B,pizza_sales[[#This Row],[order_id]])</f>
        <v>1</v>
      </c>
      <c r="D1353" t="s">
        <v>16</v>
      </c>
      <c r="E1353">
        <v>1</v>
      </c>
      <c r="F1353" s="1">
        <v>42280</v>
      </c>
      <c r="G1353" s="1" t="str">
        <f>TEXT(pizza_sales[[#This Row],[order_date]],"dddd")</f>
        <v>Saturday</v>
      </c>
      <c r="H1353" s="2">
        <v>0.81297453703703704</v>
      </c>
      <c r="I1353">
        <v>16</v>
      </c>
      <c r="J1353">
        <v>16</v>
      </c>
      <c r="K1353" t="s">
        <v>59</v>
      </c>
      <c r="L1353" t="s">
        <v>17</v>
      </c>
      <c r="M1353" t="s">
        <v>18</v>
      </c>
      <c r="N1353" t="s">
        <v>19</v>
      </c>
    </row>
    <row r="1354" spans="1:14" x14ac:dyDescent="0.25">
      <c r="A1354">
        <v>9374</v>
      </c>
      <c r="B1354">
        <v>4106</v>
      </c>
      <c r="C1354">
        <f>1/COUNTIF(B:B,pizza_sales[[#This Row],[order_id]])</f>
        <v>0.5</v>
      </c>
      <c r="D1354" t="s">
        <v>28</v>
      </c>
      <c r="E1354">
        <v>1</v>
      </c>
      <c r="F1354" s="1">
        <v>42280</v>
      </c>
      <c r="G1354" s="1" t="str">
        <f>TEXT(pizza_sales[[#This Row],[order_date]],"dddd")</f>
        <v>Saturday</v>
      </c>
      <c r="H1354" s="2">
        <v>0.83917824074074077</v>
      </c>
      <c r="I1354">
        <v>12</v>
      </c>
      <c r="J1354">
        <v>12</v>
      </c>
      <c r="K1354" t="s">
        <v>60</v>
      </c>
      <c r="L1354" t="s">
        <v>13</v>
      </c>
      <c r="M1354" t="s">
        <v>29</v>
      </c>
      <c r="N1354" t="s">
        <v>30</v>
      </c>
    </row>
    <row r="1355" spans="1:14" x14ac:dyDescent="0.25">
      <c r="A1355">
        <v>9375</v>
      </c>
      <c r="B1355">
        <v>4106</v>
      </c>
      <c r="C1355">
        <f>1/COUNTIF(B:B,pizza_sales[[#This Row],[order_id]])</f>
        <v>0.5</v>
      </c>
      <c r="D1355" t="s">
        <v>38</v>
      </c>
      <c r="E1355">
        <v>1</v>
      </c>
      <c r="F1355" s="1">
        <v>42280</v>
      </c>
      <c r="G1355" s="1" t="str">
        <f>TEXT(pizza_sales[[#This Row],[order_date]],"dddd")</f>
        <v>Saturday</v>
      </c>
      <c r="H1355" s="2">
        <v>0.83917824074074077</v>
      </c>
      <c r="I1355">
        <v>20.5</v>
      </c>
      <c r="J1355">
        <v>20.5</v>
      </c>
      <c r="K1355" t="s">
        <v>58</v>
      </c>
      <c r="L1355" t="s">
        <v>13</v>
      </c>
      <c r="M1355" t="s">
        <v>32</v>
      </c>
      <c r="N1355" t="s">
        <v>33</v>
      </c>
    </row>
    <row r="1356" spans="1:14" x14ac:dyDescent="0.25">
      <c r="A1356">
        <v>9380</v>
      </c>
      <c r="B1356">
        <v>4108</v>
      </c>
      <c r="C1356">
        <f>1/COUNTIF(B:B,pizza_sales[[#This Row],[order_id]])</f>
        <v>1</v>
      </c>
      <c r="D1356" t="s">
        <v>16</v>
      </c>
      <c r="E1356">
        <v>1</v>
      </c>
      <c r="F1356" s="1">
        <v>42280</v>
      </c>
      <c r="G1356" s="1" t="str">
        <f>TEXT(pizza_sales[[#This Row],[order_date]],"dddd")</f>
        <v>Saturday</v>
      </c>
      <c r="H1356" s="2">
        <v>0.84766203703703702</v>
      </c>
      <c r="I1356">
        <v>16</v>
      </c>
      <c r="J1356">
        <v>16</v>
      </c>
      <c r="K1356" t="s">
        <v>59</v>
      </c>
      <c r="L1356" t="s">
        <v>17</v>
      </c>
      <c r="M1356" t="s">
        <v>18</v>
      </c>
      <c r="N1356" t="s">
        <v>19</v>
      </c>
    </row>
    <row r="1357" spans="1:14" x14ac:dyDescent="0.25">
      <c r="A1357">
        <v>9385</v>
      </c>
      <c r="B1357">
        <v>4109</v>
      </c>
      <c r="C1357">
        <f>1/COUNTIF(B:B,pizza_sales[[#This Row],[order_id]])</f>
        <v>1</v>
      </c>
      <c r="D1357" t="s">
        <v>43</v>
      </c>
      <c r="E1357">
        <v>1</v>
      </c>
      <c r="F1357" s="1">
        <v>42280</v>
      </c>
      <c r="G1357" s="1" t="str">
        <f>TEXT(pizza_sales[[#This Row],[order_date]],"dddd")</f>
        <v>Saturday</v>
      </c>
      <c r="H1357" s="2">
        <v>0.8649768518518518</v>
      </c>
      <c r="I1357">
        <v>16.25</v>
      </c>
      <c r="J1357">
        <v>16.25</v>
      </c>
      <c r="K1357" t="s">
        <v>59</v>
      </c>
      <c r="L1357" t="s">
        <v>35</v>
      </c>
      <c r="M1357" t="s">
        <v>40</v>
      </c>
      <c r="N1357" t="s">
        <v>41</v>
      </c>
    </row>
    <row r="1358" spans="1:14" x14ac:dyDescent="0.25">
      <c r="A1358">
        <v>9392</v>
      </c>
      <c r="B1358">
        <v>4112</v>
      </c>
      <c r="C1358">
        <f>1/COUNTIF(B:B,pizza_sales[[#This Row],[order_id]])</f>
        <v>1</v>
      </c>
      <c r="D1358" t="s">
        <v>28</v>
      </c>
      <c r="E1358">
        <v>1</v>
      </c>
      <c r="F1358" s="1">
        <v>42280</v>
      </c>
      <c r="G1358" s="1" t="str">
        <f>TEXT(pizza_sales[[#This Row],[order_date]],"dddd")</f>
        <v>Saturday</v>
      </c>
      <c r="H1358" s="2">
        <v>0.89119212962962968</v>
      </c>
      <c r="I1358">
        <v>12</v>
      </c>
      <c r="J1358">
        <v>12</v>
      </c>
      <c r="K1358" t="s">
        <v>60</v>
      </c>
      <c r="L1358" t="s">
        <v>13</v>
      </c>
      <c r="M1358" t="s">
        <v>29</v>
      </c>
      <c r="N1358" t="s">
        <v>30</v>
      </c>
    </row>
    <row r="1359" spans="1:14" x14ac:dyDescent="0.25">
      <c r="A1359">
        <v>9396</v>
      </c>
      <c r="B1359">
        <v>4114</v>
      </c>
      <c r="C1359">
        <f>1/COUNTIF(B:B,pizza_sales[[#This Row],[order_id]])</f>
        <v>1</v>
      </c>
      <c r="D1359" t="s">
        <v>39</v>
      </c>
      <c r="E1359">
        <v>1</v>
      </c>
      <c r="F1359" s="1">
        <v>42280</v>
      </c>
      <c r="G1359" s="1" t="str">
        <f>TEXT(pizza_sales[[#This Row],[order_date]],"dddd")</f>
        <v>Saturday</v>
      </c>
      <c r="H1359" s="2">
        <v>0.92925925925925923</v>
      </c>
      <c r="I1359">
        <v>20.25</v>
      </c>
      <c r="J1359">
        <v>20.25</v>
      </c>
      <c r="K1359" t="s">
        <v>58</v>
      </c>
      <c r="L1359" t="s">
        <v>35</v>
      </c>
      <c r="M1359" t="s">
        <v>40</v>
      </c>
      <c r="N1359" t="s">
        <v>41</v>
      </c>
    </row>
    <row r="1360" spans="1:14" x14ac:dyDescent="0.25">
      <c r="A1360">
        <v>9401</v>
      </c>
      <c r="B1360">
        <v>4119</v>
      </c>
      <c r="C1360">
        <f>1/COUNTIF(B:B,pizza_sales[[#This Row],[order_id]])</f>
        <v>1</v>
      </c>
      <c r="D1360" t="s">
        <v>38</v>
      </c>
      <c r="E1360">
        <v>1</v>
      </c>
      <c r="F1360" s="1">
        <v>42311</v>
      </c>
      <c r="G1360" s="1" t="str">
        <f>TEXT(pizza_sales[[#This Row],[order_date]],"dddd")</f>
        <v>Tuesday</v>
      </c>
      <c r="H1360" s="2">
        <v>0.51228009259259255</v>
      </c>
      <c r="I1360">
        <v>20.5</v>
      </c>
      <c r="J1360">
        <v>20.5</v>
      </c>
      <c r="K1360" t="s">
        <v>58</v>
      </c>
      <c r="L1360" t="s">
        <v>13</v>
      </c>
      <c r="M1360" t="s">
        <v>32</v>
      </c>
      <c r="N1360" t="s">
        <v>33</v>
      </c>
    </row>
    <row r="1361" spans="1:14" x14ac:dyDescent="0.25">
      <c r="A1361">
        <v>9402</v>
      </c>
      <c r="B1361">
        <v>4120</v>
      </c>
      <c r="C1361">
        <f>1/COUNTIF(B:B,pizza_sales[[#This Row],[order_id]])</f>
        <v>1</v>
      </c>
      <c r="D1361" t="s">
        <v>31</v>
      </c>
      <c r="E1361">
        <v>1</v>
      </c>
      <c r="F1361" s="1">
        <v>42311</v>
      </c>
      <c r="G1361" s="1" t="str">
        <f>TEXT(pizza_sales[[#This Row],[order_date]],"dddd")</f>
        <v>Tuesday</v>
      </c>
      <c r="H1361" s="2">
        <v>0.52153935185185185</v>
      </c>
      <c r="I1361">
        <v>12</v>
      </c>
      <c r="J1361">
        <v>12</v>
      </c>
      <c r="K1361" t="s">
        <v>60</v>
      </c>
      <c r="L1361" t="s">
        <v>13</v>
      </c>
      <c r="M1361" t="s">
        <v>32</v>
      </c>
      <c r="N1361" t="s">
        <v>33</v>
      </c>
    </row>
    <row r="1362" spans="1:14" x14ac:dyDescent="0.25">
      <c r="A1362">
        <v>9404</v>
      </c>
      <c r="B1362">
        <v>4121</v>
      </c>
      <c r="C1362">
        <f>1/COUNTIF(B:B,pizza_sales[[#This Row],[order_id]])</f>
        <v>0.5</v>
      </c>
      <c r="D1362" t="s">
        <v>51</v>
      </c>
      <c r="E1362">
        <v>1</v>
      </c>
      <c r="F1362" s="1">
        <v>42311</v>
      </c>
      <c r="G1362" s="1" t="str">
        <f>TEXT(pizza_sales[[#This Row],[order_date]],"dddd")</f>
        <v>Tuesday</v>
      </c>
      <c r="H1362" s="2">
        <v>0.52611111111111108</v>
      </c>
      <c r="I1362">
        <v>23.65</v>
      </c>
      <c r="J1362">
        <v>23.65</v>
      </c>
      <c r="K1362" t="s">
        <v>60</v>
      </c>
      <c r="L1362" t="s">
        <v>35</v>
      </c>
      <c r="M1362" t="s">
        <v>52</v>
      </c>
      <c r="N1362" t="s">
        <v>53</v>
      </c>
    </row>
    <row r="1363" spans="1:14" x14ac:dyDescent="0.25">
      <c r="A1363">
        <v>9406</v>
      </c>
      <c r="B1363">
        <v>4121</v>
      </c>
      <c r="C1363">
        <f>1/COUNTIF(B:B,pizza_sales[[#This Row],[order_id]])</f>
        <v>0.5</v>
      </c>
      <c r="D1363" t="s">
        <v>47</v>
      </c>
      <c r="E1363">
        <v>1</v>
      </c>
      <c r="F1363" s="1">
        <v>42311</v>
      </c>
      <c r="G1363" s="1" t="str">
        <f>TEXT(pizza_sales[[#This Row],[order_date]],"dddd")</f>
        <v>Tuesday</v>
      </c>
      <c r="H1363" s="2">
        <v>0.52611111111111108</v>
      </c>
      <c r="I1363">
        <v>16.5</v>
      </c>
      <c r="J1363">
        <v>16.5</v>
      </c>
      <c r="K1363" t="s">
        <v>58</v>
      </c>
      <c r="L1363" t="s">
        <v>13</v>
      </c>
      <c r="M1363" t="s">
        <v>14</v>
      </c>
      <c r="N1363" t="s">
        <v>15</v>
      </c>
    </row>
    <row r="1364" spans="1:14" x14ac:dyDescent="0.25">
      <c r="A1364">
        <v>9411</v>
      </c>
      <c r="B1364">
        <v>4123</v>
      </c>
      <c r="C1364">
        <f>1/COUNTIF(B:B,pizza_sales[[#This Row],[order_id]])</f>
        <v>0.2</v>
      </c>
      <c r="D1364" t="s">
        <v>28</v>
      </c>
      <c r="E1364">
        <v>2</v>
      </c>
      <c r="F1364" s="1">
        <v>42311</v>
      </c>
      <c r="G1364" s="1" t="str">
        <f>TEXT(pizza_sales[[#This Row],[order_date]],"dddd")</f>
        <v>Tuesday</v>
      </c>
      <c r="H1364" s="2">
        <v>0.53724537037037035</v>
      </c>
      <c r="I1364">
        <v>12</v>
      </c>
      <c r="J1364">
        <v>24</v>
      </c>
      <c r="K1364" t="s">
        <v>60</v>
      </c>
      <c r="L1364" t="s">
        <v>13</v>
      </c>
      <c r="M1364" t="s">
        <v>29</v>
      </c>
      <c r="N1364" t="s">
        <v>30</v>
      </c>
    </row>
    <row r="1365" spans="1:14" x14ac:dyDescent="0.25">
      <c r="A1365">
        <v>9412</v>
      </c>
      <c r="B1365">
        <v>4123</v>
      </c>
      <c r="C1365">
        <f>1/COUNTIF(B:B,pizza_sales[[#This Row],[order_id]])</f>
        <v>0.2</v>
      </c>
      <c r="D1365" t="s">
        <v>34</v>
      </c>
      <c r="E1365">
        <v>1</v>
      </c>
      <c r="F1365" s="1">
        <v>42311</v>
      </c>
      <c r="G1365" s="1" t="str">
        <f>TEXT(pizza_sales[[#This Row],[order_date]],"dddd")</f>
        <v>Tuesday</v>
      </c>
      <c r="H1365" s="2">
        <v>0.53724537037037035</v>
      </c>
      <c r="I1365">
        <v>16.25</v>
      </c>
      <c r="J1365">
        <v>16.25</v>
      </c>
      <c r="K1365" t="s">
        <v>59</v>
      </c>
      <c r="L1365" t="s">
        <v>35</v>
      </c>
      <c r="M1365" t="s">
        <v>36</v>
      </c>
      <c r="N1365" t="s">
        <v>37</v>
      </c>
    </row>
    <row r="1366" spans="1:14" x14ac:dyDescent="0.25">
      <c r="A1366">
        <v>9417</v>
      </c>
      <c r="B1366">
        <v>4123</v>
      </c>
      <c r="C1366">
        <f>1/COUNTIF(B:B,pizza_sales[[#This Row],[order_id]])</f>
        <v>0.2</v>
      </c>
      <c r="D1366" t="s">
        <v>45</v>
      </c>
      <c r="E1366">
        <v>1</v>
      </c>
      <c r="F1366" s="1">
        <v>42311</v>
      </c>
      <c r="G1366" s="1" t="str">
        <f>TEXT(pizza_sales[[#This Row],[order_date]],"dddd")</f>
        <v>Tuesday</v>
      </c>
      <c r="H1366" s="2">
        <v>0.53724537037037035</v>
      </c>
      <c r="I1366">
        <v>10.5</v>
      </c>
      <c r="J1366">
        <v>10.5</v>
      </c>
      <c r="K1366" t="s">
        <v>60</v>
      </c>
      <c r="L1366" t="s">
        <v>13</v>
      </c>
      <c r="M1366" t="s">
        <v>14</v>
      </c>
      <c r="N1366" t="s">
        <v>15</v>
      </c>
    </row>
    <row r="1367" spans="1:14" x14ac:dyDescent="0.25">
      <c r="A1367">
        <v>9419</v>
      </c>
      <c r="B1367">
        <v>4123</v>
      </c>
      <c r="C1367">
        <f>1/COUNTIF(B:B,pizza_sales[[#This Row],[order_id]])</f>
        <v>0.2</v>
      </c>
      <c r="D1367" t="s">
        <v>16</v>
      </c>
      <c r="E1367">
        <v>1</v>
      </c>
      <c r="F1367" s="1">
        <v>42311</v>
      </c>
      <c r="G1367" s="1" t="str">
        <f>TEXT(pizza_sales[[#This Row],[order_date]],"dddd")</f>
        <v>Tuesday</v>
      </c>
      <c r="H1367" s="2">
        <v>0.53724537037037035</v>
      </c>
      <c r="I1367">
        <v>16</v>
      </c>
      <c r="J1367">
        <v>16</v>
      </c>
      <c r="K1367" t="s">
        <v>59</v>
      </c>
      <c r="L1367" t="s">
        <v>17</v>
      </c>
      <c r="M1367" t="s">
        <v>18</v>
      </c>
      <c r="N1367" t="s">
        <v>19</v>
      </c>
    </row>
    <row r="1368" spans="1:14" x14ac:dyDescent="0.25">
      <c r="A1368">
        <v>9421</v>
      </c>
      <c r="B1368">
        <v>4123</v>
      </c>
      <c r="C1368">
        <f>1/COUNTIF(B:B,pizza_sales[[#This Row],[order_id]])</f>
        <v>0.2</v>
      </c>
      <c r="D1368" t="s">
        <v>20</v>
      </c>
      <c r="E1368">
        <v>1</v>
      </c>
      <c r="F1368" s="1">
        <v>42311</v>
      </c>
      <c r="G1368" s="1" t="str">
        <f>TEXT(pizza_sales[[#This Row],[order_date]],"dddd")</f>
        <v>Tuesday</v>
      </c>
      <c r="H1368" s="2">
        <v>0.53724537037037035</v>
      </c>
      <c r="I1368">
        <v>12</v>
      </c>
      <c r="J1368">
        <v>12</v>
      </c>
      <c r="K1368" t="s">
        <v>60</v>
      </c>
      <c r="L1368" t="s">
        <v>13</v>
      </c>
      <c r="M1368" t="s">
        <v>21</v>
      </c>
      <c r="N1368" t="s">
        <v>22</v>
      </c>
    </row>
    <row r="1369" spans="1:14" x14ac:dyDescent="0.25">
      <c r="A1369">
        <v>9423</v>
      </c>
      <c r="B1369">
        <v>4124</v>
      </c>
      <c r="C1369">
        <f>1/COUNTIF(B:B,pizza_sales[[#This Row],[order_id]])</f>
        <v>1</v>
      </c>
      <c r="D1369" t="s">
        <v>42</v>
      </c>
      <c r="E1369">
        <v>1</v>
      </c>
      <c r="F1369" s="1">
        <v>42311</v>
      </c>
      <c r="G1369" s="1" t="str">
        <f>TEXT(pizza_sales[[#This Row],[order_date]],"dddd")</f>
        <v>Tuesday</v>
      </c>
      <c r="H1369" s="2">
        <v>0.53755787037037039</v>
      </c>
      <c r="I1369">
        <v>12.5</v>
      </c>
      <c r="J1369">
        <v>12.5</v>
      </c>
      <c r="K1369" t="s">
        <v>59</v>
      </c>
      <c r="L1369" t="s">
        <v>13</v>
      </c>
      <c r="M1369" t="s">
        <v>26</v>
      </c>
      <c r="N1369" t="s">
        <v>27</v>
      </c>
    </row>
    <row r="1370" spans="1:14" x14ac:dyDescent="0.25">
      <c r="A1370">
        <v>9427</v>
      </c>
      <c r="B1370">
        <v>4126</v>
      </c>
      <c r="C1370">
        <f>1/COUNTIF(B:B,pizza_sales[[#This Row],[order_id]])</f>
        <v>1</v>
      </c>
      <c r="D1370" t="s">
        <v>48</v>
      </c>
      <c r="E1370">
        <v>1</v>
      </c>
      <c r="F1370" s="1">
        <v>42311</v>
      </c>
      <c r="G1370" s="1" t="str">
        <f>TEXT(pizza_sales[[#This Row],[order_date]],"dddd")</f>
        <v>Tuesday</v>
      </c>
      <c r="H1370" s="2">
        <v>0.54682870370370373</v>
      </c>
      <c r="I1370">
        <v>12.25</v>
      </c>
      <c r="J1370">
        <v>12.25</v>
      </c>
      <c r="K1370" t="s">
        <v>60</v>
      </c>
      <c r="L1370" t="s">
        <v>35</v>
      </c>
      <c r="M1370" t="s">
        <v>40</v>
      </c>
      <c r="N1370" t="s">
        <v>41</v>
      </c>
    </row>
    <row r="1371" spans="1:14" x14ac:dyDescent="0.25">
      <c r="A1371">
        <v>9431</v>
      </c>
      <c r="B1371">
        <v>4130</v>
      </c>
      <c r="C1371">
        <f>1/COUNTIF(B:B,pizza_sales[[#This Row],[order_id]])</f>
        <v>1</v>
      </c>
      <c r="D1371" t="s">
        <v>56</v>
      </c>
      <c r="E1371">
        <v>1</v>
      </c>
      <c r="F1371" s="1">
        <v>42311</v>
      </c>
      <c r="G1371" s="1" t="str">
        <f>TEXT(pizza_sales[[#This Row],[order_date]],"dddd")</f>
        <v>Tuesday</v>
      </c>
      <c r="H1371" s="2">
        <v>0.55700231481481477</v>
      </c>
      <c r="I1371">
        <v>20.25</v>
      </c>
      <c r="J1371">
        <v>20.25</v>
      </c>
      <c r="K1371" t="s">
        <v>58</v>
      </c>
      <c r="L1371" t="s">
        <v>35</v>
      </c>
      <c r="M1371" t="s">
        <v>36</v>
      </c>
      <c r="N1371" t="s">
        <v>37</v>
      </c>
    </row>
    <row r="1372" spans="1:14" x14ac:dyDescent="0.25">
      <c r="A1372">
        <v>9438</v>
      </c>
      <c r="B1372">
        <v>4131</v>
      </c>
      <c r="C1372">
        <f>1/COUNTIF(B:B,pizza_sales[[#This Row],[order_id]])</f>
        <v>0.5</v>
      </c>
      <c r="D1372" t="s">
        <v>16</v>
      </c>
      <c r="E1372">
        <v>1</v>
      </c>
      <c r="F1372" s="1">
        <v>42311</v>
      </c>
      <c r="G1372" s="1" t="str">
        <f>TEXT(pizza_sales[[#This Row],[order_date]],"dddd")</f>
        <v>Tuesday</v>
      </c>
      <c r="H1372" s="2">
        <v>0.57306712962962958</v>
      </c>
      <c r="I1372">
        <v>16</v>
      </c>
      <c r="J1372">
        <v>16</v>
      </c>
      <c r="K1372" t="s">
        <v>59</v>
      </c>
      <c r="L1372" t="s">
        <v>17</v>
      </c>
      <c r="M1372" t="s">
        <v>18</v>
      </c>
      <c r="N1372" t="s">
        <v>19</v>
      </c>
    </row>
    <row r="1373" spans="1:14" x14ac:dyDescent="0.25">
      <c r="A1373">
        <v>9439</v>
      </c>
      <c r="B1373">
        <v>4131</v>
      </c>
      <c r="C1373">
        <f>1/COUNTIF(B:B,pizza_sales[[#This Row],[order_id]])</f>
        <v>0.5</v>
      </c>
      <c r="D1373" t="s">
        <v>42</v>
      </c>
      <c r="E1373">
        <v>1</v>
      </c>
      <c r="F1373" s="1">
        <v>42311</v>
      </c>
      <c r="G1373" s="1" t="str">
        <f>TEXT(pizza_sales[[#This Row],[order_date]],"dddd")</f>
        <v>Tuesday</v>
      </c>
      <c r="H1373" s="2">
        <v>0.57306712962962958</v>
      </c>
      <c r="I1373">
        <v>12.5</v>
      </c>
      <c r="J1373">
        <v>12.5</v>
      </c>
      <c r="K1373" t="s">
        <v>59</v>
      </c>
      <c r="L1373" t="s">
        <v>13</v>
      </c>
      <c r="M1373" t="s">
        <v>26</v>
      </c>
      <c r="N1373" t="s">
        <v>27</v>
      </c>
    </row>
    <row r="1374" spans="1:14" x14ac:dyDescent="0.25">
      <c r="A1374">
        <v>9442</v>
      </c>
      <c r="B1374">
        <v>4132</v>
      </c>
      <c r="C1374">
        <f>1/COUNTIF(B:B,pizza_sales[[#This Row],[order_id]])</f>
        <v>1</v>
      </c>
      <c r="D1374" t="s">
        <v>24</v>
      </c>
      <c r="E1374">
        <v>1</v>
      </c>
      <c r="F1374" s="1">
        <v>42311</v>
      </c>
      <c r="G1374" s="1" t="str">
        <f>TEXT(pizza_sales[[#This Row],[order_date]],"dddd")</f>
        <v>Tuesday</v>
      </c>
      <c r="H1374" s="2">
        <v>0.57622685185185185</v>
      </c>
      <c r="I1374">
        <v>20.25</v>
      </c>
      <c r="J1374">
        <v>20.25</v>
      </c>
      <c r="K1374" t="s">
        <v>58</v>
      </c>
      <c r="L1374" t="s">
        <v>17</v>
      </c>
      <c r="M1374" t="s">
        <v>18</v>
      </c>
      <c r="N1374" t="s">
        <v>19</v>
      </c>
    </row>
    <row r="1375" spans="1:14" x14ac:dyDescent="0.25">
      <c r="A1375">
        <v>9452</v>
      </c>
      <c r="B1375">
        <v>4136</v>
      </c>
      <c r="C1375">
        <f>1/COUNTIF(B:B,pizza_sales[[#This Row],[order_id]])</f>
        <v>0.5</v>
      </c>
      <c r="D1375" t="s">
        <v>43</v>
      </c>
      <c r="E1375">
        <v>1</v>
      </c>
      <c r="F1375" s="1">
        <v>42311</v>
      </c>
      <c r="G1375" s="1" t="str">
        <f>TEXT(pizza_sales[[#This Row],[order_date]],"dddd")</f>
        <v>Tuesday</v>
      </c>
      <c r="H1375" s="2">
        <v>0.60652777777777778</v>
      </c>
      <c r="I1375">
        <v>16.25</v>
      </c>
      <c r="J1375">
        <v>16.25</v>
      </c>
      <c r="K1375" t="s">
        <v>59</v>
      </c>
      <c r="L1375" t="s">
        <v>35</v>
      </c>
      <c r="M1375" t="s">
        <v>40</v>
      </c>
      <c r="N1375" t="s">
        <v>41</v>
      </c>
    </row>
    <row r="1376" spans="1:14" x14ac:dyDescent="0.25">
      <c r="A1376">
        <v>9453</v>
      </c>
      <c r="B1376">
        <v>4136</v>
      </c>
      <c r="C1376">
        <f>1/COUNTIF(B:B,pizza_sales[[#This Row],[order_id]])</f>
        <v>0.5</v>
      </c>
      <c r="D1376" t="s">
        <v>46</v>
      </c>
      <c r="E1376">
        <v>1</v>
      </c>
      <c r="F1376" s="1">
        <v>42311</v>
      </c>
      <c r="G1376" s="1" t="str">
        <f>TEXT(pizza_sales[[#This Row],[order_date]],"dddd")</f>
        <v>Tuesday</v>
      </c>
      <c r="H1376" s="2">
        <v>0.60652777777777778</v>
      </c>
      <c r="I1376">
        <v>25.5</v>
      </c>
      <c r="J1376">
        <v>25.5</v>
      </c>
      <c r="K1376" t="s">
        <v>61</v>
      </c>
      <c r="L1376" t="s">
        <v>13</v>
      </c>
      <c r="M1376" t="s">
        <v>21</v>
      </c>
      <c r="N1376" t="s">
        <v>22</v>
      </c>
    </row>
    <row r="1377" spans="1:14" x14ac:dyDescent="0.25">
      <c r="A1377">
        <v>9459</v>
      </c>
      <c r="B1377">
        <v>4140</v>
      </c>
      <c r="C1377">
        <f>1/COUNTIF(B:B,pizza_sales[[#This Row],[order_id]])</f>
        <v>1</v>
      </c>
      <c r="D1377" t="s">
        <v>42</v>
      </c>
      <c r="E1377">
        <v>1</v>
      </c>
      <c r="F1377" s="1">
        <v>42311</v>
      </c>
      <c r="G1377" s="1" t="str">
        <f>TEXT(pizza_sales[[#This Row],[order_date]],"dddd")</f>
        <v>Tuesday</v>
      </c>
      <c r="H1377" s="2">
        <v>0.62633101851851847</v>
      </c>
      <c r="I1377">
        <v>12.5</v>
      </c>
      <c r="J1377">
        <v>12.5</v>
      </c>
      <c r="K1377" t="s">
        <v>59</v>
      </c>
      <c r="L1377" t="s">
        <v>13</v>
      </c>
      <c r="M1377" t="s">
        <v>26</v>
      </c>
      <c r="N1377" t="s">
        <v>27</v>
      </c>
    </row>
    <row r="1378" spans="1:14" x14ac:dyDescent="0.25">
      <c r="A1378">
        <v>9464</v>
      </c>
      <c r="B1378">
        <v>4144</v>
      </c>
      <c r="C1378">
        <f>1/COUNTIF(B:B,pizza_sales[[#This Row],[order_id]])</f>
        <v>0.5</v>
      </c>
      <c r="D1378" t="s">
        <v>28</v>
      </c>
      <c r="E1378">
        <v>1</v>
      </c>
      <c r="F1378" s="1">
        <v>42311</v>
      </c>
      <c r="G1378" s="1" t="str">
        <f>TEXT(pizza_sales[[#This Row],[order_date]],"dddd")</f>
        <v>Tuesday</v>
      </c>
      <c r="H1378" s="2">
        <v>0.68063657407407407</v>
      </c>
      <c r="I1378">
        <v>12</v>
      </c>
      <c r="J1378">
        <v>12</v>
      </c>
      <c r="K1378" t="s">
        <v>60</v>
      </c>
      <c r="L1378" t="s">
        <v>13</v>
      </c>
      <c r="M1378" t="s">
        <v>29</v>
      </c>
      <c r="N1378" t="s">
        <v>30</v>
      </c>
    </row>
    <row r="1379" spans="1:14" x14ac:dyDescent="0.25">
      <c r="A1379">
        <v>9465</v>
      </c>
      <c r="B1379">
        <v>4144</v>
      </c>
      <c r="C1379">
        <f>1/COUNTIF(B:B,pizza_sales[[#This Row],[order_id]])</f>
        <v>0.5</v>
      </c>
      <c r="D1379" t="s">
        <v>46</v>
      </c>
      <c r="E1379">
        <v>1</v>
      </c>
      <c r="F1379" s="1">
        <v>42311</v>
      </c>
      <c r="G1379" s="1" t="str">
        <f>TEXT(pizza_sales[[#This Row],[order_date]],"dddd")</f>
        <v>Tuesday</v>
      </c>
      <c r="H1379" s="2">
        <v>0.68063657407407407</v>
      </c>
      <c r="I1379">
        <v>25.5</v>
      </c>
      <c r="J1379">
        <v>25.5</v>
      </c>
      <c r="K1379" t="s">
        <v>61</v>
      </c>
      <c r="L1379" t="s">
        <v>13</v>
      </c>
      <c r="M1379" t="s">
        <v>21</v>
      </c>
      <c r="N1379" t="s">
        <v>22</v>
      </c>
    </row>
    <row r="1380" spans="1:14" x14ac:dyDescent="0.25">
      <c r="A1380">
        <v>9466</v>
      </c>
      <c r="B1380">
        <v>4145</v>
      </c>
      <c r="C1380">
        <f>1/COUNTIF(B:B,pizza_sales[[#This Row],[order_id]])</f>
        <v>1</v>
      </c>
      <c r="D1380" t="s">
        <v>24</v>
      </c>
      <c r="E1380">
        <v>1</v>
      </c>
      <c r="F1380" s="1">
        <v>42311</v>
      </c>
      <c r="G1380" s="1" t="str">
        <f>TEXT(pizza_sales[[#This Row],[order_date]],"dddd")</f>
        <v>Tuesday</v>
      </c>
      <c r="H1380" s="2">
        <v>0.68331018518518516</v>
      </c>
      <c r="I1380">
        <v>20.25</v>
      </c>
      <c r="J1380">
        <v>20.25</v>
      </c>
      <c r="K1380" t="s">
        <v>58</v>
      </c>
      <c r="L1380" t="s">
        <v>17</v>
      </c>
      <c r="M1380" t="s">
        <v>18</v>
      </c>
      <c r="N1380" t="s">
        <v>19</v>
      </c>
    </row>
    <row r="1381" spans="1:14" x14ac:dyDescent="0.25">
      <c r="A1381">
        <v>9470</v>
      </c>
      <c r="B1381">
        <v>4146</v>
      </c>
      <c r="C1381">
        <f>1/COUNTIF(B:B,pizza_sales[[#This Row],[order_id]])</f>
        <v>1</v>
      </c>
      <c r="D1381" t="s">
        <v>23</v>
      </c>
      <c r="E1381">
        <v>1</v>
      </c>
      <c r="F1381" s="1">
        <v>42311</v>
      </c>
      <c r="G1381" s="1" t="str">
        <f>TEXT(pizza_sales[[#This Row],[order_date]],"dddd")</f>
        <v>Tuesday</v>
      </c>
      <c r="H1381" s="2">
        <v>0.68469907407407404</v>
      </c>
      <c r="I1381">
        <v>12</v>
      </c>
      <c r="J1381">
        <v>12</v>
      </c>
      <c r="K1381" t="s">
        <v>60</v>
      </c>
      <c r="L1381" t="s">
        <v>17</v>
      </c>
      <c r="M1381" t="s">
        <v>18</v>
      </c>
      <c r="N1381" t="s">
        <v>19</v>
      </c>
    </row>
    <row r="1382" spans="1:14" x14ac:dyDescent="0.25">
      <c r="A1382">
        <v>9477</v>
      </c>
      <c r="B1382">
        <v>4150</v>
      </c>
      <c r="C1382">
        <f>1/COUNTIF(B:B,pizza_sales[[#This Row],[order_id]])</f>
        <v>0.5</v>
      </c>
      <c r="D1382" t="s">
        <v>51</v>
      </c>
      <c r="E1382">
        <v>1</v>
      </c>
      <c r="F1382" s="1">
        <v>42311</v>
      </c>
      <c r="G1382" s="1" t="str">
        <f>TEXT(pizza_sales[[#This Row],[order_date]],"dddd")</f>
        <v>Tuesday</v>
      </c>
      <c r="H1382" s="2">
        <v>0.69835648148148144</v>
      </c>
      <c r="I1382">
        <v>23.65</v>
      </c>
      <c r="J1382">
        <v>23.65</v>
      </c>
      <c r="K1382" t="s">
        <v>60</v>
      </c>
      <c r="L1382" t="s">
        <v>35</v>
      </c>
      <c r="M1382" t="s">
        <v>52</v>
      </c>
      <c r="N1382" t="s">
        <v>53</v>
      </c>
    </row>
    <row r="1383" spans="1:14" x14ac:dyDescent="0.25">
      <c r="A1383">
        <v>9479</v>
      </c>
      <c r="B1383">
        <v>4150</v>
      </c>
      <c r="C1383">
        <f>1/COUNTIF(B:B,pizza_sales[[#This Row],[order_id]])</f>
        <v>0.5</v>
      </c>
      <c r="D1383" t="s">
        <v>39</v>
      </c>
      <c r="E1383">
        <v>1</v>
      </c>
      <c r="F1383" s="1">
        <v>42311</v>
      </c>
      <c r="G1383" s="1" t="str">
        <f>TEXT(pizza_sales[[#This Row],[order_date]],"dddd")</f>
        <v>Tuesday</v>
      </c>
      <c r="H1383" s="2">
        <v>0.69835648148148144</v>
      </c>
      <c r="I1383">
        <v>20.25</v>
      </c>
      <c r="J1383">
        <v>20.25</v>
      </c>
      <c r="K1383" t="s">
        <v>58</v>
      </c>
      <c r="L1383" t="s">
        <v>35</v>
      </c>
      <c r="M1383" t="s">
        <v>40</v>
      </c>
      <c r="N1383" t="s">
        <v>41</v>
      </c>
    </row>
    <row r="1384" spans="1:14" x14ac:dyDescent="0.25">
      <c r="A1384">
        <v>9483</v>
      </c>
      <c r="B1384">
        <v>4152</v>
      </c>
      <c r="C1384">
        <f>1/COUNTIF(B:B,pizza_sales[[#This Row],[order_id]])</f>
        <v>1</v>
      </c>
      <c r="D1384" t="s">
        <v>47</v>
      </c>
      <c r="E1384">
        <v>1</v>
      </c>
      <c r="F1384" s="1">
        <v>42311</v>
      </c>
      <c r="G1384" s="1" t="str">
        <f>TEXT(pizza_sales[[#This Row],[order_date]],"dddd")</f>
        <v>Tuesday</v>
      </c>
      <c r="H1384" s="2">
        <v>0.70226851851851857</v>
      </c>
      <c r="I1384">
        <v>16.5</v>
      </c>
      <c r="J1384">
        <v>16.5</v>
      </c>
      <c r="K1384" t="s">
        <v>58</v>
      </c>
      <c r="L1384" t="s">
        <v>13</v>
      </c>
      <c r="M1384" t="s">
        <v>14</v>
      </c>
      <c r="N1384" t="s">
        <v>15</v>
      </c>
    </row>
    <row r="1385" spans="1:14" x14ac:dyDescent="0.25">
      <c r="A1385">
        <v>9489</v>
      </c>
      <c r="B1385">
        <v>4155</v>
      </c>
      <c r="C1385">
        <f>1/COUNTIF(B:B,pizza_sales[[#This Row],[order_id]])</f>
        <v>1</v>
      </c>
      <c r="D1385" t="s">
        <v>45</v>
      </c>
      <c r="E1385">
        <v>1</v>
      </c>
      <c r="F1385" s="1">
        <v>42311</v>
      </c>
      <c r="G1385" s="1" t="str">
        <f>TEXT(pizza_sales[[#This Row],[order_date]],"dddd")</f>
        <v>Tuesday</v>
      </c>
      <c r="H1385" s="2">
        <v>0.71733796296296293</v>
      </c>
      <c r="I1385">
        <v>10.5</v>
      </c>
      <c r="J1385">
        <v>10.5</v>
      </c>
      <c r="K1385" t="s">
        <v>60</v>
      </c>
      <c r="L1385" t="s">
        <v>13</v>
      </c>
      <c r="M1385" t="s">
        <v>14</v>
      </c>
      <c r="N1385" t="s">
        <v>15</v>
      </c>
    </row>
    <row r="1386" spans="1:14" x14ac:dyDescent="0.25">
      <c r="A1386">
        <v>9492</v>
      </c>
      <c r="B1386">
        <v>4157</v>
      </c>
      <c r="C1386">
        <f>1/COUNTIF(B:B,pizza_sales[[#This Row],[order_id]])</f>
        <v>1</v>
      </c>
      <c r="D1386" t="s">
        <v>47</v>
      </c>
      <c r="E1386">
        <v>1</v>
      </c>
      <c r="F1386" s="1">
        <v>42311</v>
      </c>
      <c r="G1386" s="1" t="str">
        <f>TEXT(pizza_sales[[#This Row],[order_date]],"dddd")</f>
        <v>Tuesday</v>
      </c>
      <c r="H1386" s="2">
        <v>0.7288310185185185</v>
      </c>
      <c r="I1386">
        <v>16.5</v>
      </c>
      <c r="J1386">
        <v>16.5</v>
      </c>
      <c r="K1386" t="s">
        <v>58</v>
      </c>
      <c r="L1386" t="s">
        <v>13</v>
      </c>
      <c r="M1386" t="s">
        <v>14</v>
      </c>
      <c r="N1386" t="s">
        <v>15</v>
      </c>
    </row>
    <row r="1387" spans="1:14" x14ac:dyDescent="0.25">
      <c r="A1387">
        <v>9493</v>
      </c>
      <c r="B1387">
        <v>4158</v>
      </c>
      <c r="C1387">
        <f>1/COUNTIF(B:B,pizza_sales[[#This Row],[order_id]])</f>
        <v>0.5</v>
      </c>
      <c r="D1387" t="s">
        <v>34</v>
      </c>
      <c r="E1387">
        <v>1</v>
      </c>
      <c r="F1387" s="1">
        <v>42311</v>
      </c>
      <c r="G1387" s="1" t="str">
        <f>TEXT(pizza_sales[[#This Row],[order_date]],"dddd")</f>
        <v>Tuesday</v>
      </c>
      <c r="H1387" s="2">
        <v>0.73159722222222223</v>
      </c>
      <c r="I1387">
        <v>16.25</v>
      </c>
      <c r="J1387">
        <v>16.25</v>
      </c>
      <c r="K1387" t="s">
        <v>59</v>
      </c>
      <c r="L1387" t="s">
        <v>35</v>
      </c>
      <c r="M1387" t="s">
        <v>36</v>
      </c>
      <c r="N1387" t="s">
        <v>37</v>
      </c>
    </row>
    <row r="1388" spans="1:14" x14ac:dyDescent="0.25">
      <c r="A1388">
        <v>9494</v>
      </c>
      <c r="B1388">
        <v>4158</v>
      </c>
      <c r="C1388">
        <f>1/COUNTIF(B:B,pizza_sales[[#This Row],[order_id]])</f>
        <v>0.5</v>
      </c>
      <c r="D1388" t="s">
        <v>16</v>
      </c>
      <c r="E1388">
        <v>1</v>
      </c>
      <c r="F1388" s="1">
        <v>42311</v>
      </c>
      <c r="G1388" s="1" t="str">
        <f>TEXT(pizza_sales[[#This Row],[order_date]],"dddd")</f>
        <v>Tuesday</v>
      </c>
      <c r="H1388" s="2">
        <v>0.73159722222222223</v>
      </c>
      <c r="I1388">
        <v>16</v>
      </c>
      <c r="J1388">
        <v>16</v>
      </c>
      <c r="K1388" t="s">
        <v>59</v>
      </c>
      <c r="L1388" t="s">
        <v>17</v>
      </c>
      <c r="M1388" t="s">
        <v>18</v>
      </c>
      <c r="N1388" t="s">
        <v>19</v>
      </c>
    </row>
    <row r="1389" spans="1:14" x14ac:dyDescent="0.25">
      <c r="A1389">
        <v>9501</v>
      </c>
      <c r="B1389">
        <v>4162</v>
      </c>
      <c r="C1389">
        <f>1/COUNTIF(B:B,pizza_sales[[#This Row],[order_id]])</f>
        <v>0.5</v>
      </c>
      <c r="D1389" t="s">
        <v>28</v>
      </c>
      <c r="E1389">
        <v>1</v>
      </c>
      <c r="F1389" s="1">
        <v>42311</v>
      </c>
      <c r="G1389" s="1" t="str">
        <f>TEXT(pizza_sales[[#This Row],[order_date]],"dddd")</f>
        <v>Tuesday</v>
      </c>
      <c r="H1389" s="2">
        <v>0.76943287037037034</v>
      </c>
      <c r="I1389">
        <v>12</v>
      </c>
      <c r="J1389">
        <v>12</v>
      </c>
      <c r="K1389" t="s">
        <v>60</v>
      </c>
      <c r="L1389" t="s">
        <v>13</v>
      </c>
      <c r="M1389" t="s">
        <v>29</v>
      </c>
      <c r="N1389" t="s">
        <v>30</v>
      </c>
    </row>
    <row r="1390" spans="1:14" x14ac:dyDescent="0.25">
      <c r="A1390">
        <v>9503</v>
      </c>
      <c r="B1390">
        <v>4162</v>
      </c>
      <c r="C1390">
        <f>1/COUNTIF(B:B,pizza_sales[[#This Row],[order_id]])</f>
        <v>0.5</v>
      </c>
      <c r="D1390" t="s">
        <v>44</v>
      </c>
      <c r="E1390">
        <v>1</v>
      </c>
      <c r="F1390" s="1">
        <v>42311</v>
      </c>
      <c r="G1390" s="1" t="str">
        <f>TEXT(pizza_sales[[#This Row],[order_date]],"dddd")</f>
        <v>Tuesday</v>
      </c>
      <c r="H1390" s="2">
        <v>0.76943287037037034</v>
      </c>
      <c r="I1390">
        <v>9.75</v>
      </c>
      <c r="J1390">
        <v>9.75</v>
      </c>
      <c r="K1390" t="s">
        <v>60</v>
      </c>
      <c r="L1390" t="s">
        <v>13</v>
      </c>
      <c r="M1390" t="s">
        <v>26</v>
      </c>
      <c r="N1390" t="s">
        <v>27</v>
      </c>
    </row>
    <row r="1391" spans="1:14" x14ac:dyDescent="0.25">
      <c r="A1391">
        <v>9512</v>
      </c>
      <c r="B1391">
        <v>4167</v>
      </c>
      <c r="C1391">
        <f>1/COUNTIF(B:B,pizza_sales[[#This Row],[order_id]])</f>
        <v>1</v>
      </c>
      <c r="D1391" t="s">
        <v>28</v>
      </c>
      <c r="E1391">
        <v>1</v>
      </c>
      <c r="F1391" s="1">
        <v>42311</v>
      </c>
      <c r="G1391" s="1" t="str">
        <f>TEXT(pizza_sales[[#This Row],[order_date]],"dddd")</f>
        <v>Tuesday</v>
      </c>
      <c r="H1391" s="2">
        <v>0.78254629629629635</v>
      </c>
      <c r="I1391">
        <v>12</v>
      </c>
      <c r="J1391">
        <v>12</v>
      </c>
      <c r="K1391" t="s">
        <v>60</v>
      </c>
      <c r="L1391" t="s">
        <v>13</v>
      </c>
      <c r="M1391" t="s">
        <v>29</v>
      </c>
      <c r="N1391" t="s">
        <v>30</v>
      </c>
    </row>
    <row r="1392" spans="1:14" x14ac:dyDescent="0.25">
      <c r="A1392">
        <v>9517</v>
      </c>
      <c r="B1392">
        <v>4168</v>
      </c>
      <c r="C1392">
        <f>1/COUNTIF(B:B,pizza_sales[[#This Row],[order_id]])</f>
        <v>1</v>
      </c>
      <c r="D1392" t="s">
        <v>31</v>
      </c>
      <c r="E1392">
        <v>1</v>
      </c>
      <c r="F1392" s="1">
        <v>42311</v>
      </c>
      <c r="G1392" s="1" t="str">
        <f>TEXT(pizza_sales[[#This Row],[order_date]],"dddd")</f>
        <v>Tuesday</v>
      </c>
      <c r="H1392" s="2">
        <v>0.8090856481481481</v>
      </c>
      <c r="I1392">
        <v>12</v>
      </c>
      <c r="J1392">
        <v>12</v>
      </c>
      <c r="K1392" t="s">
        <v>60</v>
      </c>
      <c r="L1392" t="s">
        <v>13</v>
      </c>
      <c r="M1392" t="s">
        <v>32</v>
      </c>
      <c r="N1392" t="s">
        <v>33</v>
      </c>
    </row>
    <row r="1393" spans="1:14" x14ac:dyDescent="0.25">
      <c r="A1393">
        <v>9520</v>
      </c>
      <c r="B1393">
        <v>4170</v>
      </c>
      <c r="C1393">
        <f>1/COUNTIF(B:B,pizza_sales[[#This Row],[order_id]])</f>
        <v>1</v>
      </c>
      <c r="D1393" t="s">
        <v>28</v>
      </c>
      <c r="E1393">
        <v>1</v>
      </c>
      <c r="F1393" s="1">
        <v>42311</v>
      </c>
      <c r="G1393" s="1" t="str">
        <f>TEXT(pizza_sales[[#This Row],[order_date]],"dddd")</f>
        <v>Tuesday</v>
      </c>
      <c r="H1393" s="2">
        <v>0.83468750000000003</v>
      </c>
      <c r="I1393">
        <v>12</v>
      </c>
      <c r="J1393">
        <v>12</v>
      </c>
      <c r="K1393" t="s">
        <v>60</v>
      </c>
      <c r="L1393" t="s">
        <v>13</v>
      </c>
      <c r="M1393" t="s">
        <v>29</v>
      </c>
      <c r="N1393" t="s">
        <v>30</v>
      </c>
    </row>
    <row r="1394" spans="1:14" x14ac:dyDescent="0.25">
      <c r="A1394">
        <v>9529</v>
      </c>
      <c r="B1394">
        <v>4177</v>
      </c>
      <c r="C1394">
        <f>1/COUNTIF(B:B,pizza_sales[[#This Row],[order_id]])</f>
        <v>0.33333333333333331</v>
      </c>
      <c r="D1394" t="s">
        <v>54</v>
      </c>
      <c r="E1394">
        <v>1</v>
      </c>
      <c r="F1394" s="1">
        <v>42341</v>
      </c>
      <c r="G1394" s="1" t="str">
        <f>TEXT(pizza_sales[[#This Row],[order_date]],"dddd")</f>
        <v>Thursday</v>
      </c>
      <c r="H1394" s="2">
        <v>0.47643518518518518</v>
      </c>
      <c r="I1394">
        <v>12.25</v>
      </c>
      <c r="J1394">
        <v>12.25</v>
      </c>
      <c r="K1394" t="s">
        <v>60</v>
      </c>
      <c r="L1394" t="s">
        <v>35</v>
      </c>
      <c r="M1394" t="s">
        <v>36</v>
      </c>
      <c r="N1394" t="s">
        <v>37</v>
      </c>
    </row>
    <row r="1395" spans="1:14" x14ac:dyDescent="0.25">
      <c r="A1395">
        <v>9530</v>
      </c>
      <c r="B1395">
        <v>4177</v>
      </c>
      <c r="C1395">
        <f>1/COUNTIF(B:B,pizza_sales[[#This Row],[order_id]])</f>
        <v>0.33333333333333331</v>
      </c>
      <c r="D1395" t="s">
        <v>16</v>
      </c>
      <c r="E1395">
        <v>1</v>
      </c>
      <c r="F1395" s="1">
        <v>42341</v>
      </c>
      <c r="G1395" s="1" t="str">
        <f>TEXT(pizza_sales[[#This Row],[order_date]],"dddd")</f>
        <v>Thursday</v>
      </c>
      <c r="H1395" s="2">
        <v>0.47643518518518518</v>
      </c>
      <c r="I1395">
        <v>16</v>
      </c>
      <c r="J1395">
        <v>16</v>
      </c>
      <c r="K1395" t="s">
        <v>59</v>
      </c>
      <c r="L1395" t="s">
        <v>17</v>
      </c>
      <c r="M1395" t="s">
        <v>18</v>
      </c>
      <c r="N1395" t="s">
        <v>19</v>
      </c>
    </row>
    <row r="1396" spans="1:14" x14ac:dyDescent="0.25">
      <c r="A1396">
        <v>9532</v>
      </c>
      <c r="B1396">
        <v>4177</v>
      </c>
      <c r="C1396">
        <f>1/COUNTIF(B:B,pizza_sales[[#This Row],[order_id]])</f>
        <v>0.33333333333333331</v>
      </c>
      <c r="D1396" t="s">
        <v>44</v>
      </c>
      <c r="E1396">
        <v>1</v>
      </c>
      <c r="F1396" s="1">
        <v>42341</v>
      </c>
      <c r="G1396" s="1" t="str">
        <f>TEXT(pizza_sales[[#This Row],[order_date]],"dddd")</f>
        <v>Thursday</v>
      </c>
      <c r="H1396" s="2">
        <v>0.47643518518518518</v>
      </c>
      <c r="I1396">
        <v>9.75</v>
      </c>
      <c r="J1396">
        <v>9.75</v>
      </c>
      <c r="K1396" t="s">
        <v>60</v>
      </c>
      <c r="L1396" t="s">
        <v>13</v>
      </c>
      <c r="M1396" t="s">
        <v>26</v>
      </c>
      <c r="N1396" t="s">
        <v>27</v>
      </c>
    </row>
    <row r="1397" spans="1:14" x14ac:dyDescent="0.25">
      <c r="A1397">
        <v>9536</v>
      </c>
      <c r="B1397">
        <v>4180</v>
      </c>
      <c r="C1397">
        <f>1/COUNTIF(B:B,pizza_sales[[#This Row],[order_id]])</f>
        <v>1</v>
      </c>
      <c r="D1397" t="s">
        <v>12</v>
      </c>
      <c r="E1397">
        <v>1</v>
      </c>
      <c r="F1397" s="1">
        <v>42341</v>
      </c>
      <c r="G1397" s="1" t="str">
        <f>TEXT(pizza_sales[[#This Row],[order_date]],"dddd")</f>
        <v>Thursday</v>
      </c>
      <c r="H1397" s="2">
        <v>0.50008101851851849</v>
      </c>
      <c r="I1397">
        <v>13.25</v>
      </c>
      <c r="J1397">
        <v>13.25</v>
      </c>
      <c r="K1397" t="s">
        <v>59</v>
      </c>
      <c r="L1397" t="s">
        <v>13</v>
      </c>
      <c r="M1397" t="s">
        <v>14</v>
      </c>
      <c r="N1397" t="s">
        <v>15</v>
      </c>
    </row>
    <row r="1398" spans="1:14" x14ac:dyDescent="0.25">
      <c r="A1398">
        <v>9540</v>
      </c>
      <c r="B1398">
        <v>4182</v>
      </c>
      <c r="C1398">
        <f>1/COUNTIF(B:B,pizza_sales[[#This Row],[order_id]])</f>
        <v>1</v>
      </c>
      <c r="D1398" t="s">
        <v>16</v>
      </c>
      <c r="E1398">
        <v>1</v>
      </c>
      <c r="F1398" s="1">
        <v>42341</v>
      </c>
      <c r="G1398" s="1" t="str">
        <f>TEXT(pizza_sales[[#This Row],[order_date]],"dddd")</f>
        <v>Thursday</v>
      </c>
      <c r="H1398" s="2">
        <v>0.50964120370370369</v>
      </c>
      <c r="I1398">
        <v>16</v>
      </c>
      <c r="J1398">
        <v>16</v>
      </c>
      <c r="K1398" t="s">
        <v>59</v>
      </c>
      <c r="L1398" t="s">
        <v>17</v>
      </c>
      <c r="M1398" t="s">
        <v>18</v>
      </c>
      <c r="N1398" t="s">
        <v>19</v>
      </c>
    </row>
    <row r="1399" spans="1:14" x14ac:dyDescent="0.25">
      <c r="A1399">
        <v>9542</v>
      </c>
      <c r="B1399">
        <v>4183</v>
      </c>
      <c r="C1399">
        <f>1/COUNTIF(B:B,pizza_sales[[#This Row],[order_id]])</f>
        <v>1</v>
      </c>
      <c r="D1399" t="s">
        <v>42</v>
      </c>
      <c r="E1399">
        <v>1</v>
      </c>
      <c r="F1399" s="1">
        <v>42341</v>
      </c>
      <c r="G1399" s="1" t="str">
        <f>TEXT(pizza_sales[[#This Row],[order_date]],"dddd")</f>
        <v>Thursday</v>
      </c>
      <c r="H1399" s="2">
        <v>0.51290509259259254</v>
      </c>
      <c r="I1399">
        <v>12.5</v>
      </c>
      <c r="J1399">
        <v>12.5</v>
      </c>
      <c r="K1399" t="s">
        <v>59</v>
      </c>
      <c r="L1399" t="s">
        <v>13</v>
      </c>
      <c r="M1399" t="s">
        <v>26</v>
      </c>
      <c r="N1399" t="s">
        <v>27</v>
      </c>
    </row>
    <row r="1400" spans="1:14" x14ac:dyDescent="0.25">
      <c r="A1400">
        <v>9544</v>
      </c>
      <c r="B1400">
        <v>4184</v>
      </c>
      <c r="C1400">
        <f>1/COUNTIF(B:B,pizza_sales[[#This Row],[order_id]])</f>
        <v>1</v>
      </c>
      <c r="D1400" t="s">
        <v>38</v>
      </c>
      <c r="E1400">
        <v>1</v>
      </c>
      <c r="F1400" s="1">
        <v>42341</v>
      </c>
      <c r="G1400" s="1" t="str">
        <f>TEXT(pizza_sales[[#This Row],[order_date]],"dddd")</f>
        <v>Thursday</v>
      </c>
      <c r="H1400" s="2">
        <v>0.51369212962962962</v>
      </c>
      <c r="I1400">
        <v>20.5</v>
      </c>
      <c r="J1400">
        <v>20.5</v>
      </c>
      <c r="K1400" t="s">
        <v>58</v>
      </c>
      <c r="L1400" t="s">
        <v>13</v>
      </c>
      <c r="M1400" t="s">
        <v>32</v>
      </c>
      <c r="N1400" t="s">
        <v>33</v>
      </c>
    </row>
    <row r="1401" spans="1:14" x14ac:dyDescent="0.25">
      <c r="A1401">
        <v>9548</v>
      </c>
      <c r="B1401">
        <v>4185</v>
      </c>
      <c r="C1401">
        <f>1/COUNTIF(B:B,pizza_sales[[#This Row],[order_id]])</f>
        <v>1</v>
      </c>
      <c r="D1401" t="s">
        <v>56</v>
      </c>
      <c r="E1401">
        <v>1</v>
      </c>
      <c r="F1401" s="1">
        <v>42341</v>
      </c>
      <c r="G1401" s="1" t="str">
        <f>TEXT(pizza_sales[[#This Row],[order_date]],"dddd")</f>
        <v>Thursday</v>
      </c>
      <c r="H1401" s="2">
        <v>0.52422453703703709</v>
      </c>
      <c r="I1401">
        <v>20.25</v>
      </c>
      <c r="J1401">
        <v>20.25</v>
      </c>
      <c r="K1401" t="s">
        <v>58</v>
      </c>
      <c r="L1401" t="s">
        <v>35</v>
      </c>
      <c r="M1401" t="s">
        <v>36</v>
      </c>
      <c r="N1401" t="s">
        <v>37</v>
      </c>
    </row>
    <row r="1402" spans="1:14" x14ac:dyDescent="0.25">
      <c r="A1402">
        <v>9550</v>
      </c>
      <c r="B1402">
        <v>4186</v>
      </c>
      <c r="C1402">
        <f>1/COUNTIF(B:B,pizza_sales[[#This Row],[order_id]])</f>
        <v>0.5</v>
      </c>
      <c r="D1402" t="s">
        <v>51</v>
      </c>
      <c r="E1402">
        <v>1</v>
      </c>
      <c r="F1402" s="1">
        <v>42341</v>
      </c>
      <c r="G1402" s="1" t="str">
        <f>TEXT(pizza_sales[[#This Row],[order_date]],"dddd")</f>
        <v>Thursday</v>
      </c>
      <c r="H1402" s="2">
        <v>0.52644675925925921</v>
      </c>
      <c r="I1402">
        <v>23.65</v>
      </c>
      <c r="J1402">
        <v>23.65</v>
      </c>
      <c r="K1402" t="s">
        <v>60</v>
      </c>
      <c r="L1402" t="s">
        <v>35</v>
      </c>
      <c r="M1402" t="s">
        <v>52</v>
      </c>
      <c r="N1402" t="s">
        <v>53</v>
      </c>
    </row>
    <row r="1403" spans="1:14" x14ac:dyDescent="0.25">
      <c r="A1403">
        <v>9556</v>
      </c>
      <c r="B1403">
        <v>4186</v>
      </c>
      <c r="C1403">
        <f>1/COUNTIF(B:B,pizza_sales[[#This Row],[order_id]])</f>
        <v>0.5</v>
      </c>
      <c r="D1403" t="s">
        <v>31</v>
      </c>
      <c r="E1403">
        <v>1</v>
      </c>
      <c r="F1403" s="1">
        <v>42341</v>
      </c>
      <c r="G1403" s="1" t="str">
        <f>TEXT(pizza_sales[[#This Row],[order_date]],"dddd")</f>
        <v>Thursday</v>
      </c>
      <c r="H1403" s="2">
        <v>0.52644675925925921</v>
      </c>
      <c r="I1403">
        <v>12</v>
      </c>
      <c r="J1403">
        <v>12</v>
      </c>
      <c r="K1403" t="s">
        <v>60</v>
      </c>
      <c r="L1403" t="s">
        <v>13</v>
      </c>
      <c r="M1403" t="s">
        <v>32</v>
      </c>
      <c r="N1403" t="s">
        <v>33</v>
      </c>
    </row>
    <row r="1404" spans="1:14" x14ac:dyDescent="0.25">
      <c r="A1404">
        <v>9572</v>
      </c>
      <c r="B1404">
        <v>4193</v>
      </c>
      <c r="C1404">
        <f>1/COUNTIF(B:B,pizza_sales[[#This Row],[order_id]])</f>
        <v>1</v>
      </c>
      <c r="D1404" t="s">
        <v>43</v>
      </c>
      <c r="E1404">
        <v>1</v>
      </c>
      <c r="F1404" s="1">
        <v>42341</v>
      </c>
      <c r="G1404" s="1" t="str">
        <f>TEXT(pizza_sales[[#This Row],[order_date]],"dddd")</f>
        <v>Thursday</v>
      </c>
      <c r="H1404" s="2">
        <v>0.58731481481481485</v>
      </c>
      <c r="I1404">
        <v>16.25</v>
      </c>
      <c r="J1404">
        <v>16.25</v>
      </c>
      <c r="K1404" t="s">
        <v>59</v>
      </c>
      <c r="L1404" t="s">
        <v>35</v>
      </c>
      <c r="M1404" t="s">
        <v>40</v>
      </c>
      <c r="N1404" t="s">
        <v>41</v>
      </c>
    </row>
    <row r="1405" spans="1:14" x14ac:dyDescent="0.25">
      <c r="A1405">
        <v>9574</v>
      </c>
      <c r="B1405">
        <v>4194</v>
      </c>
      <c r="C1405">
        <f>1/COUNTIF(B:B,pizza_sales[[#This Row],[order_id]])</f>
        <v>1</v>
      </c>
      <c r="D1405" t="s">
        <v>31</v>
      </c>
      <c r="E1405">
        <v>1</v>
      </c>
      <c r="F1405" s="1">
        <v>42341</v>
      </c>
      <c r="G1405" s="1" t="str">
        <f>TEXT(pizza_sales[[#This Row],[order_date]],"dddd")</f>
        <v>Thursday</v>
      </c>
      <c r="H1405" s="2">
        <v>0.60439814814814818</v>
      </c>
      <c r="I1405">
        <v>12</v>
      </c>
      <c r="J1405">
        <v>12</v>
      </c>
      <c r="K1405" t="s">
        <v>60</v>
      </c>
      <c r="L1405" t="s">
        <v>13</v>
      </c>
      <c r="M1405" t="s">
        <v>32</v>
      </c>
      <c r="N1405" t="s">
        <v>33</v>
      </c>
    </row>
    <row r="1406" spans="1:14" x14ac:dyDescent="0.25">
      <c r="A1406">
        <v>9579</v>
      </c>
      <c r="B1406">
        <v>4195</v>
      </c>
      <c r="C1406">
        <f>1/COUNTIF(B:B,pizza_sales[[#This Row],[order_id]])</f>
        <v>1</v>
      </c>
      <c r="D1406" t="s">
        <v>39</v>
      </c>
      <c r="E1406">
        <v>1</v>
      </c>
      <c r="F1406" s="1">
        <v>42341</v>
      </c>
      <c r="G1406" s="1" t="str">
        <f>TEXT(pizza_sales[[#This Row],[order_date]],"dddd")</f>
        <v>Thursday</v>
      </c>
      <c r="H1406" s="2">
        <v>0.61645833333333333</v>
      </c>
      <c r="I1406">
        <v>20.25</v>
      </c>
      <c r="J1406">
        <v>20.25</v>
      </c>
      <c r="K1406" t="s">
        <v>58</v>
      </c>
      <c r="L1406" t="s">
        <v>35</v>
      </c>
      <c r="M1406" t="s">
        <v>40</v>
      </c>
      <c r="N1406" t="s">
        <v>41</v>
      </c>
    </row>
    <row r="1407" spans="1:14" x14ac:dyDescent="0.25">
      <c r="A1407">
        <v>9580</v>
      </c>
      <c r="B1407">
        <v>4196</v>
      </c>
      <c r="C1407">
        <f>1/COUNTIF(B:B,pizza_sales[[#This Row],[order_id]])</f>
        <v>1</v>
      </c>
      <c r="D1407" t="s">
        <v>46</v>
      </c>
      <c r="E1407">
        <v>1</v>
      </c>
      <c r="F1407" s="1">
        <v>42341</v>
      </c>
      <c r="G1407" s="1" t="str">
        <f>TEXT(pizza_sales[[#This Row],[order_date]],"dddd")</f>
        <v>Thursday</v>
      </c>
      <c r="H1407" s="2">
        <v>0.64263888888888887</v>
      </c>
      <c r="I1407">
        <v>25.5</v>
      </c>
      <c r="J1407">
        <v>25.5</v>
      </c>
      <c r="K1407" t="s">
        <v>61</v>
      </c>
      <c r="L1407" t="s">
        <v>13</v>
      </c>
      <c r="M1407" t="s">
        <v>21</v>
      </c>
      <c r="N1407" t="s">
        <v>22</v>
      </c>
    </row>
    <row r="1408" spans="1:14" x14ac:dyDescent="0.25">
      <c r="A1408">
        <v>9585</v>
      </c>
      <c r="B1408">
        <v>4199</v>
      </c>
      <c r="C1408">
        <f>1/COUNTIF(B:B,pizza_sales[[#This Row],[order_id]])</f>
        <v>1</v>
      </c>
      <c r="D1408" t="s">
        <v>16</v>
      </c>
      <c r="E1408">
        <v>1</v>
      </c>
      <c r="F1408" s="1">
        <v>42341</v>
      </c>
      <c r="G1408" s="1" t="str">
        <f>TEXT(pizza_sales[[#This Row],[order_date]],"dddd")</f>
        <v>Thursday</v>
      </c>
      <c r="H1408" s="2">
        <v>0.65813657407407411</v>
      </c>
      <c r="I1408">
        <v>16</v>
      </c>
      <c r="J1408">
        <v>16</v>
      </c>
      <c r="K1408" t="s">
        <v>59</v>
      </c>
      <c r="L1408" t="s">
        <v>17</v>
      </c>
      <c r="M1408" t="s">
        <v>18</v>
      </c>
      <c r="N1408" t="s">
        <v>19</v>
      </c>
    </row>
    <row r="1409" spans="1:14" x14ac:dyDescent="0.25">
      <c r="A1409">
        <v>9587</v>
      </c>
      <c r="B1409">
        <v>4201</v>
      </c>
      <c r="C1409">
        <f>1/COUNTIF(B:B,pizza_sales[[#This Row],[order_id]])</f>
        <v>1</v>
      </c>
      <c r="D1409" t="s">
        <v>39</v>
      </c>
      <c r="E1409">
        <v>1</v>
      </c>
      <c r="F1409" s="1">
        <v>42341</v>
      </c>
      <c r="G1409" s="1" t="str">
        <f>TEXT(pizza_sales[[#This Row],[order_date]],"dddd")</f>
        <v>Thursday</v>
      </c>
      <c r="H1409" s="2">
        <v>0.65975694444444444</v>
      </c>
      <c r="I1409">
        <v>20.25</v>
      </c>
      <c r="J1409">
        <v>20.25</v>
      </c>
      <c r="K1409" t="s">
        <v>58</v>
      </c>
      <c r="L1409" t="s">
        <v>35</v>
      </c>
      <c r="M1409" t="s">
        <v>40</v>
      </c>
      <c r="N1409" t="s">
        <v>41</v>
      </c>
    </row>
    <row r="1410" spans="1:14" x14ac:dyDescent="0.25">
      <c r="A1410">
        <v>9589</v>
      </c>
      <c r="B1410">
        <v>4202</v>
      </c>
      <c r="C1410">
        <f>1/COUNTIF(B:B,pizza_sales[[#This Row],[order_id]])</f>
        <v>0.5</v>
      </c>
      <c r="D1410" t="s">
        <v>28</v>
      </c>
      <c r="E1410">
        <v>1</v>
      </c>
      <c r="F1410" s="1">
        <v>42341</v>
      </c>
      <c r="G1410" s="1" t="str">
        <f>TEXT(pizza_sales[[#This Row],[order_date]],"dddd")</f>
        <v>Thursday</v>
      </c>
      <c r="H1410" s="2">
        <v>0.66078703703703701</v>
      </c>
      <c r="I1410">
        <v>12</v>
      </c>
      <c r="J1410">
        <v>12</v>
      </c>
      <c r="K1410" t="s">
        <v>60</v>
      </c>
      <c r="L1410" t="s">
        <v>13</v>
      </c>
      <c r="M1410" t="s">
        <v>29</v>
      </c>
      <c r="N1410" t="s">
        <v>30</v>
      </c>
    </row>
    <row r="1411" spans="1:14" x14ac:dyDescent="0.25">
      <c r="A1411">
        <v>9590</v>
      </c>
      <c r="B1411">
        <v>4202</v>
      </c>
      <c r="C1411">
        <f>1/COUNTIF(B:B,pizza_sales[[#This Row],[order_id]])</f>
        <v>0.5</v>
      </c>
      <c r="D1411" t="s">
        <v>34</v>
      </c>
      <c r="E1411">
        <v>1</v>
      </c>
      <c r="F1411" s="1">
        <v>42341</v>
      </c>
      <c r="G1411" s="1" t="str">
        <f>TEXT(pizza_sales[[#This Row],[order_date]],"dddd")</f>
        <v>Thursday</v>
      </c>
      <c r="H1411" s="2">
        <v>0.66078703703703701</v>
      </c>
      <c r="I1411">
        <v>16.25</v>
      </c>
      <c r="J1411">
        <v>16.25</v>
      </c>
      <c r="K1411" t="s">
        <v>59</v>
      </c>
      <c r="L1411" t="s">
        <v>35</v>
      </c>
      <c r="M1411" t="s">
        <v>36</v>
      </c>
      <c r="N1411" t="s">
        <v>37</v>
      </c>
    </row>
    <row r="1412" spans="1:14" x14ac:dyDescent="0.25">
      <c r="A1412">
        <v>9591</v>
      </c>
      <c r="B1412">
        <v>4203</v>
      </c>
      <c r="C1412">
        <f>1/COUNTIF(B:B,pizza_sales[[#This Row],[order_id]])</f>
        <v>0.33333333333333331</v>
      </c>
      <c r="D1412" t="s">
        <v>34</v>
      </c>
      <c r="E1412">
        <v>1</v>
      </c>
      <c r="F1412" s="1">
        <v>42341</v>
      </c>
      <c r="G1412" s="1" t="str">
        <f>TEXT(pizza_sales[[#This Row],[order_date]],"dddd")</f>
        <v>Thursday</v>
      </c>
      <c r="H1412" s="2">
        <v>0.67138888888888892</v>
      </c>
      <c r="I1412">
        <v>16.25</v>
      </c>
      <c r="J1412">
        <v>16.25</v>
      </c>
      <c r="K1412" t="s">
        <v>59</v>
      </c>
      <c r="L1412" t="s">
        <v>35</v>
      </c>
      <c r="M1412" t="s">
        <v>36</v>
      </c>
      <c r="N1412" t="s">
        <v>37</v>
      </c>
    </row>
    <row r="1413" spans="1:14" x14ac:dyDescent="0.25">
      <c r="A1413">
        <v>9592</v>
      </c>
      <c r="B1413">
        <v>4203</v>
      </c>
      <c r="C1413">
        <f>1/COUNTIF(B:B,pizza_sales[[#This Row],[order_id]])</f>
        <v>0.33333333333333331</v>
      </c>
      <c r="D1413" t="s">
        <v>47</v>
      </c>
      <c r="E1413">
        <v>1</v>
      </c>
      <c r="F1413" s="1">
        <v>42341</v>
      </c>
      <c r="G1413" s="1" t="str">
        <f>TEXT(pizza_sales[[#This Row],[order_date]],"dddd")</f>
        <v>Thursday</v>
      </c>
      <c r="H1413" s="2">
        <v>0.67138888888888892</v>
      </c>
      <c r="I1413">
        <v>16.5</v>
      </c>
      <c r="J1413">
        <v>16.5</v>
      </c>
      <c r="K1413" t="s">
        <v>58</v>
      </c>
      <c r="L1413" t="s">
        <v>13</v>
      </c>
      <c r="M1413" t="s">
        <v>14</v>
      </c>
      <c r="N1413" t="s">
        <v>15</v>
      </c>
    </row>
    <row r="1414" spans="1:14" x14ac:dyDescent="0.25">
      <c r="A1414">
        <v>9593</v>
      </c>
      <c r="B1414">
        <v>4203</v>
      </c>
      <c r="C1414">
        <f>1/COUNTIF(B:B,pizza_sales[[#This Row],[order_id]])</f>
        <v>0.33333333333333331</v>
      </c>
      <c r="D1414" t="s">
        <v>45</v>
      </c>
      <c r="E1414">
        <v>1</v>
      </c>
      <c r="F1414" s="1">
        <v>42341</v>
      </c>
      <c r="G1414" s="1" t="str">
        <f>TEXT(pizza_sales[[#This Row],[order_date]],"dddd")</f>
        <v>Thursday</v>
      </c>
      <c r="H1414" s="2">
        <v>0.67138888888888892</v>
      </c>
      <c r="I1414">
        <v>10.5</v>
      </c>
      <c r="J1414">
        <v>10.5</v>
      </c>
      <c r="K1414" t="s">
        <v>60</v>
      </c>
      <c r="L1414" t="s">
        <v>13</v>
      </c>
      <c r="M1414" t="s">
        <v>14</v>
      </c>
      <c r="N1414" t="s">
        <v>15</v>
      </c>
    </row>
    <row r="1415" spans="1:14" x14ac:dyDescent="0.25">
      <c r="A1415">
        <v>9594</v>
      </c>
      <c r="B1415">
        <v>4204</v>
      </c>
      <c r="C1415">
        <f>1/COUNTIF(B:B,pizza_sales[[#This Row],[order_id]])</f>
        <v>1</v>
      </c>
      <c r="D1415" t="s">
        <v>42</v>
      </c>
      <c r="E1415">
        <v>1</v>
      </c>
      <c r="F1415" s="1">
        <v>42341</v>
      </c>
      <c r="G1415" s="1" t="str">
        <f>TEXT(pizza_sales[[#This Row],[order_date]],"dddd")</f>
        <v>Thursday</v>
      </c>
      <c r="H1415" s="2">
        <v>0.67393518518518514</v>
      </c>
      <c r="I1415">
        <v>12.5</v>
      </c>
      <c r="J1415">
        <v>12.5</v>
      </c>
      <c r="K1415" t="s">
        <v>59</v>
      </c>
      <c r="L1415" t="s">
        <v>13</v>
      </c>
      <c r="M1415" t="s">
        <v>26</v>
      </c>
      <c r="N1415" t="s">
        <v>27</v>
      </c>
    </row>
    <row r="1416" spans="1:14" x14ac:dyDescent="0.25">
      <c r="A1416">
        <v>9596</v>
      </c>
      <c r="B1416">
        <v>4205</v>
      </c>
      <c r="C1416">
        <f>1/COUNTIF(B:B,pizza_sales[[#This Row],[order_id]])</f>
        <v>1</v>
      </c>
      <c r="D1416" t="s">
        <v>51</v>
      </c>
      <c r="E1416">
        <v>1</v>
      </c>
      <c r="F1416" s="1">
        <v>42341</v>
      </c>
      <c r="G1416" s="1" t="str">
        <f>TEXT(pizza_sales[[#This Row],[order_date]],"dddd")</f>
        <v>Thursday</v>
      </c>
      <c r="H1416" s="2">
        <v>0.68325231481481485</v>
      </c>
      <c r="I1416">
        <v>23.65</v>
      </c>
      <c r="J1416">
        <v>23.65</v>
      </c>
      <c r="K1416" t="s">
        <v>60</v>
      </c>
      <c r="L1416" t="s">
        <v>35</v>
      </c>
      <c r="M1416" t="s">
        <v>52</v>
      </c>
      <c r="N1416" t="s">
        <v>53</v>
      </c>
    </row>
    <row r="1417" spans="1:14" x14ac:dyDescent="0.25">
      <c r="A1417">
        <v>9598</v>
      </c>
      <c r="B1417">
        <v>4206</v>
      </c>
      <c r="C1417">
        <f>1/COUNTIF(B:B,pizza_sales[[#This Row],[order_id]])</f>
        <v>1</v>
      </c>
      <c r="D1417" t="s">
        <v>34</v>
      </c>
      <c r="E1417">
        <v>1</v>
      </c>
      <c r="F1417" s="1">
        <v>42341</v>
      </c>
      <c r="G1417" s="1" t="str">
        <f>TEXT(pizza_sales[[#This Row],[order_date]],"dddd")</f>
        <v>Thursday</v>
      </c>
      <c r="H1417" s="2">
        <v>0.68629629629629629</v>
      </c>
      <c r="I1417">
        <v>16.25</v>
      </c>
      <c r="J1417">
        <v>16.25</v>
      </c>
      <c r="K1417" t="s">
        <v>59</v>
      </c>
      <c r="L1417" t="s">
        <v>35</v>
      </c>
      <c r="M1417" t="s">
        <v>36</v>
      </c>
      <c r="N1417" t="s">
        <v>37</v>
      </c>
    </row>
    <row r="1418" spans="1:14" x14ac:dyDescent="0.25">
      <c r="A1418">
        <v>9614</v>
      </c>
      <c r="B1418">
        <v>4211</v>
      </c>
      <c r="C1418">
        <f>1/COUNTIF(B:B,pizza_sales[[#This Row],[order_id]])</f>
        <v>1</v>
      </c>
      <c r="D1418" t="s">
        <v>51</v>
      </c>
      <c r="E1418">
        <v>1</v>
      </c>
      <c r="F1418" s="1">
        <v>42341</v>
      </c>
      <c r="G1418" s="1" t="str">
        <f>TEXT(pizza_sales[[#This Row],[order_date]],"dddd")</f>
        <v>Thursday</v>
      </c>
      <c r="H1418" s="2">
        <v>0.73225694444444445</v>
      </c>
      <c r="I1418">
        <v>23.65</v>
      </c>
      <c r="J1418">
        <v>23.65</v>
      </c>
      <c r="K1418" t="s">
        <v>60</v>
      </c>
      <c r="L1418" t="s">
        <v>35</v>
      </c>
      <c r="M1418" t="s">
        <v>52</v>
      </c>
      <c r="N1418" t="s">
        <v>53</v>
      </c>
    </row>
    <row r="1419" spans="1:14" x14ac:dyDescent="0.25">
      <c r="A1419">
        <v>9615</v>
      </c>
      <c r="B1419">
        <v>4212</v>
      </c>
      <c r="C1419">
        <f>1/COUNTIF(B:B,pizza_sales[[#This Row],[order_id]])</f>
        <v>1</v>
      </c>
      <c r="D1419" t="s">
        <v>51</v>
      </c>
      <c r="E1419">
        <v>1</v>
      </c>
      <c r="F1419" s="1">
        <v>42341</v>
      </c>
      <c r="G1419" s="1" t="str">
        <f>TEXT(pizza_sales[[#This Row],[order_date]],"dddd")</f>
        <v>Thursday</v>
      </c>
      <c r="H1419" s="2">
        <v>0.7394560185185185</v>
      </c>
      <c r="I1419">
        <v>23.65</v>
      </c>
      <c r="J1419">
        <v>23.65</v>
      </c>
      <c r="K1419" t="s">
        <v>60</v>
      </c>
      <c r="L1419" t="s">
        <v>35</v>
      </c>
      <c r="M1419" t="s">
        <v>52</v>
      </c>
      <c r="N1419" t="s">
        <v>53</v>
      </c>
    </row>
    <row r="1420" spans="1:14" x14ac:dyDescent="0.25">
      <c r="A1420">
        <v>9622</v>
      </c>
      <c r="B1420">
        <v>4216</v>
      </c>
      <c r="C1420">
        <f>1/COUNTIF(B:B,pizza_sales[[#This Row],[order_id]])</f>
        <v>1</v>
      </c>
      <c r="D1420" t="s">
        <v>28</v>
      </c>
      <c r="E1420">
        <v>1</v>
      </c>
      <c r="F1420" s="1">
        <v>42341</v>
      </c>
      <c r="G1420" s="1" t="str">
        <f>TEXT(pizza_sales[[#This Row],[order_date]],"dddd")</f>
        <v>Thursday</v>
      </c>
      <c r="H1420" s="2">
        <v>0.76641203703703709</v>
      </c>
      <c r="I1420">
        <v>12</v>
      </c>
      <c r="J1420">
        <v>12</v>
      </c>
      <c r="K1420" t="s">
        <v>60</v>
      </c>
      <c r="L1420" t="s">
        <v>13</v>
      </c>
      <c r="M1420" t="s">
        <v>29</v>
      </c>
      <c r="N1420" t="s">
        <v>30</v>
      </c>
    </row>
    <row r="1421" spans="1:14" x14ac:dyDescent="0.25">
      <c r="A1421">
        <v>9631</v>
      </c>
      <c r="B1421">
        <v>4220</v>
      </c>
      <c r="C1421">
        <f>1/COUNTIF(B:B,pizza_sales[[#This Row],[order_id]])</f>
        <v>1</v>
      </c>
      <c r="D1421" t="s">
        <v>48</v>
      </c>
      <c r="E1421">
        <v>1</v>
      </c>
      <c r="F1421" s="1">
        <v>42341</v>
      </c>
      <c r="G1421" s="1" t="str">
        <f>TEXT(pizza_sales[[#This Row],[order_date]],"dddd")</f>
        <v>Thursday</v>
      </c>
      <c r="H1421" s="2">
        <v>0.78825231481481484</v>
      </c>
      <c r="I1421">
        <v>12.25</v>
      </c>
      <c r="J1421">
        <v>12.25</v>
      </c>
      <c r="K1421" t="s">
        <v>60</v>
      </c>
      <c r="L1421" t="s">
        <v>35</v>
      </c>
      <c r="M1421" t="s">
        <v>40</v>
      </c>
      <c r="N1421" t="s">
        <v>41</v>
      </c>
    </row>
    <row r="1422" spans="1:14" x14ac:dyDescent="0.25">
      <c r="A1422">
        <v>9639</v>
      </c>
      <c r="B1422">
        <v>4225</v>
      </c>
      <c r="C1422">
        <f>1/COUNTIF(B:B,pizza_sales[[#This Row],[order_id]])</f>
        <v>0.5</v>
      </c>
      <c r="D1422" t="s">
        <v>50</v>
      </c>
      <c r="E1422">
        <v>1</v>
      </c>
      <c r="F1422" s="1">
        <v>42341</v>
      </c>
      <c r="G1422" s="1" t="str">
        <f>TEXT(pizza_sales[[#This Row],[order_date]],"dddd")</f>
        <v>Thursday</v>
      </c>
      <c r="H1422" s="2">
        <v>0.85424768518518523</v>
      </c>
      <c r="I1422">
        <v>16</v>
      </c>
      <c r="J1422">
        <v>16</v>
      </c>
      <c r="K1422" t="s">
        <v>59</v>
      </c>
      <c r="L1422" t="s">
        <v>13</v>
      </c>
      <c r="M1422" t="s">
        <v>32</v>
      </c>
      <c r="N1422" t="s">
        <v>33</v>
      </c>
    </row>
    <row r="1423" spans="1:14" x14ac:dyDescent="0.25">
      <c r="A1423">
        <v>9640</v>
      </c>
      <c r="B1423">
        <v>4225</v>
      </c>
      <c r="C1423">
        <f>1/COUNTIF(B:B,pizza_sales[[#This Row],[order_id]])</f>
        <v>0.5</v>
      </c>
      <c r="D1423" t="s">
        <v>31</v>
      </c>
      <c r="E1423">
        <v>1</v>
      </c>
      <c r="F1423" s="1">
        <v>42341</v>
      </c>
      <c r="G1423" s="1" t="str">
        <f>TEXT(pizza_sales[[#This Row],[order_date]],"dddd")</f>
        <v>Thursday</v>
      </c>
      <c r="H1423" s="2">
        <v>0.85424768518518523</v>
      </c>
      <c r="I1423">
        <v>12</v>
      </c>
      <c r="J1423">
        <v>12</v>
      </c>
      <c r="K1423" t="s">
        <v>60</v>
      </c>
      <c r="L1423" t="s">
        <v>13</v>
      </c>
      <c r="M1423" t="s">
        <v>32</v>
      </c>
      <c r="N1423" t="s">
        <v>33</v>
      </c>
    </row>
    <row r="1424" spans="1:14" x14ac:dyDescent="0.25">
      <c r="A1424">
        <v>12235</v>
      </c>
      <c r="B1424">
        <v>5371</v>
      </c>
      <c r="C1424">
        <f>1/COUNTIF(B:B,pizza_sales[[#This Row],[order_id]])</f>
        <v>1</v>
      </c>
      <c r="D1424" t="s">
        <v>43</v>
      </c>
      <c r="E1424">
        <v>1</v>
      </c>
      <c r="F1424" s="1">
        <v>42008</v>
      </c>
      <c r="G1424" s="1" t="str">
        <f>TEXT(pizza_sales[[#This Row],[order_date]],"dddd")</f>
        <v>Sunday</v>
      </c>
      <c r="H1424" s="2">
        <v>0.47020833333333334</v>
      </c>
      <c r="I1424">
        <v>16.25</v>
      </c>
      <c r="J1424">
        <v>16.25</v>
      </c>
      <c r="K1424" t="s">
        <v>59</v>
      </c>
      <c r="L1424" t="s">
        <v>35</v>
      </c>
      <c r="M1424" t="s">
        <v>40</v>
      </c>
      <c r="N1424" t="s">
        <v>41</v>
      </c>
    </row>
    <row r="1425" spans="1:14" x14ac:dyDescent="0.25">
      <c r="A1425">
        <v>12237</v>
      </c>
      <c r="B1425">
        <v>5372</v>
      </c>
      <c r="C1425">
        <f>1/COUNTIF(B:B,pizza_sales[[#This Row],[order_id]])</f>
        <v>0.5</v>
      </c>
      <c r="D1425" t="s">
        <v>42</v>
      </c>
      <c r="E1425">
        <v>1</v>
      </c>
      <c r="F1425" s="1">
        <v>42008</v>
      </c>
      <c r="G1425" s="1" t="str">
        <f>TEXT(pizza_sales[[#This Row],[order_date]],"dddd")</f>
        <v>Sunday</v>
      </c>
      <c r="H1425" s="2">
        <v>0.48762731481481481</v>
      </c>
      <c r="I1425">
        <v>12.5</v>
      </c>
      <c r="J1425">
        <v>12.5</v>
      </c>
      <c r="K1425" t="s">
        <v>59</v>
      </c>
      <c r="L1425" t="s">
        <v>13</v>
      </c>
      <c r="M1425" t="s">
        <v>26</v>
      </c>
      <c r="N1425" t="s">
        <v>27</v>
      </c>
    </row>
    <row r="1426" spans="1:14" x14ac:dyDescent="0.25">
      <c r="A1426">
        <v>12238</v>
      </c>
      <c r="B1426">
        <v>5372</v>
      </c>
      <c r="C1426">
        <f>1/COUNTIF(B:B,pizza_sales[[#This Row],[order_id]])</f>
        <v>0.5</v>
      </c>
      <c r="D1426" t="s">
        <v>20</v>
      </c>
      <c r="E1426">
        <v>1</v>
      </c>
      <c r="F1426" s="1">
        <v>42008</v>
      </c>
      <c r="G1426" s="1" t="str">
        <f>TEXT(pizza_sales[[#This Row],[order_date]],"dddd")</f>
        <v>Sunday</v>
      </c>
      <c r="H1426" s="2">
        <v>0.48762731481481481</v>
      </c>
      <c r="I1426">
        <v>12</v>
      </c>
      <c r="J1426">
        <v>12</v>
      </c>
      <c r="K1426" t="s">
        <v>60</v>
      </c>
      <c r="L1426" t="s">
        <v>13</v>
      </c>
      <c r="M1426" t="s">
        <v>21</v>
      </c>
      <c r="N1426" t="s">
        <v>22</v>
      </c>
    </row>
    <row r="1427" spans="1:14" x14ac:dyDescent="0.25">
      <c r="A1427">
        <v>12240</v>
      </c>
      <c r="B1427">
        <v>5374</v>
      </c>
      <c r="C1427">
        <f>1/COUNTIF(B:B,pizza_sales[[#This Row],[order_id]])</f>
        <v>1</v>
      </c>
      <c r="D1427" t="s">
        <v>25</v>
      </c>
      <c r="E1427">
        <v>2</v>
      </c>
      <c r="F1427" s="1">
        <v>42008</v>
      </c>
      <c r="G1427" s="1" t="str">
        <f>TEXT(pizza_sales[[#This Row],[order_date]],"dddd")</f>
        <v>Sunday</v>
      </c>
      <c r="H1427" s="2">
        <v>0.50487268518518513</v>
      </c>
      <c r="I1427">
        <v>15.25</v>
      </c>
      <c r="J1427">
        <v>30.5</v>
      </c>
      <c r="K1427" t="s">
        <v>58</v>
      </c>
      <c r="L1427" t="s">
        <v>13</v>
      </c>
      <c r="M1427" t="s">
        <v>26</v>
      </c>
      <c r="N1427" t="s">
        <v>27</v>
      </c>
    </row>
    <row r="1428" spans="1:14" x14ac:dyDescent="0.25">
      <c r="A1428">
        <v>12242</v>
      </c>
      <c r="B1428">
        <v>5376</v>
      </c>
      <c r="C1428">
        <f>1/COUNTIF(B:B,pizza_sales[[#This Row],[order_id]])</f>
        <v>1</v>
      </c>
      <c r="D1428" t="s">
        <v>24</v>
      </c>
      <c r="E1428">
        <v>1</v>
      </c>
      <c r="F1428" s="1">
        <v>42008</v>
      </c>
      <c r="G1428" s="1" t="str">
        <f>TEXT(pizza_sales[[#This Row],[order_date]],"dddd")</f>
        <v>Sunday</v>
      </c>
      <c r="H1428" s="2">
        <v>0.50932870370370376</v>
      </c>
      <c r="I1428">
        <v>20.25</v>
      </c>
      <c r="J1428">
        <v>20.25</v>
      </c>
      <c r="K1428" t="s">
        <v>58</v>
      </c>
      <c r="L1428" t="s">
        <v>17</v>
      </c>
      <c r="M1428" t="s">
        <v>18</v>
      </c>
      <c r="N1428" t="s">
        <v>19</v>
      </c>
    </row>
    <row r="1429" spans="1:14" x14ac:dyDescent="0.25">
      <c r="A1429">
        <v>12243</v>
      </c>
      <c r="B1429">
        <v>5377</v>
      </c>
      <c r="C1429">
        <f>1/COUNTIF(B:B,pizza_sales[[#This Row],[order_id]])</f>
        <v>1</v>
      </c>
      <c r="D1429" t="s">
        <v>25</v>
      </c>
      <c r="E1429">
        <v>1</v>
      </c>
      <c r="F1429" s="1">
        <v>42008</v>
      </c>
      <c r="G1429" s="1" t="str">
        <f>TEXT(pizza_sales[[#This Row],[order_date]],"dddd")</f>
        <v>Sunday</v>
      </c>
      <c r="H1429" s="2">
        <v>0.51203703703703707</v>
      </c>
      <c r="I1429">
        <v>15.25</v>
      </c>
      <c r="J1429">
        <v>15.25</v>
      </c>
      <c r="K1429" t="s">
        <v>58</v>
      </c>
      <c r="L1429" t="s">
        <v>13</v>
      </c>
      <c r="M1429" t="s">
        <v>26</v>
      </c>
      <c r="N1429" t="s">
        <v>27</v>
      </c>
    </row>
    <row r="1430" spans="1:14" x14ac:dyDescent="0.25">
      <c r="A1430">
        <v>12244</v>
      </c>
      <c r="B1430">
        <v>5378</v>
      </c>
      <c r="C1430">
        <f>1/COUNTIF(B:B,pizza_sales[[#This Row],[order_id]])</f>
        <v>0.33333333333333331</v>
      </c>
      <c r="D1430" t="s">
        <v>34</v>
      </c>
      <c r="E1430">
        <v>1</v>
      </c>
      <c r="F1430" s="1">
        <v>42008</v>
      </c>
      <c r="G1430" s="1" t="str">
        <f>TEXT(pizza_sales[[#This Row],[order_date]],"dddd")</f>
        <v>Sunday</v>
      </c>
      <c r="H1430" s="2">
        <v>0.52222222222222225</v>
      </c>
      <c r="I1430">
        <v>16.25</v>
      </c>
      <c r="J1430">
        <v>16.25</v>
      </c>
      <c r="K1430" t="s">
        <v>59</v>
      </c>
      <c r="L1430" t="s">
        <v>35</v>
      </c>
      <c r="M1430" t="s">
        <v>36</v>
      </c>
      <c r="N1430" t="s">
        <v>37</v>
      </c>
    </row>
    <row r="1431" spans="1:14" x14ac:dyDescent="0.25">
      <c r="A1431">
        <v>12250</v>
      </c>
      <c r="B1431">
        <v>5378</v>
      </c>
      <c r="C1431">
        <f>1/COUNTIF(B:B,pizza_sales[[#This Row],[order_id]])</f>
        <v>0.33333333333333331</v>
      </c>
      <c r="D1431" t="s">
        <v>43</v>
      </c>
      <c r="E1431">
        <v>1</v>
      </c>
      <c r="F1431" s="1">
        <v>42008</v>
      </c>
      <c r="G1431" s="1" t="str">
        <f>TEXT(pizza_sales[[#This Row],[order_date]],"dddd")</f>
        <v>Sunday</v>
      </c>
      <c r="H1431" s="2">
        <v>0.52222222222222225</v>
      </c>
      <c r="I1431">
        <v>16.25</v>
      </c>
      <c r="J1431">
        <v>16.25</v>
      </c>
      <c r="K1431" t="s">
        <v>59</v>
      </c>
      <c r="L1431" t="s">
        <v>35</v>
      </c>
      <c r="M1431" t="s">
        <v>40</v>
      </c>
      <c r="N1431" t="s">
        <v>41</v>
      </c>
    </row>
    <row r="1432" spans="1:14" x14ac:dyDescent="0.25">
      <c r="A1432">
        <v>12254</v>
      </c>
      <c r="B1432">
        <v>5378</v>
      </c>
      <c r="C1432">
        <f>1/COUNTIF(B:B,pizza_sales[[#This Row],[order_id]])</f>
        <v>0.33333333333333331</v>
      </c>
      <c r="D1432" t="s">
        <v>46</v>
      </c>
      <c r="E1432">
        <v>1</v>
      </c>
      <c r="F1432" s="1">
        <v>42008</v>
      </c>
      <c r="G1432" s="1" t="str">
        <f>TEXT(pizza_sales[[#This Row],[order_date]],"dddd")</f>
        <v>Sunday</v>
      </c>
      <c r="H1432" s="2">
        <v>0.52222222222222225</v>
      </c>
      <c r="I1432">
        <v>25.5</v>
      </c>
      <c r="J1432">
        <v>25.5</v>
      </c>
      <c r="K1432" t="s">
        <v>61</v>
      </c>
      <c r="L1432" t="s">
        <v>13</v>
      </c>
      <c r="M1432" t="s">
        <v>21</v>
      </c>
      <c r="N1432" t="s">
        <v>22</v>
      </c>
    </row>
    <row r="1433" spans="1:14" x14ac:dyDescent="0.25">
      <c r="A1433">
        <v>12257</v>
      </c>
      <c r="B1433">
        <v>5381</v>
      </c>
      <c r="C1433">
        <f>1/COUNTIF(B:B,pizza_sales[[#This Row],[order_id]])</f>
        <v>1</v>
      </c>
      <c r="D1433" t="s">
        <v>43</v>
      </c>
      <c r="E1433">
        <v>1</v>
      </c>
      <c r="F1433" s="1">
        <v>42008</v>
      </c>
      <c r="G1433" s="1" t="str">
        <f>TEXT(pizza_sales[[#This Row],[order_date]],"dddd")</f>
        <v>Sunday</v>
      </c>
      <c r="H1433" s="2">
        <v>0.53204861111111112</v>
      </c>
      <c r="I1433">
        <v>16.25</v>
      </c>
      <c r="J1433">
        <v>16.25</v>
      </c>
      <c r="K1433" t="s">
        <v>59</v>
      </c>
      <c r="L1433" t="s">
        <v>35</v>
      </c>
      <c r="M1433" t="s">
        <v>40</v>
      </c>
      <c r="N1433" t="s">
        <v>41</v>
      </c>
    </row>
    <row r="1434" spans="1:14" x14ac:dyDescent="0.25">
      <c r="A1434">
        <v>12258</v>
      </c>
      <c r="B1434">
        <v>5382</v>
      </c>
      <c r="C1434">
        <f>1/COUNTIF(B:B,pizza_sales[[#This Row],[order_id]])</f>
        <v>1</v>
      </c>
      <c r="D1434" t="s">
        <v>31</v>
      </c>
      <c r="E1434">
        <v>1</v>
      </c>
      <c r="F1434" s="1">
        <v>42008</v>
      </c>
      <c r="G1434" s="1" t="str">
        <f>TEXT(pizza_sales[[#This Row],[order_date]],"dddd")</f>
        <v>Sunday</v>
      </c>
      <c r="H1434" s="2">
        <v>0.53207175925925931</v>
      </c>
      <c r="I1434">
        <v>12</v>
      </c>
      <c r="J1434">
        <v>12</v>
      </c>
      <c r="K1434" t="s">
        <v>60</v>
      </c>
      <c r="L1434" t="s">
        <v>13</v>
      </c>
      <c r="M1434" t="s">
        <v>32</v>
      </c>
      <c r="N1434" t="s">
        <v>33</v>
      </c>
    </row>
    <row r="1435" spans="1:14" x14ac:dyDescent="0.25">
      <c r="A1435">
        <v>12260</v>
      </c>
      <c r="B1435">
        <v>5384</v>
      </c>
      <c r="C1435">
        <f>1/COUNTIF(B:B,pizza_sales[[#This Row],[order_id]])</f>
        <v>1</v>
      </c>
      <c r="D1435" t="s">
        <v>28</v>
      </c>
      <c r="E1435">
        <v>1</v>
      </c>
      <c r="F1435" s="1">
        <v>42008</v>
      </c>
      <c r="G1435" s="1" t="str">
        <f>TEXT(pizza_sales[[#This Row],[order_date]],"dddd")</f>
        <v>Sunday</v>
      </c>
      <c r="H1435" s="2">
        <v>0.53835648148148152</v>
      </c>
      <c r="I1435">
        <v>12</v>
      </c>
      <c r="J1435">
        <v>12</v>
      </c>
      <c r="K1435" t="s">
        <v>60</v>
      </c>
      <c r="L1435" t="s">
        <v>13</v>
      </c>
      <c r="M1435" t="s">
        <v>29</v>
      </c>
      <c r="N1435" t="s">
        <v>30</v>
      </c>
    </row>
    <row r="1436" spans="1:14" x14ac:dyDescent="0.25">
      <c r="A1436">
        <v>12263</v>
      </c>
      <c r="B1436">
        <v>5386</v>
      </c>
      <c r="C1436">
        <f>1/COUNTIF(B:B,pizza_sales[[#This Row],[order_id]])</f>
        <v>0.16666666666666666</v>
      </c>
      <c r="D1436" t="s">
        <v>28</v>
      </c>
      <c r="E1436">
        <v>1</v>
      </c>
      <c r="F1436" s="1">
        <v>42008</v>
      </c>
      <c r="G1436" s="1" t="str">
        <f>TEXT(pizza_sales[[#This Row],[order_date]],"dddd")</f>
        <v>Sunday</v>
      </c>
      <c r="H1436" s="2">
        <v>0.54009259259259257</v>
      </c>
      <c r="I1436">
        <v>12</v>
      </c>
      <c r="J1436">
        <v>12</v>
      </c>
      <c r="K1436" t="s">
        <v>60</v>
      </c>
      <c r="L1436" t="s">
        <v>13</v>
      </c>
      <c r="M1436" t="s">
        <v>29</v>
      </c>
      <c r="N1436" t="s">
        <v>30</v>
      </c>
    </row>
    <row r="1437" spans="1:14" x14ac:dyDescent="0.25">
      <c r="A1437">
        <v>12264</v>
      </c>
      <c r="B1437">
        <v>5386</v>
      </c>
      <c r="C1437">
        <f>1/COUNTIF(B:B,pizza_sales[[#This Row],[order_id]])</f>
        <v>0.16666666666666666</v>
      </c>
      <c r="D1437" t="s">
        <v>47</v>
      </c>
      <c r="E1437">
        <v>1</v>
      </c>
      <c r="F1437" s="1">
        <v>42008</v>
      </c>
      <c r="G1437" s="1" t="str">
        <f>TEXT(pizza_sales[[#This Row],[order_date]],"dddd")</f>
        <v>Sunday</v>
      </c>
      <c r="H1437" s="2">
        <v>0.54009259259259257</v>
      </c>
      <c r="I1437">
        <v>16.5</v>
      </c>
      <c r="J1437">
        <v>16.5</v>
      </c>
      <c r="K1437" t="s">
        <v>58</v>
      </c>
      <c r="L1437" t="s">
        <v>13</v>
      </c>
      <c r="M1437" t="s">
        <v>14</v>
      </c>
      <c r="N1437" t="s">
        <v>15</v>
      </c>
    </row>
    <row r="1438" spans="1:14" x14ac:dyDescent="0.25">
      <c r="A1438">
        <v>12265</v>
      </c>
      <c r="B1438">
        <v>5386</v>
      </c>
      <c r="C1438">
        <f>1/COUNTIF(B:B,pizza_sales[[#This Row],[order_id]])</f>
        <v>0.16666666666666666</v>
      </c>
      <c r="D1438" t="s">
        <v>42</v>
      </c>
      <c r="E1438">
        <v>1</v>
      </c>
      <c r="F1438" s="1">
        <v>42008</v>
      </c>
      <c r="G1438" s="1" t="str">
        <f>TEXT(pizza_sales[[#This Row],[order_date]],"dddd")</f>
        <v>Sunday</v>
      </c>
      <c r="H1438" s="2">
        <v>0.54009259259259257</v>
      </c>
      <c r="I1438">
        <v>12.5</v>
      </c>
      <c r="J1438">
        <v>12.5</v>
      </c>
      <c r="K1438" t="s">
        <v>59</v>
      </c>
      <c r="L1438" t="s">
        <v>13</v>
      </c>
      <c r="M1438" t="s">
        <v>26</v>
      </c>
      <c r="N1438" t="s">
        <v>27</v>
      </c>
    </row>
    <row r="1439" spans="1:14" x14ac:dyDescent="0.25">
      <c r="A1439">
        <v>12266</v>
      </c>
      <c r="B1439">
        <v>5386</v>
      </c>
      <c r="C1439">
        <f>1/COUNTIF(B:B,pizza_sales[[#This Row],[order_id]])</f>
        <v>0.16666666666666666</v>
      </c>
      <c r="D1439" t="s">
        <v>44</v>
      </c>
      <c r="E1439">
        <v>1</v>
      </c>
      <c r="F1439" s="1">
        <v>42008</v>
      </c>
      <c r="G1439" s="1" t="str">
        <f>TEXT(pizza_sales[[#This Row],[order_date]],"dddd")</f>
        <v>Sunday</v>
      </c>
      <c r="H1439" s="2">
        <v>0.54009259259259257</v>
      </c>
      <c r="I1439">
        <v>9.75</v>
      </c>
      <c r="J1439">
        <v>9.75</v>
      </c>
      <c r="K1439" t="s">
        <v>60</v>
      </c>
      <c r="L1439" t="s">
        <v>13</v>
      </c>
      <c r="M1439" t="s">
        <v>26</v>
      </c>
      <c r="N1439" t="s">
        <v>27</v>
      </c>
    </row>
    <row r="1440" spans="1:14" x14ac:dyDescent="0.25">
      <c r="A1440">
        <v>12268</v>
      </c>
      <c r="B1440">
        <v>5386</v>
      </c>
      <c r="C1440">
        <f>1/COUNTIF(B:B,pizza_sales[[#This Row],[order_id]])</f>
        <v>0.16666666666666666</v>
      </c>
      <c r="D1440" t="s">
        <v>49</v>
      </c>
      <c r="E1440">
        <v>1</v>
      </c>
      <c r="F1440" s="1">
        <v>42008</v>
      </c>
      <c r="G1440" s="1" t="str">
        <f>TEXT(pizza_sales[[#This Row],[order_date]],"dddd")</f>
        <v>Sunday</v>
      </c>
      <c r="H1440" s="2">
        <v>0.54009259259259257</v>
      </c>
      <c r="I1440">
        <v>16</v>
      </c>
      <c r="J1440">
        <v>16</v>
      </c>
      <c r="K1440" t="s">
        <v>59</v>
      </c>
      <c r="L1440" t="s">
        <v>13</v>
      </c>
      <c r="M1440" t="s">
        <v>21</v>
      </c>
      <c r="N1440" t="s">
        <v>22</v>
      </c>
    </row>
    <row r="1441" spans="1:14" x14ac:dyDescent="0.25">
      <c r="A1441">
        <v>12269</v>
      </c>
      <c r="B1441">
        <v>5386</v>
      </c>
      <c r="C1441">
        <f>1/COUNTIF(B:B,pizza_sales[[#This Row],[order_id]])</f>
        <v>0.16666666666666666</v>
      </c>
      <c r="D1441" t="s">
        <v>46</v>
      </c>
      <c r="E1441">
        <v>1</v>
      </c>
      <c r="F1441" s="1">
        <v>42008</v>
      </c>
      <c r="G1441" s="1" t="str">
        <f>TEXT(pizza_sales[[#This Row],[order_date]],"dddd")</f>
        <v>Sunday</v>
      </c>
      <c r="H1441" s="2">
        <v>0.54009259259259257</v>
      </c>
      <c r="I1441">
        <v>25.5</v>
      </c>
      <c r="J1441">
        <v>25.5</v>
      </c>
      <c r="K1441" t="s">
        <v>61</v>
      </c>
      <c r="L1441" t="s">
        <v>13</v>
      </c>
      <c r="M1441" t="s">
        <v>21</v>
      </c>
      <c r="N1441" t="s">
        <v>22</v>
      </c>
    </row>
    <row r="1442" spans="1:14" x14ac:dyDescent="0.25">
      <c r="A1442">
        <v>12278</v>
      </c>
      <c r="B1442">
        <v>5390</v>
      </c>
      <c r="C1442">
        <f>1/COUNTIF(B:B,pizza_sales[[#This Row],[order_id]])</f>
        <v>1</v>
      </c>
      <c r="D1442" t="s">
        <v>45</v>
      </c>
      <c r="E1442">
        <v>1</v>
      </c>
      <c r="F1442" s="1">
        <v>42008</v>
      </c>
      <c r="G1442" s="1" t="str">
        <f>TEXT(pizza_sales[[#This Row],[order_date]],"dddd")</f>
        <v>Sunday</v>
      </c>
      <c r="H1442" s="2">
        <v>0.56608796296296293</v>
      </c>
      <c r="I1442">
        <v>10.5</v>
      </c>
      <c r="J1442">
        <v>10.5</v>
      </c>
      <c r="K1442" t="s">
        <v>60</v>
      </c>
      <c r="L1442" t="s">
        <v>13</v>
      </c>
      <c r="M1442" t="s">
        <v>14</v>
      </c>
      <c r="N1442" t="s">
        <v>15</v>
      </c>
    </row>
    <row r="1443" spans="1:14" x14ac:dyDescent="0.25">
      <c r="A1443">
        <v>12279</v>
      </c>
      <c r="B1443">
        <v>5391</v>
      </c>
      <c r="C1443">
        <f>1/COUNTIF(B:B,pizza_sales[[#This Row],[order_id]])</f>
        <v>1</v>
      </c>
      <c r="D1443" t="s">
        <v>28</v>
      </c>
      <c r="E1443">
        <v>1</v>
      </c>
      <c r="F1443" s="1">
        <v>42008</v>
      </c>
      <c r="G1443" s="1" t="str">
        <f>TEXT(pizza_sales[[#This Row],[order_date]],"dddd")</f>
        <v>Sunday</v>
      </c>
      <c r="H1443" s="2">
        <v>0.56935185185185189</v>
      </c>
      <c r="I1443">
        <v>12</v>
      </c>
      <c r="J1443">
        <v>12</v>
      </c>
      <c r="K1443" t="s">
        <v>60</v>
      </c>
      <c r="L1443" t="s">
        <v>13</v>
      </c>
      <c r="M1443" t="s">
        <v>29</v>
      </c>
      <c r="N1443" t="s">
        <v>30</v>
      </c>
    </row>
    <row r="1444" spans="1:14" x14ac:dyDescent="0.25">
      <c r="A1444">
        <v>12289</v>
      </c>
      <c r="B1444">
        <v>5396</v>
      </c>
      <c r="C1444">
        <f>1/COUNTIF(B:B,pizza_sales[[#This Row],[order_id]])</f>
        <v>1</v>
      </c>
      <c r="D1444" t="s">
        <v>45</v>
      </c>
      <c r="E1444">
        <v>1</v>
      </c>
      <c r="F1444" s="1">
        <v>42008</v>
      </c>
      <c r="G1444" s="1" t="str">
        <f>TEXT(pizza_sales[[#This Row],[order_date]],"dddd")</f>
        <v>Sunday</v>
      </c>
      <c r="H1444" s="2">
        <v>0.61214120370370373</v>
      </c>
      <c r="I1444">
        <v>10.5</v>
      </c>
      <c r="J1444">
        <v>10.5</v>
      </c>
      <c r="K1444" t="s">
        <v>60</v>
      </c>
      <c r="L1444" t="s">
        <v>13</v>
      </c>
      <c r="M1444" t="s">
        <v>14</v>
      </c>
      <c r="N1444" t="s">
        <v>15</v>
      </c>
    </row>
    <row r="1445" spans="1:14" x14ac:dyDescent="0.25">
      <c r="A1445">
        <v>12292</v>
      </c>
      <c r="B1445">
        <v>5397</v>
      </c>
      <c r="C1445">
        <f>1/COUNTIF(B:B,pizza_sales[[#This Row],[order_id]])</f>
        <v>1</v>
      </c>
      <c r="D1445" t="s">
        <v>44</v>
      </c>
      <c r="E1445">
        <v>1</v>
      </c>
      <c r="F1445" s="1">
        <v>42008</v>
      </c>
      <c r="G1445" s="1" t="str">
        <f>TEXT(pizza_sales[[#This Row],[order_date]],"dddd")</f>
        <v>Sunday</v>
      </c>
      <c r="H1445" s="2">
        <v>0.62425925925925929</v>
      </c>
      <c r="I1445">
        <v>9.75</v>
      </c>
      <c r="J1445">
        <v>9.75</v>
      </c>
      <c r="K1445" t="s">
        <v>60</v>
      </c>
      <c r="L1445" t="s">
        <v>13</v>
      </c>
      <c r="M1445" t="s">
        <v>26</v>
      </c>
      <c r="N1445" t="s">
        <v>27</v>
      </c>
    </row>
    <row r="1446" spans="1:14" x14ac:dyDescent="0.25">
      <c r="A1446">
        <v>12295</v>
      </c>
      <c r="B1446">
        <v>5398</v>
      </c>
      <c r="C1446">
        <f>1/COUNTIF(B:B,pizza_sales[[#This Row],[order_id]])</f>
        <v>0.5</v>
      </c>
      <c r="D1446" t="s">
        <v>25</v>
      </c>
      <c r="E1446">
        <v>1</v>
      </c>
      <c r="F1446" s="1">
        <v>42008</v>
      </c>
      <c r="G1446" s="1" t="str">
        <f>TEXT(pizza_sales[[#This Row],[order_date]],"dddd")</f>
        <v>Sunday</v>
      </c>
      <c r="H1446" s="2">
        <v>0.63265046296296301</v>
      </c>
      <c r="I1446">
        <v>15.25</v>
      </c>
      <c r="J1446">
        <v>15.25</v>
      </c>
      <c r="K1446" t="s">
        <v>58</v>
      </c>
      <c r="L1446" t="s">
        <v>13</v>
      </c>
      <c r="M1446" t="s">
        <v>26</v>
      </c>
      <c r="N1446" t="s">
        <v>27</v>
      </c>
    </row>
    <row r="1447" spans="1:14" x14ac:dyDescent="0.25">
      <c r="A1447">
        <v>12296</v>
      </c>
      <c r="B1447">
        <v>5398</v>
      </c>
      <c r="C1447">
        <f>1/COUNTIF(B:B,pizza_sales[[#This Row],[order_id]])</f>
        <v>0.5</v>
      </c>
      <c r="D1447" t="s">
        <v>39</v>
      </c>
      <c r="E1447">
        <v>1</v>
      </c>
      <c r="F1447" s="1">
        <v>42008</v>
      </c>
      <c r="G1447" s="1" t="str">
        <f>TEXT(pizza_sales[[#This Row],[order_date]],"dddd")</f>
        <v>Sunday</v>
      </c>
      <c r="H1447" s="2">
        <v>0.63265046296296301</v>
      </c>
      <c r="I1447">
        <v>20.25</v>
      </c>
      <c r="J1447">
        <v>20.25</v>
      </c>
      <c r="K1447" t="s">
        <v>58</v>
      </c>
      <c r="L1447" t="s">
        <v>35</v>
      </c>
      <c r="M1447" t="s">
        <v>40</v>
      </c>
      <c r="N1447" t="s">
        <v>41</v>
      </c>
    </row>
    <row r="1448" spans="1:14" x14ac:dyDescent="0.25">
      <c r="A1448">
        <v>12298</v>
      </c>
      <c r="B1448">
        <v>5399</v>
      </c>
      <c r="C1448">
        <f>1/COUNTIF(B:B,pizza_sales[[#This Row],[order_id]])</f>
        <v>1</v>
      </c>
      <c r="D1448" t="s">
        <v>24</v>
      </c>
      <c r="E1448">
        <v>1</v>
      </c>
      <c r="F1448" s="1">
        <v>42008</v>
      </c>
      <c r="G1448" s="1" t="str">
        <f>TEXT(pizza_sales[[#This Row],[order_date]],"dddd")</f>
        <v>Sunday</v>
      </c>
      <c r="H1448" s="2">
        <v>0.63354166666666667</v>
      </c>
      <c r="I1448">
        <v>20.25</v>
      </c>
      <c r="J1448">
        <v>20.25</v>
      </c>
      <c r="K1448" t="s">
        <v>58</v>
      </c>
      <c r="L1448" t="s">
        <v>17</v>
      </c>
      <c r="M1448" t="s">
        <v>18</v>
      </c>
      <c r="N1448" t="s">
        <v>19</v>
      </c>
    </row>
    <row r="1449" spans="1:14" x14ac:dyDescent="0.25">
      <c r="A1449">
        <v>12307</v>
      </c>
      <c r="B1449">
        <v>5403</v>
      </c>
      <c r="C1449">
        <f>1/COUNTIF(B:B,pizza_sales[[#This Row],[order_id]])</f>
        <v>1</v>
      </c>
      <c r="D1449" t="s">
        <v>49</v>
      </c>
      <c r="E1449">
        <v>1</v>
      </c>
      <c r="F1449" s="1">
        <v>42008</v>
      </c>
      <c r="G1449" s="1" t="str">
        <f>TEXT(pizza_sales[[#This Row],[order_date]],"dddd")</f>
        <v>Sunday</v>
      </c>
      <c r="H1449" s="2">
        <v>0.67631944444444447</v>
      </c>
      <c r="I1449">
        <v>16</v>
      </c>
      <c r="J1449">
        <v>16</v>
      </c>
      <c r="K1449" t="s">
        <v>59</v>
      </c>
      <c r="L1449" t="s">
        <v>13</v>
      </c>
      <c r="M1449" t="s">
        <v>21</v>
      </c>
      <c r="N1449" t="s">
        <v>22</v>
      </c>
    </row>
    <row r="1450" spans="1:14" x14ac:dyDescent="0.25">
      <c r="A1450">
        <v>12309</v>
      </c>
      <c r="B1450">
        <v>5405</v>
      </c>
      <c r="C1450">
        <f>1/COUNTIF(B:B,pizza_sales[[#This Row],[order_id]])</f>
        <v>0.33333333333333331</v>
      </c>
      <c r="D1450" t="s">
        <v>56</v>
      </c>
      <c r="E1450">
        <v>1</v>
      </c>
      <c r="F1450" s="1">
        <v>42008</v>
      </c>
      <c r="G1450" s="1" t="str">
        <f>TEXT(pizza_sales[[#This Row],[order_date]],"dddd")</f>
        <v>Sunday</v>
      </c>
      <c r="H1450" s="2">
        <v>0.68405092592592598</v>
      </c>
      <c r="I1450">
        <v>20.25</v>
      </c>
      <c r="J1450">
        <v>20.25</v>
      </c>
      <c r="K1450" t="s">
        <v>58</v>
      </c>
      <c r="L1450" t="s">
        <v>35</v>
      </c>
      <c r="M1450" t="s">
        <v>36</v>
      </c>
      <c r="N1450" t="s">
        <v>37</v>
      </c>
    </row>
    <row r="1451" spans="1:14" x14ac:dyDescent="0.25">
      <c r="A1451">
        <v>12310</v>
      </c>
      <c r="B1451">
        <v>5405</v>
      </c>
      <c r="C1451">
        <f>1/COUNTIF(B:B,pizza_sales[[#This Row],[order_id]])</f>
        <v>0.33333333333333331</v>
      </c>
      <c r="D1451" t="s">
        <v>31</v>
      </c>
      <c r="E1451">
        <v>1</v>
      </c>
      <c r="F1451" s="1">
        <v>42008</v>
      </c>
      <c r="G1451" s="1" t="str">
        <f>TEXT(pizza_sales[[#This Row],[order_date]],"dddd")</f>
        <v>Sunday</v>
      </c>
      <c r="H1451" s="2">
        <v>0.68405092592592598</v>
      </c>
      <c r="I1451">
        <v>12</v>
      </c>
      <c r="J1451">
        <v>12</v>
      </c>
      <c r="K1451" t="s">
        <v>60</v>
      </c>
      <c r="L1451" t="s">
        <v>13</v>
      </c>
      <c r="M1451" t="s">
        <v>32</v>
      </c>
      <c r="N1451" t="s">
        <v>33</v>
      </c>
    </row>
    <row r="1452" spans="1:14" x14ac:dyDescent="0.25">
      <c r="A1452">
        <v>12312</v>
      </c>
      <c r="B1452">
        <v>5405</v>
      </c>
      <c r="C1452">
        <f>1/COUNTIF(B:B,pizza_sales[[#This Row],[order_id]])</f>
        <v>0.33333333333333331</v>
      </c>
      <c r="D1452" t="s">
        <v>20</v>
      </c>
      <c r="E1452">
        <v>1</v>
      </c>
      <c r="F1452" s="1">
        <v>42008</v>
      </c>
      <c r="G1452" s="1" t="str">
        <f>TEXT(pizza_sales[[#This Row],[order_date]],"dddd")</f>
        <v>Sunday</v>
      </c>
      <c r="H1452" s="2">
        <v>0.68405092592592598</v>
      </c>
      <c r="I1452">
        <v>12</v>
      </c>
      <c r="J1452">
        <v>12</v>
      </c>
      <c r="K1452" t="s">
        <v>60</v>
      </c>
      <c r="L1452" t="s">
        <v>13</v>
      </c>
      <c r="M1452" t="s">
        <v>21</v>
      </c>
      <c r="N1452" t="s">
        <v>22</v>
      </c>
    </row>
    <row r="1453" spans="1:14" x14ac:dyDescent="0.25">
      <c r="A1453">
        <v>12313</v>
      </c>
      <c r="B1453">
        <v>5406</v>
      </c>
      <c r="C1453">
        <f>1/COUNTIF(B:B,pizza_sales[[#This Row],[order_id]])</f>
        <v>1</v>
      </c>
      <c r="D1453" t="s">
        <v>43</v>
      </c>
      <c r="E1453">
        <v>1</v>
      </c>
      <c r="F1453" s="1">
        <v>42008</v>
      </c>
      <c r="G1453" s="1" t="str">
        <f>TEXT(pizza_sales[[#This Row],[order_date]],"dddd")</f>
        <v>Sunday</v>
      </c>
      <c r="H1453" s="2">
        <v>0.68465277777777778</v>
      </c>
      <c r="I1453">
        <v>16.25</v>
      </c>
      <c r="J1453">
        <v>16.25</v>
      </c>
      <c r="K1453" t="s">
        <v>59</v>
      </c>
      <c r="L1453" t="s">
        <v>35</v>
      </c>
      <c r="M1453" t="s">
        <v>40</v>
      </c>
      <c r="N1453" t="s">
        <v>41</v>
      </c>
    </row>
    <row r="1454" spans="1:14" x14ac:dyDescent="0.25">
      <c r="A1454">
        <v>12317</v>
      </c>
      <c r="B1454">
        <v>5409</v>
      </c>
      <c r="C1454">
        <f>1/COUNTIF(B:B,pizza_sales[[#This Row],[order_id]])</f>
        <v>1</v>
      </c>
      <c r="D1454" t="s">
        <v>31</v>
      </c>
      <c r="E1454">
        <v>1</v>
      </c>
      <c r="F1454" s="1">
        <v>42008</v>
      </c>
      <c r="G1454" s="1" t="str">
        <f>TEXT(pizza_sales[[#This Row],[order_date]],"dddd")</f>
        <v>Sunday</v>
      </c>
      <c r="H1454" s="2">
        <v>0.72450231481481486</v>
      </c>
      <c r="I1454">
        <v>12</v>
      </c>
      <c r="J1454">
        <v>12</v>
      </c>
      <c r="K1454" t="s">
        <v>60</v>
      </c>
      <c r="L1454" t="s">
        <v>13</v>
      </c>
      <c r="M1454" t="s">
        <v>32</v>
      </c>
      <c r="N1454" t="s">
        <v>33</v>
      </c>
    </row>
    <row r="1455" spans="1:14" x14ac:dyDescent="0.25">
      <c r="A1455">
        <v>12319</v>
      </c>
      <c r="B1455">
        <v>5410</v>
      </c>
      <c r="C1455">
        <f>1/COUNTIF(B:B,pizza_sales[[#This Row],[order_id]])</f>
        <v>1</v>
      </c>
      <c r="D1455" t="s">
        <v>12</v>
      </c>
      <c r="E1455">
        <v>1</v>
      </c>
      <c r="F1455" s="1">
        <v>42008</v>
      </c>
      <c r="G1455" s="1" t="str">
        <f>TEXT(pizza_sales[[#This Row],[order_date]],"dddd")</f>
        <v>Sunday</v>
      </c>
      <c r="H1455" s="2">
        <v>0.73219907407407403</v>
      </c>
      <c r="I1455">
        <v>13.25</v>
      </c>
      <c r="J1455">
        <v>13.25</v>
      </c>
      <c r="K1455" t="s">
        <v>59</v>
      </c>
      <c r="L1455" t="s">
        <v>13</v>
      </c>
      <c r="M1455" t="s">
        <v>14</v>
      </c>
      <c r="N1455" t="s">
        <v>15</v>
      </c>
    </row>
    <row r="1456" spans="1:14" x14ac:dyDescent="0.25">
      <c r="A1456">
        <v>12322</v>
      </c>
      <c r="B1456">
        <v>5413</v>
      </c>
      <c r="C1456">
        <f>1/COUNTIF(B:B,pizza_sales[[#This Row],[order_id]])</f>
        <v>1</v>
      </c>
      <c r="D1456" t="s">
        <v>31</v>
      </c>
      <c r="E1456">
        <v>2</v>
      </c>
      <c r="F1456" s="1">
        <v>42008</v>
      </c>
      <c r="G1456" s="1" t="str">
        <f>TEXT(pizza_sales[[#This Row],[order_date]],"dddd")</f>
        <v>Sunday</v>
      </c>
      <c r="H1456" s="2">
        <v>0.74730324074074073</v>
      </c>
      <c r="I1456">
        <v>12</v>
      </c>
      <c r="J1456">
        <v>24</v>
      </c>
      <c r="K1456" t="s">
        <v>60</v>
      </c>
      <c r="L1456" t="s">
        <v>13</v>
      </c>
      <c r="M1456" t="s">
        <v>32</v>
      </c>
      <c r="N1456" t="s">
        <v>33</v>
      </c>
    </row>
    <row r="1457" spans="1:14" x14ac:dyDescent="0.25">
      <c r="A1457">
        <v>12325</v>
      </c>
      <c r="B1457">
        <v>5415</v>
      </c>
      <c r="C1457">
        <f>1/COUNTIF(B:B,pizza_sales[[#This Row],[order_id]])</f>
        <v>1</v>
      </c>
      <c r="D1457" t="s">
        <v>39</v>
      </c>
      <c r="E1457">
        <v>1</v>
      </c>
      <c r="F1457" s="1">
        <v>42008</v>
      </c>
      <c r="G1457" s="1" t="str">
        <f>TEXT(pizza_sales[[#This Row],[order_date]],"dddd")</f>
        <v>Sunday</v>
      </c>
      <c r="H1457" s="2">
        <v>0.75385416666666671</v>
      </c>
      <c r="I1457">
        <v>20.25</v>
      </c>
      <c r="J1457">
        <v>20.25</v>
      </c>
      <c r="K1457" t="s">
        <v>58</v>
      </c>
      <c r="L1457" t="s">
        <v>35</v>
      </c>
      <c r="M1457" t="s">
        <v>40</v>
      </c>
      <c r="N1457" t="s">
        <v>41</v>
      </c>
    </row>
    <row r="1458" spans="1:14" x14ac:dyDescent="0.25">
      <c r="A1458">
        <v>12327</v>
      </c>
      <c r="B1458">
        <v>5416</v>
      </c>
      <c r="C1458">
        <f>1/COUNTIF(B:B,pizza_sales[[#This Row],[order_id]])</f>
        <v>1</v>
      </c>
      <c r="D1458" t="s">
        <v>38</v>
      </c>
      <c r="E1458">
        <v>1</v>
      </c>
      <c r="F1458" s="1">
        <v>42008</v>
      </c>
      <c r="G1458" s="1" t="str">
        <f>TEXT(pizza_sales[[#This Row],[order_date]],"dddd")</f>
        <v>Sunday</v>
      </c>
      <c r="H1458" s="2">
        <v>0.76126157407407402</v>
      </c>
      <c r="I1458">
        <v>20.5</v>
      </c>
      <c r="J1458">
        <v>20.5</v>
      </c>
      <c r="K1458" t="s">
        <v>58</v>
      </c>
      <c r="L1458" t="s">
        <v>13</v>
      </c>
      <c r="M1458" t="s">
        <v>32</v>
      </c>
      <c r="N1458" t="s">
        <v>33</v>
      </c>
    </row>
    <row r="1459" spans="1:14" x14ac:dyDescent="0.25">
      <c r="A1459">
        <v>12333</v>
      </c>
      <c r="B1459">
        <v>5420</v>
      </c>
      <c r="C1459">
        <f>1/COUNTIF(B:B,pizza_sales[[#This Row],[order_id]])</f>
        <v>0.5</v>
      </c>
      <c r="D1459" t="s">
        <v>50</v>
      </c>
      <c r="E1459">
        <v>1</v>
      </c>
      <c r="F1459" s="1">
        <v>42008</v>
      </c>
      <c r="G1459" s="1" t="str">
        <f>TEXT(pizza_sales[[#This Row],[order_date]],"dddd")</f>
        <v>Sunday</v>
      </c>
      <c r="H1459" s="2">
        <v>0.79616898148148152</v>
      </c>
      <c r="I1459">
        <v>16</v>
      </c>
      <c r="J1459">
        <v>16</v>
      </c>
      <c r="K1459" t="s">
        <v>59</v>
      </c>
      <c r="L1459" t="s">
        <v>13</v>
      </c>
      <c r="M1459" t="s">
        <v>32</v>
      </c>
      <c r="N1459" t="s">
        <v>33</v>
      </c>
    </row>
    <row r="1460" spans="1:14" x14ac:dyDescent="0.25">
      <c r="A1460">
        <v>12334</v>
      </c>
      <c r="B1460">
        <v>5420</v>
      </c>
      <c r="C1460">
        <f>1/COUNTIF(B:B,pizza_sales[[#This Row],[order_id]])</f>
        <v>0.5</v>
      </c>
      <c r="D1460" t="s">
        <v>39</v>
      </c>
      <c r="E1460">
        <v>1</v>
      </c>
      <c r="F1460" s="1">
        <v>42008</v>
      </c>
      <c r="G1460" s="1" t="str">
        <f>TEXT(pizza_sales[[#This Row],[order_date]],"dddd")</f>
        <v>Sunday</v>
      </c>
      <c r="H1460" s="2">
        <v>0.79616898148148152</v>
      </c>
      <c r="I1460">
        <v>20.25</v>
      </c>
      <c r="J1460">
        <v>20.25</v>
      </c>
      <c r="K1460" t="s">
        <v>58</v>
      </c>
      <c r="L1460" t="s">
        <v>35</v>
      </c>
      <c r="M1460" t="s">
        <v>40</v>
      </c>
      <c r="N1460" t="s">
        <v>41</v>
      </c>
    </row>
    <row r="1461" spans="1:14" x14ac:dyDescent="0.25">
      <c r="A1461">
        <v>12341</v>
      </c>
      <c r="B1461">
        <v>5423</v>
      </c>
      <c r="C1461">
        <f>1/COUNTIF(B:B,pizza_sales[[#This Row],[order_id]])</f>
        <v>1</v>
      </c>
      <c r="D1461" t="s">
        <v>43</v>
      </c>
      <c r="E1461">
        <v>1</v>
      </c>
      <c r="F1461" s="1">
        <v>42008</v>
      </c>
      <c r="G1461" s="1" t="str">
        <f>TEXT(pizza_sales[[#This Row],[order_date]],"dddd")</f>
        <v>Sunday</v>
      </c>
      <c r="H1461" s="2">
        <v>0.80785879629629631</v>
      </c>
      <c r="I1461">
        <v>16.25</v>
      </c>
      <c r="J1461">
        <v>16.25</v>
      </c>
      <c r="K1461" t="s">
        <v>59</v>
      </c>
      <c r="L1461" t="s">
        <v>35</v>
      </c>
      <c r="M1461" t="s">
        <v>40</v>
      </c>
      <c r="N1461" t="s">
        <v>41</v>
      </c>
    </row>
    <row r="1462" spans="1:14" x14ac:dyDescent="0.25">
      <c r="A1462">
        <v>12350</v>
      </c>
      <c r="B1462">
        <v>5428</v>
      </c>
      <c r="C1462">
        <f>1/COUNTIF(B:B,pizza_sales[[#This Row],[order_id]])</f>
        <v>1</v>
      </c>
      <c r="D1462" t="s">
        <v>47</v>
      </c>
      <c r="E1462">
        <v>1</v>
      </c>
      <c r="F1462" s="1">
        <v>42008</v>
      </c>
      <c r="G1462" s="1" t="str">
        <f>TEXT(pizza_sales[[#This Row],[order_date]],"dddd")</f>
        <v>Sunday</v>
      </c>
      <c r="H1462" s="2">
        <v>0.82606481481481486</v>
      </c>
      <c r="I1462">
        <v>16.5</v>
      </c>
      <c r="J1462">
        <v>16.5</v>
      </c>
      <c r="K1462" t="s">
        <v>58</v>
      </c>
      <c r="L1462" t="s">
        <v>13</v>
      </c>
      <c r="M1462" t="s">
        <v>14</v>
      </c>
      <c r="N1462" t="s">
        <v>15</v>
      </c>
    </row>
    <row r="1463" spans="1:14" x14ac:dyDescent="0.25">
      <c r="A1463">
        <v>12355</v>
      </c>
      <c r="B1463">
        <v>5431</v>
      </c>
      <c r="C1463">
        <f>1/COUNTIF(B:B,pizza_sales[[#This Row],[order_id]])</f>
        <v>0.5</v>
      </c>
      <c r="D1463" t="s">
        <v>47</v>
      </c>
      <c r="E1463">
        <v>1</v>
      </c>
      <c r="F1463" s="1">
        <v>42008</v>
      </c>
      <c r="G1463" s="1" t="str">
        <f>TEXT(pizza_sales[[#This Row],[order_date]],"dddd")</f>
        <v>Sunday</v>
      </c>
      <c r="H1463" s="2">
        <v>0.85275462962962967</v>
      </c>
      <c r="I1463">
        <v>16.5</v>
      </c>
      <c r="J1463">
        <v>16.5</v>
      </c>
      <c r="K1463" t="s">
        <v>58</v>
      </c>
      <c r="L1463" t="s">
        <v>13</v>
      </c>
      <c r="M1463" t="s">
        <v>14</v>
      </c>
      <c r="N1463" t="s">
        <v>15</v>
      </c>
    </row>
    <row r="1464" spans="1:14" x14ac:dyDescent="0.25">
      <c r="A1464">
        <v>12357</v>
      </c>
      <c r="B1464">
        <v>5431</v>
      </c>
      <c r="C1464">
        <f>1/COUNTIF(B:B,pizza_sales[[#This Row],[order_id]])</f>
        <v>0.5</v>
      </c>
      <c r="D1464" t="s">
        <v>44</v>
      </c>
      <c r="E1464">
        <v>1</v>
      </c>
      <c r="F1464" s="1">
        <v>42008</v>
      </c>
      <c r="G1464" s="1" t="str">
        <f>TEXT(pizza_sales[[#This Row],[order_date]],"dddd")</f>
        <v>Sunday</v>
      </c>
      <c r="H1464" s="2">
        <v>0.85275462962962967</v>
      </c>
      <c r="I1464">
        <v>9.75</v>
      </c>
      <c r="J1464">
        <v>9.75</v>
      </c>
      <c r="K1464" t="s">
        <v>60</v>
      </c>
      <c r="L1464" t="s">
        <v>13</v>
      </c>
      <c r="M1464" t="s">
        <v>26</v>
      </c>
      <c r="N1464" t="s">
        <v>27</v>
      </c>
    </row>
    <row r="1465" spans="1:14" x14ac:dyDescent="0.25">
      <c r="A1465">
        <v>12368</v>
      </c>
      <c r="B1465">
        <v>5438</v>
      </c>
      <c r="C1465">
        <f>1/COUNTIF(B:B,pizza_sales[[#This Row],[order_id]])</f>
        <v>1</v>
      </c>
      <c r="D1465" t="s">
        <v>12</v>
      </c>
      <c r="E1465">
        <v>1</v>
      </c>
      <c r="F1465" s="1">
        <v>42039</v>
      </c>
      <c r="G1465" s="1" t="str">
        <f>TEXT(pizza_sales[[#This Row],[order_date]],"dddd")</f>
        <v>Wednesday</v>
      </c>
      <c r="H1465" s="2">
        <v>0.48434027777777777</v>
      </c>
      <c r="I1465">
        <v>13.25</v>
      </c>
      <c r="J1465">
        <v>13.25</v>
      </c>
      <c r="K1465" t="s">
        <v>59</v>
      </c>
      <c r="L1465" t="s">
        <v>13</v>
      </c>
      <c r="M1465" t="s">
        <v>14</v>
      </c>
      <c r="N1465" t="s">
        <v>15</v>
      </c>
    </row>
    <row r="1466" spans="1:14" x14ac:dyDescent="0.25">
      <c r="A1466">
        <v>12377</v>
      </c>
      <c r="B1466">
        <v>5441</v>
      </c>
      <c r="C1466">
        <f>1/COUNTIF(B:B,pizza_sales[[#This Row],[order_id]])</f>
        <v>0.33333333333333331</v>
      </c>
      <c r="D1466" t="s">
        <v>12</v>
      </c>
      <c r="E1466">
        <v>1</v>
      </c>
      <c r="F1466" s="1">
        <v>42039</v>
      </c>
      <c r="G1466" s="1" t="str">
        <f>TEXT(pizza_sales[[#This Row],[order_date]],"dddd")</f>
        <v>Wednesday</v>
      </c>
      <c r="H1466" s="2">
        <v>0.49515046296296295</v>
      </c>
      <c r="I1466">
        <v>13.25</v>
      </c>
      <c r="J1466">
        <v>13.25</v>
      </c>
      <c r="K1466" t="s">
        <v>59</v>
      </c>
      <c r="L1466" t="s">
        <v>13</v>
      </c>
      <c r="M1466" t="s">
        <v>14</v>
      </c>
      <c r="N1466" t="s">
        <v>15</v>
      </c>
    </row>
    <row r="1467" spans="1:14" x14ac:dyDescent="0.25">
      <c r="A1467">
        <v>12378</v>
      </c>
      <c r="B1467">
        <v>5441</v>
      </c>
      <c r="C1467">
        <f>1/COUNTIF(B:B,pizza_sales[[#This Row],[order_id]])</f>
        <v>0.33333333333333331</v>
      </c>
      <c r="D1467" t="s">
        <v>45</v>
      </c>
      <c r="E1467">
        <v>1</v>
      </c>
      <c r="F1467" s="1">
        <v>42039</v>
      </c>
      <c r="G1467" s="1" t="str">
        <f>TEXT(pizza_sales[[#This Row],[order_date]],"dddd")</f>
        <v>Wednesday</v>
      </c>
      <c r="H1467" s="2">
        <v>0.49515046296296295</v>
      </c>
      <c r="I1467">
        <v>10.5</v>
      </c>
      <c r="J1467">
        <v>10.5</v>
      </c>
      <c r="K1467" t="s">
        <v>60</v>
      </c>
      <c r="L1467" t="s">
        <v>13</v>
      </c>
      <c r="M1467" t="s">
        <v>14</v>
      </c>
      <c r="N1467" t="s">
        <v>15</v>
      </c>
    </row>
    <row r="1468" spans="1:14" x14ac:dyDescent="0.25">
      <c r="A1468">
        <v>12383</v>
      </c>
      <c r="B1468">
        <v>5441</v>
      </c>
      <c r="C1468">
        <f>1/COUNTIF(B:B,pizza_sales[[#This Row],[order_id]])</f>
        <v>0.33333333333333331</v>
      </c>
      <c r="D1468" t="s">
        <v>46</v>
      </c>
      <c r="E1468">
        <v>1</v>
      </c>
      <c r="F1468" s="1">
        <v>42039</v>
      </c>
      <c r="G1468" s="1" t="str">
        <f>TEXT(pizza_sales[[#This Row],[order_date]],"dddd")</f>
        <v>Wednesday</v>
      </c>
      <c r="H1468" s="2">
        <v>0.49515046296296295</v>
      </c>
      <c r="I1468">
        <v>25.5</v>
      </c>
      <c r="J1468">
        <v>25.5</v>
      </c>
      <c r="K1468" t="s">
        <v>61</v>
      </c>
      <c r="L1468" t="s">
        <v>13</v>
      </c>
      <c r="M1468" t="s">
        <v>21</v>
      </c>
      <c r="N1468" t="s">
        <v>22</v>
      </c>
    </row>
    <row r="1469" spans="1:14" x14ac:dyDescent="0.25">
      <c r="A1469">
        <v>12386</v>
      </c>
      <c r="B1469">
        <v>5444</v>
      </c>
      <c r="C1469">
        <f>1/COUNTIF(B:B,pizza_sales[[#This Row],[order_id]])</f>
        <v>1</v>
      </c>
      <c r="D1469" t="s">
        <v>50</v>
      </c>
      <c r="E1469">
        <v>1</v>
      </c>
      <c r="F1469" s="1">
        <v>42039</v>
      </c>
      <c r="G1469" s="1" t="str">
        <f>TEXT(pizza_sales[[#This Row],[order_date]],"dddd")</f>
        <v>Wednesday</v>
      </c>
      <c r="H1469" s="2">
        <v>0.5097800925925926</v>
      </c>
      <c r="I1469">
        <v>16</v>
      </c>
      <c r="J1469">
        <v>16</v>
      </c>
      <c r="K1469" t="s">
        <v>59</v>
      </c>
      <c r="L1469" t="s">
        <v>13</v>
      </c>
      <c r="M1469" t="s">
        <v>32</v>
      </c>
      <c r="N1469" t="s">
        <v>33</v>
      </c>
    </row>
    <row r="1470" spans="1:14" x14ac:dyDescent="0.25">
      <c r="A1470">
        <v>12393</v>
      </c>
      <c r="B1470">
        <v>5448</v>
      </c>
      <c r="C1470">
        <f>1/COUNTIF(B:B,pizza_sales[[#This Row],[order_id]])</f>
        <v>0.5</v>
      </c>
      <c r="D1470" t="s">
        <v>47</v>
      </c>
      <c r="E1470">
        <v>1</v>
      </c>
      <c r="F1470" s="1">
        <v>42039</v>
      </c>
      <c r="G1470" s="1" t="str">
        <f>TEXT(pizza_sales[[#This Row],[order_date]],"dddd")</f>
        <v>Wednesday</v>
      </c>
      <c r="H1470" s="2">
        <v>0.52912037037037041</v>
      </c>
      <c r="I1470">
        <v>16.5</v>
      </c>
      <c r="J1470">
        <v>16.5</v>
      </c>
      <c r="K1470" t="s">
        <v>58</v>
      </c>
      <c r="L1470" t="s">
        <v>13</v>
      </c>
      <c r="M1470" t="s">
        <v>14</v>
      </c>
      <c r="N1470" t="s">
        <v>15</v>
      </c>
    </row>
    <row r="1471" spans="1:14" x14ac:dyDescent="0.25">
      <c r="A1471">
        <v>12394</v>
      </c>
      <c r="B1471">
        <v>5448</v>
      </c>
      <c r="C1471">
        <f>1/COUNTIF(B:B,pizza_sales[[#This Row],[order_id]])</f>
        <v>0.5</v>
      </c>
      <c r="D1471" t="s">
        <v>16</v>
      </c>
      <c r="E1471">
        <v>1</v>
      </c>
      <c r="F1471" s="1">
        <v>42039</v>
      </c>
      <c r="G1471" s="1" t="str">
        <f>TEXT(pizza_sales[[#This Row],[order_date]],"dddd")</f>
        <v>Wednesday</v>
      </c>
      <c r="H1471" s="2">
        <v>0.52912037037037041</v>
      </c>
      <c r="I1471">
        <v>16</v>
      </c>
      <c r="J1471">
        <v>16</v>
      </c>
      <c r="K1471" t="s">
        <v>59</v>
      </c>
      <c r="L1471" t="s">
        <v>17</v>
      </c>
      <c r="M1471" t="s">
        <v>18</v>
      </c>
      <c r="N1471" t="s">
        <v>19</v>
      </c>
    </row>
    <row r="1472" spans="1:14" x14ac:dyDescent="0.25">
      <c r="A1472">
        <v>12397</v>
      </c>
      <c r="B1472">
        <v>5450</v>
      </c>
      <c r="C1472">
        <f>1/COUNTIF(B:B,pizza_sales[[#This Row],[order_id]])</f>
        <v>1</v>
      </c>
      <c r="D1472" t="s">
        <v>28</v>
      </c>
      <c r="E1472">
        <v>1</v>
      </c>
      <c r="F1472" s="1">
        <v>42039</v>
      </c>
      <c r="G1472" s="1" t="str">
        <f>TEXT(pizza_sales[[#This Row],[order_date]],"dddd")</f>
        <v>Wednesday</v>
      </c>
      <c r="H1472" s="2">
        <v>0.53611111111111109</v>
      </c>
      <c r="I1472">
        <v>12</v>
      </c>
      <c r="J1472">
        <v>12</v>
      </c>
      <c r="K1472" t="s">
        <v>60</v>
      </c>
      <c r="L1472" t="s">
        <v>13</v>
      </c>
      <c r="M1472" t="s">
        <v>29</v>
      </c>
      <c r="N1472" t="s">
        <v>30</v>
      </c>
    </row>
    <row r="1473" spans="1:14" x14ac:dyDescent="0.25">
      <c r="A1473">
        <v>12402</v>
      </c>
      <c r="B1473">
        <v>5451</v>
      </c>
      <c r="C1473">
        <f>1/COUNTIF(B:B,pizza_sales[[#This Row],[order_id]])</f>
        <v>0.5</v>
      </c>
      <c r="D1473" t="s">
        <v>45</v>
      </c>
      <c r="E1473">
        <v>1</v>
      </c>
      <c r="F1473" s="1">
        <v>42039</v>
      </c>
      <c r="G1473" s="1" t="str">
        <f>TEXT(pizza_sales[[#This Row],[order_date]],"dddd")</f>
        <v>Wednesday</v>
      </c>
      <c r="H1473" s="2">
        <v>0.54026620370370371</v>
      </c>
      <c r="I1473">
        <v>10.5</v>
      </c>
      <c r="J1473">
        <v>10.5</v>
      </c>
      <c r="K1473" t="s">
        <v>60</v>
      </c>
      <c r="L1473" t="s">
        <v>13</v>
      </c>
      <c r="M1473" t="s">
        <v>14</v>
      </c>
      <c r="N1473" t="s">
        <v>15</v>
      </c>
    </row>
    <row r="1474" spans="1:14" x14ac:dyDescent="0.25">
      <c r="A1474">
        <v>12403</v>
      </c>
      <c r="B1474">
        <v>5451</v>
      </c>
      <c r="C1474">
        <f>1/COUNTIF(B:B,pizza_sales[[#This Row],[order_id]])</f>
        <v>0.5</v>
      </c>
      <c r="D1474" t="s">
        <v>50</v>
      </c>
      <c r="E1474">
        <v>1</v>
      </c>
      <c r="F1474" s="1">
        <v>42039</v>
      </c>
      <c r="G1474" s="1" t="str">
        <f>TEXT(pizza_sales[[#This Row],[order_date]],"dddd")</f>
        <v>Wednesday</v>
      </c>
      <c r="H1474" s="2">
        <v>0.54026620370370371</v>
      </c>
      <c r="I1474">
        <v>16</v>
      </c>
      <c r="J1474">
        <v>16</v>
      </c>
      <c r="K1474" t="s">
        <v>59</v>
      </c>
      <c r="L1474" t="s">
        <v>13</v>
      </c>
      <c r="M1474" t="s">
        <v>32</v>
      </c>
      <c r="N1474" t="s">
        <v>33</v>
      </c>
    </row>
    <row r="1475" spans="1:14" x14ac:dyDescent="0.25">
      <c r="A1475">
        <v>12404</v>
      </c>
      <c r="B1475">
        <v>5452</v>
      </c>
      <c r="C1475">
        <f>1/COUNTIF(B:B,pizza_sales[[#This Row],[order_id]])</f>
        <v>0.2</v>
      </c>
      <c r="D1475" t="s">
        <v>51</v>
      </c>
      <c r="E1475">
        <v>1</v>
      </c>
      <c r="F1475" s="1">
        <v>42039</v>
      </c>
      <c r="G1475" s="1" t="str">
        <f>TEXT(pizza_sales[[#This Row],[order_date]],"dddd")</f>
        <v>Wednesday</v>
      </c>
      <c r="H1475" s="2">
        <v>0.5406481481481481</v>
      </c>
      <c r="I1475">
        <v>23.65</v>
      </c>
      <c r="J1475">
        <v>23.65</v>
      </c>
      <c r="K1475" t="s">
        <v>60</v>
      </c>
      <c r="L1475" t="s">
        <v>35</v>
      </c>
      <c r="M1475" t="s">
        <v>52</v>
      </c>
      <c r="N1475" t="s">
        <v>53</v>
      </c>
    </row>
    <row r="1476" spans="1:14" x14ac:dyDescent="0.25">
      <c r="A1476">
        <v>12405</v>
      </c>
      <c r="B1476">
        <v>5452</v>
      </c>
      <c r="C1476">
        <f>1/COUNTIF(B:B,pizza_sales[[#This Row],[order_id]])</f>
        <v>0.2</v>
      </c>
      <c r="D1476" t="s">
        <v>56</v>
      </c>
      <c r="E1476">
        <v>1</v>
      </c>
      <c r="F1476" s="1">
        <v>42039</v>
      </c>
      <c r="G1476" s="1" t="str">
        <f>TEXT(pizza_sales[[#This Row],[order_date]],"dddd")</f>
        <v>Wednesday</v>
      </c>
      <c r="H1476" s="2">
        <v>0.5406481481481481</v>
      </c>
      <c r="I1476">
        <v>20.25</v>
      </c>
      <c r="J1476">
        <v>20.25</v>
      </c>
      <c r="K1476" t="s">
        <v>58</v>
      </c>
      <c r="L1476" t="s">
        <v>35</v>
      </c>
      <c r="M1476" t="s">
        <v>36</v>
      </c>
      <c r="N1476" t="s">
        <v>37</v>
      </c>
    </row>
    <row r="1477" spans="1:14" x14ac:dyDescent="0.25">
      <c r="A1477">
        <v>12409</v>
      </c>
      <c r="B1477">
        <v>5452</v>
      </c>
      <c r="C1477">
        <f>1/COUNTIF(B:B,pizza_sales[[#This Row],[order_id]])</f>
        <v>0.2</v>
      </c>
      <c r="D1477" t="s">
        <v>45</v>
      </c>
      <c r="E1477">
        <v>1</v>
      </c>
      <c r="F1477" s="1">
        <v>42039</v>
      </c>
      <c r="G1477" s="1" t="str">
        <f>TEXT(pizza_sales[[#This Row],[order_date]],"dddd")</f>
        <v>Wednesday</v>
      </c>
      <c r="H1477" s="2">
        <v>0.5406481481481481</v>
      </c>
      <c r="I1477">
        <v>10.5</v>
      </c>
      <c r="J1477">
        <v>10.5</v>
      </c>
      <c r="K1477" t="s">
        <v>60</v>
      </c>
      <c r="L1477" t="s">
        <v>13</v>
      </c>
      <c r="M1477" t="s">
        <v>14</v>
      </c>
      <c r="N1477" t="s">
        <v>15</v>
      </c>
    </row>
    <row r="1478" spans="1:14" x14ac:dyDescent="0.25">
      <c r="A1478">
        <v>12410</v>
      </c>
      <c r="B1478">
        <v>5452</v>
      </c>
      <c r="C1478">
        <f>1/COUNTIF(B:B,pizza_sales[[#This Row],[order_id]])</f>
        <v>0.2</v>
      </c>
      <c r="D1478" t="s">
        <v>25</v>
      </c>
      <c r="E1478">
        <v>1</v>
      </c>
      <c r="F1478" s="1">
        <v>42039</v>
      </c>
      <c r="G1478" s="1" t="str">
        <f>TEXT(pizza_sales[[#This Row],[order_date]],"dddd")</f>
        <v>Wednesday</v>
      </c>
      <c r="H1478" s="2">
        <v>0.5406481481481481</v>
      </c>
      <c r="I1478">
        <v>15.25</v>
      </c>
      <c r="J1478">
        <v>15.25</v>
      </c>
      <c r="K1478" t="s">
        <v>58</v>
      </c>
      <c r="L1478" t="s">
        <v>13</v>
      </c>
      <c r="M1478" t="s">
        <v>26</v>
      </c>
      <c r="N1478" t="s">
        <v>27</v>
      </c>
    </row>
    <row r="1479" spans="1:14" x14ac:dyDescent="0.25">
      <c r="A1479">
        <v>12415</v>
      </c>
      <c r="B1479">
        <v>5452</v>
      </c>
      <c r="C1479">
        <f>1/COUNTIF(B:B,pizza_sales[[#This Row],[order_id]])</f>
        <v>0.2</v>
      </c>
      <c r="D1479" t="s">
        <v>46</v>
      </c>
      <c r="E1479">
        <v>2</v>
      </c>
      <c r="F1479" s="1">
        <v>42039</v>
      </c>
      <c r="G1479" s="1" t="str">
        <f>TEXT(pizza_sales[[#This Row],[order_date]],"dddd")</f>
        <v>Wednesday</v>
      </c>
      <c r="H1479" s="2">
        <v>0.5406481481481481</v>
      </c>
      <c r="I1479">
        <v>25.5</v>
      </c>
      <c r="J1479">
        <v>51</v>
      </c>
      <c r="K1479" t="s">
        <v>61</v>
      </c>
      <c r="L1479" t="s">
        <v>13</v>
      </c>
      <c r="M1479" t="s">
        <v>21</v>
      </c>
      <c r="N1479" t="s">
        <v>22</v>
      </c>
    </row>
    <row r="1480" spans="1:14" x14ac:dyDescent="0.25">
      <c r="A1480">
        <v>12418</v>
      </c>
      <c r="B1480">
        <v>5455</v>
      </c>
      <c r="C1480">
        <f>1/COUNTIF(B:B,pizza_sales[[#This Row],[order_id]])</f>
        <v>1</v>
      </c>
      <c r="D1480" t="s">
        <v>51</v>
      </c>
      <c r="E1480">
        <v>1</v>
      </c>
      <c r="F1480" s="1">
        <v>42039</v>
      </c>
      <c r="G1480" s="1" t="str">
        <f>TEXT(pizza_sales[[#This Row],[order_date]],"dddd")</f>
        <v>Wednesday</v>
      </c>
      <c r="H1480" s="2">
        <v>0.5425578703703704</v>
      </c>
      <c r="I1480">
        <v>23.65</v>
      </c>
      <c r="J1480">
        <v>23.65</v>
      </c>
      <c r="K1480" t="s">
        <v>60</v>
      </c>
      <c r="L1480" t="s">
        <v>35</v>
      </c>
      <c r="M1480" t="s">
        <v>52</v>
      </c>
      <c r="N1480" t="s">
        <v>53</v>
      </c>
    </row>
    <row r="1481" spans="1:14" x14ac:dyDescent="0.25">
      <c r="A1481">
        <v>12419</v>
      </c>
      <c r="B1481">
        <v>5456</v>
      </c>
      <c r="C1481">
        <f>1/COUNTIF(B:B,pizza_sales[[#This Row],[order_id]])</f>
        <v>1</v>
      </c>
      <c r="D1481" t="s">
        <v>12</v>
      </c>
      <c r="E1481">
        <v>1</v>
      </c>
      <c r="F1481" s="1">
        <v>42039</v>
      </c>
      <c r="G1481" s="1" t="str">
        <f>TEXT(pizza_sales[[#This Row],[order_date]],"dddd")</f>
        <v>Wednesday</v>
      </c>
      <c r="H1481" s="2">
        <v>0.54278935185185184</v>
      </c>
      <c r="I1481">
        <v>13.25</v>
      </c>
      <c r="J1481">
        <v>13.25</v>
      </c>
      <c r="K1481" t="s">
        <v>59</v>
      </c>
      <c r="L1481" t="s">
        <v>13</v>
      </c>
      <c r="M1481" t="s">
        <v>14</v>
      </c>
      <c r="N1481" t="s">
        <v>15</v>
      </c>
    </row>
    <row r="1482" spans="1:14" x14ac:dyDescent="0.25">
      <c r="A1482">
        <v>12424</v>
      </c>
      <c r="B1482">
        <v>5459</v>
      </c>
      <c r="C1482">
        <f>1/COUNTIF(B:B,pizza_sales[[#This Row],[order_id]])</f>
        <v>1</v>
      </c>
      <c r="D1482" t="s">
        <v>34</v>
      </c>
      <c r="E1482">
        <v>1</v>
      </c>
      <c r="F1482" s="1">
        <v>42039</v>
      </c>
      <c r="G1482" s="1" t="str">
        <f>TEXT(pizza_sales[[#This Row],[order_date]],"dddd")</f>
        <v>Wednesday</v>
      </c>
      <c r="H1482" s="2">
        <v>0.55327546296296293</v>
      </c>
      <c r="I1482">
        <v>16.25</v>
      </c>
      <c r="J1482">
        <v>16.25</v>
      </c>
      <c r="K1482" t="s">
        <v>59</v>
      </c>
      <c r="L1482" t="s">
        <v>35</v>
      </c>
      <c r="M1482" t="s">
        <v>36</v>
      </c>
      <c r="N1482" t="s">
        <v>37</v>
      </c>
    </row>
    <row r="1483" spans="1:14" x14ac:dyDescent="0.25">
      <c r="A1483">
        <v>12433</v>
      </c>
      <c r="B1483">
        <v>5462</v>
      </c>
      <c r="C1483">
        <f>1/COUNTIF(B:B,pizza_sales[[#This Row],[order_id]])</f>
        <v>1</v>
      </c>
      <c r="D1483" t="s">
        <v>44</v>
      </c>
      <c r="E1483">
        <v>1</v>
      </c>
      <c r="F1483" s="1">
        <v>42039</v>
      </c>
      <c r="G1483" s="1" t="str">
        <f>TEXT(pizza_sales[[#This Row],[order_date]],"dddd")</f>
        <v>Wednesday</v>
      </c>
      <c r="H1483" s="2">
        <v>0.62304398148148143</v>
      </c>
      <c r="I1483">
        <v>9.75</v>
      </c>
      <c r="J1483">
        <v>9.75</v>
      </c>
      <c r="K1483" t="s">
        <v>60</v>
      </c>
      <c r="L1483" t="s">
        <v>13</v>
      </c>
      <c r="M1483" t="s">
        <v>26</v>
      </c>
      <c r="N1483" t="s">
        <v>27</v>
      </c>
    </row>
    <row r="1484" spans="1:14" x14ac:dyDescent="0.25">
      <c r="A1484">
        <v>12434</v>
      </c>
      <c r="B1484">
        <v>5463</v>
      </c>
      <c r="C1484">
        <f>1/COUNTIF(B:B,pizza_sales[[#This Row],[order_id]])</f>
        <v>0.5</v>
      </c>
      <c r="D1484" t="s">
        <v>24</v>
      </c>
      <c r="E1484">
        <v>1</v>
      </c>
      <c r="F1484" s="1">
        <v>42039</v>
      </c>
      <c r="G1484" s="1" t="str">
        <f>TEXT(pizza_sales[[#This Row],[order_date]],"dddd")</f>
        <v>Wednesday</v>
      </c>
      <c r="H1484" s="2">
        <v>0.64295138888888892</v>
      </c>
      <c r="I1484">
        <v>20.25</v>
      </c>
      <c r="J1484">
        <v>20.25</v>
      </c>
      <c r="K1484" t="s">
        <v>58</v>
      </c>
      <c r="L1484" t="s">
        <v>17</v>
      </c>
      <c r="M1484" t="s">
        <v>18</v>
      </c>
      <c r="N1484" t="s">
        <v>19</v>
      </c>
    </row>
    <row r="1485" spans="1:14" x14ac:dyDescent="0.25">
      <c r="A1485">
        <v>12435</v>
      </c>
      <c r="B1485">
        <v>5463</v>
      </c>
      <c r="C1485">
        <f>1/COUNTIF(B:B,pizza_sales[[#This Row],[order_id]])</f>
        <v>0.5</v>
      </c>
      <c r="D1485" t="s">
        <v>46</v>
      </c>
      <c r="E1485">
        <v>1</v>
      </c>
      <c r="F1485" s="1">
        <v>42039</v>
      </c>
      <c r="G1485" s="1" t="str">
        <f>TEXT(pizza_sales[[#This Row],[order_date]],"dddd")</f>
        <v>Wednesday</v>
      </c>
      <c r="H1485" s="2">
        <v>0.64295138888888892</v>
      </c>
      <c r="I1485">
        <v>25.5</v>
      </c>
      <c r="J1485">
        <v>25.5</v>
      </c>
      <c r="K1485" t="s">
        <v>61</v>
      </c>
      <c r="L1485" t="s">
        <v>13</v>
      </c>
      <c r="M1485" t="s">
        <v>21</v>
      </c>
      <c r="N1485" t="s">
        <v>22</v>
      </c>
    </row>
    <row r="1486" spans="1:14" x14ac:dyDescent="0.25">
      <c r="A1486">
        <v>12436</v>
      </c>
      <c r="B1486">
        <v>5464</v>
      </c>
      <c r="C1486">
        <f>1/COUNTIF(B:B,pizza_sales[[#This Row],[order_id]])</f>
        <v>1</v>
      </c>
      <c r="D1486" t="s">
        <v>46</v>
      </c>
      <c r="E1486">
        <v>1</v>
      </c>
      <c r="F1486" s="1">
        <v>42039</v>
      </c>
      <c r="G1486" s="1" t="str">
        <f>TEXT(pizza_sales[[#This Row],[order_date]],"dddd")</f>
        <v>Wednesday</v>
      </c>
      <c r="H1486" s="2">
        <v>0.64321759259259259</v>
      </c>
      <c r="I1486">
        <v>25.5</v>
      </c>
      <c r="J1486">
        <v>25.5</v>
      </c>
      <c r="K1486" t="s">
        <v>61</v>
      </c>
      <c r="L1486" t="s">
        <v>13</v>
      </c>
      <c r="M1486" t="s">
        <v>21</v>
      </c>
      <c r="N1486" t="s">
        <v>22</v>
      </c>
    </row>
    <row r="1487" spans="1:14" x14ac:dyDescent="0.25">
      <c r="A1487">
        <v>12438</v>
      </c>
      <c r="B1487">
        <v>5465</v>
      </c>
      <c r="C1487">
        <f>1/COUNTIF(B:B,pizza_sales[[#This Row],[order_id]])</f>
        <v>0.5</v>
      </c>
      <c r="D1487" t="s">
        <v>47</v>
      </c>
      <c r="E1487">
        <v>1</v>
      </c>
      <c r="F1487" s="1">
        <v>42039</v>
      </c>
      <c r="G1487" s="1" t="str">
        <f>TEXT(pizza_sales[[#This Row],[order_date]],"dddd")</f>
        <v>Wednesday</v>
      </c>
      <c r="H1487" s="2">
        <v>0.64474537037037039</v>
      </c>
      <c r="I1487">
        <v>16.5</v>
      </c>
      <c r="J1487">
        <v>16.5</v>
      </c>
      <c r="K1487" t="s">
        <v>58</v>
      </c>
      <c r="L1487" t="s">
        <v>13</v>
      </c>
      <c r="M1487" t="s">
        <v>14</v>
      </c>
      <c r="N1487" t="s">
        <v>15</v>
      </c>
    </row>
    <row r="1488" spans="1:14" x14ac:dyDescent="0.25">
      <c r="A1488">
        <v>12439</v>
      </c>
      <c r="B1488">
        <v>5465</v>
      </c>
      <c r="C1488">
        <f>1/COUNTIF(B:B,pizza_sales[[#This Row],[order_id]])</f>
        <v>0.5</v>
      </c>
      <c r="D1488" t="s">
        <v>48</v>
      </c>
      <c r="E1488">
        <v>1</v>
      </c>
      <c r="F1488" s="1">
        <v>42039</v>
      </c>
      <c r="G1488" s="1" t="str">
        <f>TEXT(pizza_sales[[#This Row],[order_date]],"dddd")</f>
        <v>Wednesday</v>
      </c>
      <c r="H1488" s="2">
        <v>0.64474537037037039</v>
      </c>
      <c r="I1488">
        <v>12.25</v>
      </c>
      <c r="J1488">
        <v>12.25</v>
      </c>
      <c r="K1488" t="s">
        <v>60</v>
      </c>
      <c r="L1488" t="s">
        <v>35</v>
      </c>
      <c r="M1488" t="s">
        <v>40</v>
      </c>
      <c r="N1488" t="s">
        <v>41</v>
      </c>
    </row>
    <row r="1489" spans="1:14" x14ac:dyDescent="0.25">
      <c r="A1489">
        <v>12445</v>
      </c>
      <c r="B1489">
        <v>5467</v>
      </c>
      <c r="C1489">
        <f>1/COUNTIF(B:B,pizza_sales[[#This Row],[order_id]])</f>
        <v>1</v>
      </c>
      <c r="D1489" t="s">
        <v>31</v>
      </c>
      <c r="E1489">
        <v>1</v>
      </c>
      <c r="F1489" s="1">
        <v>42039</v>
      </c>
      <c r="G1489" s="1" t="str">
        <f>TEXT(pizza_sales[[#This Row],[order_date]],"dddd")</f>
        <v>Wednesday</v>
      </c>
      <c r="H1489" s="2">
        <v>0.65690972222222221</v>
      </c>
      <c r="I1489">
        <v>12</v>
      </c>
      <c r="J1489">
        <v>12</v>
      </c>
      <c r="K1489" t="s">
        <v>60</v>
      </c>
      <c r="L1489" t="s">
        <v>13</v>
      </c>
      <c r="M1489" t="s">
        <v>32</v>
      </c>
      <c r="N1489" t="s">
        <v>33</v>
      </c>
    </row>
    <row r="1490" spans="1:14" x14ac:dyDescent="0.25">
      <c r="A1490">
        <v>12449</v>
      </c>
      <c r="B1490">
        <v>5469</v>
      </c>
      <c r="C1490">
        <f>1/COUNTIF(B:B,pizza_sales[[#This Row],[order_id]])</f>
        <v>0.5</v>
      </c>
      <c r="D1490" t="s">
        <v>34</v>
      </c>
      <c r="E1490">
        <v>1</v>
      </c>
      <c r="F1490" s="1">
        <v>42039</v>
      </c>
      <c r="G1490" s="1" t="str">
        <f>TEXT(pizza_sales[[#This Row],[order_date]],"dddd")</f>
        <v>Wednesday</v>
      </c>
      <c r="H1490" s="2">
        <v>0.68331018518518516</v>
      </c>
      <c r="I1490">
        <v>16.25</v>
      </c>
      <c r="J1490">
        <v>16.25</v>
      </c>
      <c r="K1490" t="s">
        <v>59</v>
      </c>
      <c r="L1490" t="s">
        <v>35</v>
      </c>
      <c r="M1490" t="s">
        <v>36</v>
      </c>
      <c r="N1490" t="s">
        <v>37</v>
      </c>
    </row>
    <row r="1491" spans="1:14" x14ac:dyDescent="0.25">
      <c r="A1491">
        <v>12451</v>
      </c>
      <c r="B1491">
        <v>5469</v>
      </c>
      <c r="C1491">
        <f>1/COUNTIF(B:B,pizza_sales[[#This Row],[order_id]])</f>
        <v>0.5</v>
      </c>
      <c r="D1491" t="s">
        <v>20</v>
      </c>
      <c r="E1491">
        <v>1</v>
      </c>
      <c r="F1491" s="1">
        <v>42039</v>
      </c>
      <c r="G1491" s="1" t="str">
        <f>TEXT(pizza_sales[[#This Row],[order_date]],"dddd")</f>
        <v>Wednesday</v>
      </c>
      <c r="H1491" s="2">
        <v>0.68331018518518516</v>
      </c>
      <c r="I1491">
        <v>12</v>
      </c>
      <c r="J1491">
        <v>12</v>
      </c>
      <c r="K1491" t="s">
        <v>60</v>
      </c>
      <c r="L1491" t="s">
        <v>13</v>
      </c>
      <c r="M1491" t="s">
        <v>21</v>
      </c>
      <c r="N1491" t="s">
        <v>22</v>
      </c>
    </row>
    <row r="1492" spans="1:14" x14ac:dyDescent="0.25">
      <c r="A1492">
        <v>12452</v>
      </c>
      <c r="B1492">
        <v>5470</v>
      </c>
      <c r="C1492">
        <f>1/COUNTIF(B:B,pizza_sales[[#This Row],[order_id]])</f>
        <v>1</v>
      </c>
      <c r="D1492" t="s">
        <v>28</v>
      </c>
      <c r="E1492">
        <v>1</v>
      </c>
      <c r="F1492" s="1">
        <v>42039</v>
      </c>
      <c r="G1492" s="1" t="str">
        <f>TEXT(pizza_sales[[#This Row],[order_date]],"dddd")</f>
        <v>Wednesday</v>
      </c>
      <c r="H1492" s="2">
        <v>0.68453703703703705</v>
      </c>
      <c r="I1492">
        <v>12</v>
      </c>
      <c r="J1492">
        <v>12</v>
      </c>
      <c r="K1492" t="s">
        <v>60</v>
      </c>
      <c r="L1492" t="s">
        <v>13</v>
      </c>
      <c r="M1492" t="s">
        <v>29</v>
      </c>
      <c r="N1492" t="s">
        <v>30</v>
      </c>
    </row>
    <row r="1493" spans="1:14" x14ac:dyDescent="0.25">
      <c r="A1493">
        <v>12458</v>
      </c>
      <c r="B1493">
        <v>5472</v>
      </c>
      <c r="C1493">
        <f>1/COUNTIF(B:B,pizza_sales[[#This Row],[order_id]])</f>
        <v>1</v>
      </c>
      <c r="D1493" t="s">
        <v>43</v>
      </c>
      <c r="E1493">
        <v>1</v>
      </c>
      <c r="F1493" s="1">
        <v>42039</v>
      </c>
      <c r="G1493" s="1" t="str">
        <f>TEXT(pizza_sales[[#This Row],[order_date]],"dddd")</f>
        <v>Wednesday</v>
      </c>
      <c r="H1493" s="2">
        <v>0.68592592592592594</v>
      </c>
      <c r="I1493">
        <v>16.25</v>
      </c>
      <c r="J1493">
        <v>16.25</v>
      </c>
      <c r="K1493" t="s">
        <v>59</v>
      </c>
      <c r="L1493" t="s">
        <v>35</v>
      </c>
      <c r="M1493" t="s">
        <v>40</v>
      </c>
      <c r="N1493" t="s">
        <v>41</v>
      </c>
    </row>
    <row r="1494" spans="1:14" x14ac:dyDescent="0.25">
      <c r="A1494">
        <v>12463</v>
      </c>
      <c r="B1494">
        <v>5473</v>
      </c>
      <c r="C1494">
        <f>1/COUNTIF(B:B,pizza_sales[[#This Row],[order_id]])</f>
        <v>1</v>
      </c>
      <c r="D1494" t="s">
        <v>46</v>
      </c>
      <c r="E1494">
        <v>1</v>
      </c>
      <c r="F1494" s="1">
        <v>42039</v>
      </c>
      <c r="G1494" s="1" t="str">
        <f>TEXT(pizza_sales[[#This Row],[order_date]],"dddd")</f>
        <v>Wednesday</v>
      </c>
      <c r="H1494" s="2">
        <v>0.68967592592592597</v>
      </c>
      <c r="I1494">
        <v>25.5</v>
      </c>
      <c r="J1494">
        <v>25.5</v>
      </c>
      <c r="K1494" t="s">
        <v>61</v>
      </c>
      <c r="L1494" t="s">
        <v>13</v>
      </c>
      <c r="M1494" t="s">
        <v>21</v>
      </c>
      <c r="N1494" t="s">
        <v>22</v>
      </c>
    </row>
    <row r="1495" spans="1:14" x14ac:dyDescent="0.25">
      <c r="A1495">
        <v>12468</v>
      </c>
      <c r="B1495">
        <v>5477</v>
      </c>
      <c r="C1495">
        <f>1/COUNTIF(B:B,pizza_sales[[#This Row],[order_id]])</f>
        <v>1</v>
      </c>
      <c r="D1495" t="s">
        <v>47</v>
      </c>
      <c r="E1495">
        <v>1</v>
      </c>
      <c r="F1495" s="1">
        <v>42039</v>
      </c>
      <c r="G1495" s="1" t="str">
        <f>TEXT(pizza_sales[[#This Row],[order_date]],"dddd")</f>
        <v>Wednesday</v>
      </c>
      <c r="H1495" s="2">
        <v>0.72037037037037033</v>
      </c>
      <c r="I1495">
        <v>16.5</v>
      </c>
      <c r="J1495">
        <v>16.5</v>
      </c>
      <c r="K1495" t="s">
        <v>58</v>
      </c>
      <c r="L1495" t="s">
        <v>13</v>
      </c>
      <c r="M1495" t="s">
        <v>14</v>
      </c>
      <c r="N1495" t="s">
        <v>15</v>
      </c>
    </row>
    <row r="1496" spans="1:14" x14ac:dyDescent="0.25">
      <c r="A1496">
        <v>12475</v>
      </c>
      <c r="B1496">
        <v>5480</v>
      </c>
      <c r="C1496">
        <f>1/COUNTIF(B:B,pizza_sales[[#This Row],[order_id]])</f>
        <v>1</v>
      </c>
      <c r="D1496" t="s">
        <v>28</v>
      </c>
      <c r="E1496">
        <v>1</v>
      </c>
      <c r="F1496" s="1">
        <v>42039</v>
      </c>
      <c r="G1496" s="1" t="str">
        <f>TEXT(pizza_sales[[#This Row],[order_date]],"dddd")</f>
        <v>Wednesday</v>
      </c>
      <c r="H1496" s="2">
        <v>0.741724537037037</v>
      </c>
      <c r="I1496">
        <v>12</v>
      </c>
      <c r="J1496">
        <v>12</v>
      </c>
      <c r="K1496" t="s">
        <v>60</v>
      </c>
      <c r="L1496" t="s">
        <v>13</v>
      </c>
      <c r="M1496" t="s">
        <v>29</v>
      </c>
      <c r="N1496" t="s">
        <v>30</v>
      </c>
    </row>
    <row r="1497" spans="1:14" x14ac:dyDescent="0.25">
      <c r="A1497">
        <v>12478</v>
      </c>
      <c r="B1497">
        <v>5481</v>
      </c>
      <c r="C1497">
        <f>1/COUNTIF(B:B,pizza_sales[[#This Row],[order_id]])</f>
        <v>1</v>
      </c>
      <c r="D1497" t="s">
        <v>31</v>
      </c>
      <c r="E1497">
        <v>1</v>
      </c>
      <c r="F1497" s="1">
        <v>42039</v>
      </c>
      <c r="G1497" s="1" t="str">
        <f>TEXT(pizza_sales[[#This Row],[order_date]],"dddd")</f>
        <v>Wednesday</v>
      </c>
      <c r="H1497" s="2">
        <v>0.74837962962962967</v>
      </c>
      <c r="I1497">
        <v>12</v>
      </c>
      <c r="J1497">
        <v>12</v>
      </c>
      <c r="K1497" t="s">
        <v>60</v>
      </c>
      <c r="L1497" t="s">
        <v>13</v>
      </c>
      <c r="M1497" t="s">
        <v>32</v>
      </c>
      <c r="N1497" t="s">
        <v>33</v>
      </c>
    </row>
    <row r="1498" spans="1:14" x14ac:dyDescent="0.25">
      <c r="A1498">
        <v>12482</v>
      </c>
      <c r="B1498">
        <v>5482</v>
      </c>
      <c r="C1498">
        <f>1/COUNTIF(B:B,pizza_sales[[#This Row],[order_id]])</f>
        <v>1</v>
      </c>
      <c r="D1498" t="s">
        <v>46</v>
      </c>
      <c r="E1498">
        <v>1</v>
      </c>
      <c r="F1498" s="1">
        <v>42039</v>
      </c>
      <c r="G1498" s="1" t="str">
        <f>TEXT(pizza_sales[[#This Row],[order_date]],"dddd")</f>
        <v>Wednesday</v>
      </c>
      <c r="H1498" s="2">
        <v>0.75466435185185188</v>
      </c>
      <c r="I1498">
        <v>25.5</v>
      </c>
      <c r="J1498">
        <v>25.5</v>
      </c>
      <c r="K1498" t="s">
        <v>61</v>
      </c>
      <c r="L1498" t="s">
        <v>13</v>
      </c>
      <c r="M1498" t="s">
        <v>21</v>
      </c>
      <c r="N1498" t="s">
        <v>22</v>
      </c>
    </row>
    <row r="1499" spans="1:14" x14ac:dyDescent="0.25">
      <c r="A1499">
        <v>12484</v>
      </c>
      <c r="B1499">
        <v>5483</v>
      </c>
      <c r="C1499">
        <f>1/COUNTIF(B:B,pizza_sales[[#This Row],[order_id]])</f>
        <v>1</v>
      </c>
      <c r="D1499" t="s">
        <v>55</v>
      </c>
      <c r="E1499">
        <v>1</v>
      </c>
      <c r="F1499" s="1">
        <v>42039</v>
      </c>
      <c r="G1499" s="1" t="str">
        <f>TEXT(pizza_sales[[#This Row],[order_date]],"dddd")</f>
        <v>Wednesday</v>
      </c>
      <c r="H1499" s="2">
        <v>0.76050925925925927</v>
      </c>
      <c r="I1499">
        <v>20.5</v>
      </c>
      <c r="J1499">
        <v>20.5</v>
      </c>
      <c r="K1499" t="s">
        <v>58</v>
      </c>
      <c r="L1499" t="s">
        <v>13</v>
      </c>
      <c r="M1499" t="s">
        <v>21</v>
      </c>
      <c r="N1499" t="s">
        <v>22</v>
      </c>
    </row>
    <row r="1500" spans="1:14" x14ac:dyDescent="0.25">
      <c r="A1500">
        <v>12489</v>
      </c>
      <c r="B1500">
        <v>5485</v>
      </c>
      <c r="C1500">
        <f>1/COUNTIF(B:B,pizza_sales[[#This Row],[order_id]])</f>
        <v>1</v>
      </c>
      <c r="D1500" t="s">
        <v>45</v>
      </c>
      <c r="E1500">
        <v>1</v>
      </c>
      <c r="F1500" s="1">
        <v>42039</v>
      </c>
      <c r="G1500" s="1" t="str">
        <f>TEXT(pizza_sales[[#This Row],[order_date]],"dddd")</f>
        <v>Wednesday</v>
      </c>
      <c r="H1500" s="2">
        <v>0.76900462962962968</v>
      </c>
      <c r="I1500">
        <v>10.5</v>
      </c>
      <c r="J1500">
        <v>10.5</v>
      </c>
      <c r="K1500" t="s">
        <v>60</v>
      </c>
      <c r="L1500" t="s">
        <v>13</v>
      </c>
      <c r="M1500" t="s">
        <v>14</v>
      </c>
      <c r="N1500" t="s">
        <v>15</v>
      </c>
    </row>
    <row r="1501" spans="1:14" x14ac:dyDescent="0.25">
      <c r="A1501">
        <v>12492</v>
      </c>
      <c r="B1501">
        <v>5487</v>
      </c>
      <c r="C1501">
        <f>1/COUNTIF(B:B,pizza_sales[[#This Row],[order_id]])</f>
        <v>1</v>
      </c>
      <c r="D1501" t="s">
        <v>34</v>
      </c>
      <c r="E1501">
        <v>1</v>
      </c>
      <c r="F1501" s="1">
        <v>42039</v>
      </c>
      <c r="G1501" s="1" t="str">
        <f>TEXT(pizza_sales[[#This Row],[order_date]],"dddd")</f>
        <v>Wednesday</v>
      </c>
      <c r="H1501" s="2">
        <v>0.80548611111111112</v>
      </c>
      <c r="I1501">
        <v>16.25</v>
      </c>
      <c r="J1501">
        <v>16.25</v>
      </c>
      <c r="K1501" t="s">
        <v>59</v>
      </c>
      <c r="L1501" t="s">
        <v>35</v>
      </c>
      <c r="M1501" t="s">
        <v>36</v>
      </c>
      <c r="N1501" t="s">
        <v>37</v>
      </c>
    </row>
    <row r="1502" spans="1:14" x14ac:dyDescent="0.25">
      <c r="A1502">
        <v>12500</v>
      </c>
      <c r="B1502">
        <v>5491</v>
      </c>
      <c r="C1502">
        <f>1/COUNTIF(B:B,pizza_sales[[#This Row],[order_id]])</f>
        <v>1</v>
      </c>
      <c r="D1502" t="s">
        <v>47</v>
      </c>
      <c r="E1502">
        <v>1</v>
      </c>
      <c r="F1502" s="1">
        <v>42039</v>
      </c>
      <c r="G1502" s="1" t="str">
        <f>TEXT(pizza_sales[[#This Row],[order_date]],"dddd")</f>
        <v>Wednesday</v>
      </c>
      <c r="H1502" s="2">
        <v>0.83626157407407409</v>
      </c>
      <c r="I1502">
        <v>16.5</v>
      </c>
      <c r="J1502">
        <v>16.5</v>
      </c>
      <c r="K1502" t="s">
        <v>58</v>
      </c>
      <c r="L1502" t="s">
        <v>13</v>
      </c>
      <c r="M1502" t="s">
        <v>14</v>
      </c>
      <c r="N1502" t="s">
        <v>15</v>
      </c>
    </row>
    <row r="1503" spans="1:14" x14ac:dyDescent="0.25">
      <c r="A1503">
        <v>12503</v>
      </c>
      <c r="B1503">
        <v>5493</v>
      </c>
      <c r="C1503">
        <f>1/COUNTIF(B:B,pizza_sales[[#This Row],[order_id]])</f>
        <v>1</v>
      </c>
      <c r="D1503" t="s">
        <v>44</v>
      </c>
      <c r="E1503">
        <v>1</v>
      </c>
      <c r="F1503" s="1">
        <v>42039</v>
      </c>
      <c r="G1503" s="1" t="str">
        <f>TEXT(pizza_sales[[#This Row],[order_date]],"dddd")</f>
        <v>Wednesday</v>
      </c>
      <c r="H1503" s="2">
        <v>0.8699189814814815</v>
      </c>
      <c r="I1503">
        <v>9.75</v>
      </c>
      <c r="J1503">
        <v>9.75</v>
      </c>
      <c r="K1503" t="s">
        <v>60</v>
      </c>
      <c r="L1503" t="s">
        <v>13</v>
      </c>
      <c r="M1503" t="s">
        <v>26</v>
      </c>
      <c r="N1503" t="s">
        <v>27</v>
      </c>
    </row>
    <row r="1504" spans="1:14" x14ac:dyDescent="0.25">
      <c r="A1504">
        <v>12505</v>
      </c>
      <c r="B1504">
        <v>5494</v>
      </c>
      <c r="C1504">
        <f>1/COUNTIF(B:B,pizza_sales[[#This Row],[order_id]])</f>
        <v>1</v>
      </c>
      <c r="D1504" t="s">
        <v>38</v>
      </c>
      <c r="E1504">
        <v>1</v>
      </c>
      <c r="F1504" s="1">
        <v>42039</v>
      </c>
      <c r="G1504" s="1" t="str">
        <f>TEXT(pizza_sales[[#This Row],[order_date]],"dddd")</f>
        <v>Wednesday</v>
      </c>
      <c r="H1504" s="2">
        <v>0.8778125</v>
      </c>
      <c r="I1504">
        <v>20.5</v>
      </c>
      <c r="J1504">
        <v>20.5</v>
      </c>
      <c r="K1504" t="s">
        <v>58</v>
      </c>
      <c r="L1504" t="s">
        <v>13</v>
      </c>
      <c r="M1504" t="s">
        <v>32</v>
      </c>
      <c r="N1504" t="s">
        <v>33</v>
      </c>
    </row>
    <row r="1505" spans="1:14" x14ac:dyDescent="0.25">
      <c r="A1505">
        <v>12509</v>
      </c>
      <c r="B1505">
        <v>5498</v>
      </c>
      <c r="C1505">
        <f>1/COUNTIF(B:B,pizza_sales[[#This Row],[order_id]])</f>
        <v>1</v>
      </c>
      <c r="D1505" t="s">
        <v>28</v>
      </c>
      <c r="E1505">
        <v>1</v>
      </c>
      <c r="F1505" s="1">
        <v>42039</v>
      </c>
      <c r="G1505" s="1" t="str">
        <f>TEXT(pizza_sales[[#This Row],[order_date]],"dddd")</f>
        <v>Wednesday</v>
      </c>
      <c r="H1505" s="2">
        <v>0.92760416666666667</v>
      </c>
      <c r="I1505">
        <v>12</v>
      </c>
      <c r="J1505">
        <v>12</v>
      </c>
      <c r="K1505" t="s">
        <v>60</v>
      </c>
      <c r="L1505" t="s">
        <v>13</v>
      </c>
      <c r="M1505" t="s">
        <v>29</v>
      </c>
      <c r="N1505" t="s">
        <v>30</v>
      </c>
    </row>
    <row r="1506" spans="1:14" x14ac:dyDescent="0.25">
      <c r="A1506">
        <v>12512</v>
      </c>
      <c r="B1506">
        <v>5500</v>
      </c>
      <c r="C1506">
        <f>1/COUNTIF(B:B,pizza_sales[[#This Row],[order_id]])</f>
        <v>1</v>
      </c>
      <c r="D1506" t="s">
        <v>34</v>
      </c>
      <c r="E1506">
        <v>1</v>
      </c>
      <c r="F1506" s="1">
        <v>42067</v>
      </c>
      <c r="G1506" s="1" t="str">
        <f>TEXT(pizza_sales[[#This Row],[order_date]],"dddd")</f>
        <v>Wednesday</v>
      </c>
      <c r="H1506" s="2">
        <v>0.47368055555555555</v>
      </c>
      <c r="I1506">
        <v>16.25</v>
      </c>
      <c r="J1506">
        <v>16.25</v>
      </c>
      <c r="K1506" t="s">
        <v>59</v>
      </c>
      <c r="L1506" t="s">
        <v>35</v>
      </c>
      <c r="M1506" t="s">
        <v>36</v>
      </c>
      <c r="N1506" t="s">
        <v>37</v>
      </c>
    </row>
    <row r="1507" spans="1:14" x14ac:dyDescent="0.25">
      <c r="A1507">
        <v>12516</v>
      </c>
      <c r="B1507">
        <v>5501</v>
      </c>
      <c r="C1507">
        <f>1/COUNTIF(B:B,pizza_sales[[#This Row],[order_id]])</f>
        <v>1</v>
      </c>
      <c r="D1507" t="s">
        <v>45</v>
      </c>
      <c r="E1507">
        <v>1</v>
      </c>
      <c r="F1507" s="1">
        <v>42067</v>
      </c>
      <c r="G1507" s="1" t="str">
        <f>TEXT(pizza_sales[[#This Row],[order_date]],"dddd")</f>
        <v>Wednesday</v>
      </c>
      <c r="H1507" s="2">
        <v>0.48616898148148147</v>
      </c>
      <c r="I1507">
        <v>10.5</v>
      </c>
      <c r="J1507">
        <v>10.5</v>
      </c>
      <c r="K1507" t="s">
        <v>60</v>
      </c>
      <c r="L1507" t="s">
        <v>13</v>
      </c>
      <c r="M1507" t="s">
        <v>14</v>
      </c>
      <c r="N1507" t="s">
        <v>15</v>
      </c>
    </row>
    <row r="1508" spans="1:14" x14ac:dyDescent="0.25">
      <c r="A1508">
        <v>12517</v>
      </c>
      <c r="B1508">
        <v>5502</v>
      </c>
      <c r="C1508">
        <f>1/COUNTIF(B:B,pizza_sales[[#This Row],[order_id]])</f>
        <v>1</v>
      </c>
      <c r="D1508" t="s">
        <v>12</v>
      </c>
      <c r="E1508">
        <v>1</v>
      </c>
      <c r="F1508" s="1">
        <v>42067</v>
      </c>
      <c r="G1508" s="1" t="str">
        <f>TEXT(pizza_sales[[#This Row],[order_date]],"dddd")</f>
        <v>Wednesday</v>
      </c>
      <c r="H1508" s="2">
        <v>0.48939814814814814</v>
      </c>
      <c r="I1508">
        <v>13.25</v>
      </c>
      <c r="J1508">
        <v>13.25</v>
      </c>
      <c r="K1508" t="s">
        <v>59</v>
      </c>
      <c r="L1508" t="s">
        <v>13</v>
      </c>
      <c r="M1508" t="s">
        <v>14</v>
      </c>
      <c r="N1508" t="s">
        <v>15</v>
      </c>
    </row>
    <row r="1509" spans="1:14" x14ac:dyDescent="0.25">
      <c r="A1509">
        <v>12518</v>
      </c>
      <c r="B1509">
        <v>5503</v>
      </c>
      <c r="C1509">
        <f>1/COUNTIF(B:B,pizza_sales[[#This Row],[order_id]])</f>
        <v>0.5</v>
      </c>
      <c r="D1509" t="s">
        <v>28</v>
      </c>
      <c r="E1509">
        <v>1</v>
      </c>
      <c r="F1509" s="1">
        <v>42067</v>
      </c>
      <c r="G1509" s="1" t="str">
        <f>TEXT(pizza_sales[[#This Row],[order_date]],"dddd")</f>
        <v>Wednesday</v>
      </c>
      <c r="H1509" s="2">
        <v>0.50177083333333339</v>
      </c>
      <c r="I1509">
        <v>12</v>
      </c>
      <c r="J1509">
        <v>12</v>
      </c>
      <c r="K1509" t="s">
        <v>60</v>
      </c>
      <c r="L1509" t="s">
        <v>13</v>
      </c>
      <c r="M1509" t="s">
        <v>29</v>
      </c>
      <c r="N1509" t="s">
        <v>30</v>
      </c>
    </row>
    <row r="1510" spans="1:14" x14ac:dyDescent="0.25">
      <c r="A1510">
        <v>12519</v>
      </c>
      <c r="B1510">
        <v>5503</v>
      </c>
      <c r="C1510">
        <f>1/COUNTIF(B:B,pizza_sales[[#This Row],[order_id]])</f>
        <v>0.5</v>
      </c>
      <c r="D1510" t="s">
        <v>34</v>
      </c>
      <c r="E1510">
        <v>1</v>
      </c>
      <c r="F1510" s="1">
        <v>42067</v>
      </c>
      <c r="G1510" s="1" t="str">
        <f>TEXT(pizza_sales[[#This Row],[order_date]],"dddd")</f>
        <v>Wednesday</v>
      </c>
      <c r="H1510" s="2">
        <v>0.50177083333333339</v>
      </c>
      <c r="I1510">
        <v>16.25</v>
      </c>
      <c r="J1510">
        <v>16.25</v>
      </c>
      <c r="K1510" t="s">
        <v>59</v>
      </c>
      <c r="L1510" t="s">
        <v>35</v>
      </c>
      <c r="M1510" t="s">
        <v>36</v>
      </c>
      <c r="N1510" t="s">
        <v>37</v>
      </c>
    </row>
    <row r="1511" spans="1:14" x14ac:dyDescent="0.25">
      <c r="A1511">
        <v>12522</v>
      </c>
      <c r="B1511">
        <v>5505</v>
      </c>
      <c r="C1511">
        <f>1/COUNTIF(B:B,pizza_sales[[#This Row],[order_id]])</f>
        <v>1</v>
      </c>
      <c r="D1511" t="s">
        <v>51</v>
      </c>
      <c r="E1511">
        <v>1</v>
      </c>
      <c r="F1511" s="1">
        <v>42067</v>
      </c>
      <c r="G1511" s="1" t="str">
        <f>TEXT(pizza_sales[[#This Row],[order_date]],"dddd")</f>
        <v>Wednesday</v>
      </c>
      <c r="H1511" s="2">
        <v>0.50624999999999998</v>
      </c>
      <c r="I1511">
        <v>23.65</v>
      </c>
      <c r="J1511">
        <v>23.65</v>
      </c>
      <c r="K1511" t="s">
        <v>60</v>
      </c>
      <c r="L1511" t="s">
        <v>35</v>
      </c>
      <c r="M1511" t="s">
        <v>52</v>
      </c>
      <c r="N1511" t="s">
        <v>53</v>
      </c>
    </row>
    <row r="1512" spans="1:14" x14ac:dyDescent="0.25">
      <c r="A1512">
        <v>12529</v>
      </c>
      <c r="B1512">
        <v>5510</v>
      </c>
      <c r="C1512">
        <f>1/COUNTIF(B:B,pizza_sales[[#This Row],[order_id]])</f>
        <v>1</v>
      </c>
      <c r="D1512" t="s">
        <v>55</v>
      </c>
      <c r="E1512">
        <v>1</v>
      </c>
      <c r="F1512" s="1">
        <v>42067</v>
      </c>
      <c r="G1512" s="1" t="str">
        <f>TEXT(pizza_sales[[#This Row],[order_date]],"dddd")</f>
        <v>Wednesday</v>
      </c>
      <c r="H1512" s="2">
        <v>0.53030092592592593</v>
      </c>
      <c r="I1512">
        <v>20.5</v>
      </c>
      <c r="J1512">
        <v>20.5</v>
      </c>
      <c r="K1512" t="s">
        <v>58</v>
      </c>
      <c r="L1512" t="s">
        <v>13</v>
      </c>
      <c r="M1512" t="s">
        <v>21</v>
      </c>
      <c r="N1512" t="s">
        <v>22</v>
      </c>
    </row>
    <row r="1513" spans="1:14" x14ac:dyDescent="0.25">
      <c r="A1513">
        <v>12531</v>
      </c>
      <c r="B1513">
        <v>5512</v>
      </c>
      <c r="C1513">
        <f>1/COUNTIF(B:B,pizza_sales[[#This Row],[order_id]])</f>
        <v>1</v>
      </c>
      <c r="D1513" t="s">
        <v>28</v>
      </c>
      <c r="E1513">
        <v>1</v>
      </c>
      <c r="F1513" s="1">
        <v>42067</v>
      </c>
      <c r="G1513" s="1" t="str">
        <f>TEXT(pizza_sales[[#This Row],[order_date]],"dddd")</f>
        <v>Wednesday</v>
      </c>
      <c r="H1513" s="2">
        <v>0.5410300925925926</v>
      </c>
      <c r="I1513">
        <v>12</v>
      </c>
      <c r="J1513">
        <v>12</v>
      </c>
      <c r="K1513" t="s">
        <v>60</v>
      </c>
      <c r="L1513" t="s">
        <v>13</v>
      </c>
      <c r="M1513" t="s">
        <v>29</v>
      </c>
      <c r="N1513" t="s">
        <v>30</v>
      </c>
    </row>
    <row r="1514" spans="1:14" x14ac:dyDescent="0.25">
      <c r="A1514">
        <v>12541</v>
      </c>
      <c r="B1514">
        <v>5513</v>
      </c>
      <c r="C1514">
        <f>1/COUNTIF(B:B,pizza_sales[[#This Row],[order_id]])</f>
        <v>1</v>
      </c>
      <c r="D1514" t="s">
        <v>50</v>
      </c>
      <c r="E1514">
        <v>1</v>
      </c>
      <c r="F1514" s="1">
        <v>42067</v>
      </c>
      <c r="G1514" s="1" t="str">
        <f>TEXT(pizza_sales[[#This Row],[order_date]],"dddd")</f>
        <v>Wednesday</v>
      </c>
      <c r="H1514" s="2">
        <v>0.54422453703703699</v>
      </c>
      <c r="I1514">
        <v>16</v>
      </c>
      <c r="J1514">
        <v>16</v>
      </c>
      <c r="K1514" t="s">
        <v>59</v>
      </c>
      <c r="L1514" t="s">
        <v>13</v>
      </c>
      <c r="M1514" t="s">
        <v>32</v>
      </c>
      <c r="N1514" t="s">
        <v>33</v>
      </c>
    </row>
    <row r="1515" spans="1:14" x14ac:dyDescent="0.25">
      <c r="A1515">
        <v>12552</v>
      </c>
      <c r="B1515">
        <v>5515</v>
      </c>
      <c r="C1515">
        <f>1/COUNTIF(B:B,pizza_sales[[#This Row],[order_id]])</f>
        <v>0.5</v>
      </c>
      <c r="D1515" t="s">
        <v>45</v>
      </c>
      <c r="E1515">
        <v>1</v>
      </c>
      <c r="F1515" s="1">
        <v>42067</v>
      </c>
      <c r="G1515" s="1" t="str">
        <f>TEXT(pizza_sales[[#This Row],[order_date]],"dddd")</f>
        <v>Wednesday</v>
      </c>
      <c r="H1515" s="2">
        <v>0.55892361111111111</v>
      </c>
      <c r="I1515">
        <v>10.5</v>
      </c>
      <c r="J1515">
        <v>10.5</v>
      </c>
      <c r="K1515" t="s">
        <v>60</v>
      </c>
      <c r="L1515" t="s">
        <v>13</v>
      </c>
      <c r="M1515" t="s">
        <v>14</v>
      </c>
      <c r="N1515" t="s">
        <v>15</v>
      </c>
    </row>
    <row r="1516" spans="1:14" x14ac:dyDescent="0.25">
      <c r="A1516">
        <v>12553</v>
      </c>
      <c r="B1516">
        <v>5515</v>
      </c>
      <c r="C1516">
        <f>1/COUNTIF(B:B,pizza_sales[[#This Row],[order_id]])</f>
        <v>0.5</v>
      </c>
      <c r="D1516" t="s">
        <v>55</v>
      </c>
      <c r="E1516">
        <v>1</v>
      </c>
      <c r="F1516" s="1">
        <v>42067</v>
      </c>
      <c r="G1516" s="1" t="str">
        <f>TEXT(pizza_sales[[#This Row],[order_date]],"dddd")</f>
        <v>Wednesday</v>
      </c>
      <c r="H1516" s="2">
        <v>0.55892361111111111</v>
      </c>
      <c r="I1516">
        <v>20.5</v>
      </c>
      <c r="J1516">
        <v>20.5</v>
      </c>
      <c r="K1516" t="s">
        <v>58</v>
      </c>
      <c r="L1516" t="s">
        <v>13</v>
      </c>
      <c r="M1516" t="s">
        <v>21</v>
      </c>
      <c r="N1516" t="s">
        <v>22</v>
      </c>
    </row>
    <row r="1517" spans="1:14" x14ac:dyDescent="0.25">
      <c r="A1517">
        <v>12555</v>
      </c>
      <c r="B1517">
        <v>5516</v>
      </c>
      <c r="C1517">
        <f>1/COUNTIF(B:B,pizza_sales[[#This Row],[order_id]])</f>
        <v>1</v>
      </c>
      <c r="D1517" t="s">
        <v>25</v>
      </c>
      <c r="E1517">
        <v>1</v>
      </c>
      <c r="F1517" s="1">
        <v>42067</v>
      </c>
      <c r="G1517" s="1" t="str">
        <f>TEXT(pizza_sales[[#This Row],[order_date]],"dddd")</f>
        <v>Wednesday</v>
      </c>
      <c r="H1517" s="2">
        <v>0.56232638888888886</v>
      </c>
      <c r="I1517">
        <v>15.25</v>
      </c>
      <c r="J1517">
        <v>15.25</v>
      </c>
      <c r="K1517" t="s">
        <v>58</v>
      </c>
      <c r="L1517" t="s">
        <v>13</v>
      </c>
      <c r="M1517" t="s">
        <v>26</v>
      </c>
      <c r="N1517" t="s">
        <v>27</v>
      </c>
    </row>
    <row r="1518" spans="1:14" x14ac:dyDescent="0.25">
      <c r="A1518">
        <v>12557</v>
      </c>
      <c r="B1518">
        <v>5517</v>
      </c>
      <c r="C1518">
        <f>1/COUNTIF(B:B,pizza_sales[[#This Row],[order_id]])</f>
        <v>1</v>
      </c>
      <c r="D1518" t="s">
        <v>28</v>
      </c>
      <c r="E1518">
        <v>1</v>
      </c>
      <c r="F1518" s="1">
        <v>42067</v>
      </c>
      <c r="G1518" s="1" t="str">
        <f>TEXT(pizza_sales[[#This Row],[order_date]],"dddd")</f>
        <v>Wednesday</v>
      </c>
      <c r="H1518" s="2">
        <v>0.56921296296296298</v>
      </c>
      <c r="I1518">
        <v>12</v>
      </c>
      <c r="J1518">
        <v>12</v>
      </c>
      <c r="K1518" t="s">
        <v>60</v>
      </c>
      <c r="L1518" t="s">
        <v>13</v>
      </c>
      <c r="M1518" t="s">
        <v>29</v>
      </c>
      <c r="N1518" t="s">
        <v>30</v>
      </c>
    </row>
    <row r="1519" spans="1:14" x14ac:dyDescent="0.25">
      <c r="A1519">
        <v>12558</v>
      </c>
      <c r="B1519">
        <v>5518</v>
      </c>
      <c r="C1519">
        <f>1/COUNTIF(B:B,pizza_sales[[#This Row],[order_id]])</f>
        <v>0.5</v>
      </c>
      <c r="D1519" t="s">
        <v>28</v>
      </c>
      <c r="E1519">
        <v>1</v>
      </c>
      <c r="F1519" s="1">
        <v>42067</v>
      </c>
      <c r="G1519" s="1" t="str">
        <f>TEXT(pizza_sales[[#This Row],[order_date]],"dddd")</f>
        <v>Wednesday</v>
      </c>
      <c r="H1519" s="2">
        <v>0.57368055555555553</v>
      </c>
      <c r="I1519">
        <v>12</v>
      </c>
      <c r="J1519">
        <v>12</v>
      </c>
      <c r="K1519" t="s">
        <v>60</v>
      </c>
      <c r="L1519" t="s">
        <v>13</v>
      </c>
      <c r="M1519" t="s">
        <v>29</v>
      </c>
      <c r="N1519" t="s">
        <v>30</v>
      </c>
    </row>
    <row r="1520" spans="1:14" x14ac:dyDescent="0.25">
      <c r="A1520">
        <v>12559</v>
      </c>
      <c r="B1520">
        <v>5518</v>
      </c>
      <c r="C1520">
        <f>1/COUNTIF(B:B,pizza_sales[[#This Row],[order_id]])</f>
        <v>0.5</v>
      </c>
      <c r="D1520" t="s">
        <v>12</v>
      </c>
      <c r="E1520">
        <v>1</v>
      </c>
      <c r="F1520" s="1">
        <v>42067</v>
      </c>
      <c r="G1520" s="1" t="str">
        <f>TEXT(pizza_sales[[#This Row],[order_date]],"dddd")</f>
        <v>Wednesday</v>
      </c>
      <c r="H1520" s="2">
        <v>0.57368055555555553</v>
      </c>
      <c r="I1520">
        <v>13.25</v>
      </c>
      <c r="J1520">
        <v>13.25</v>
      </c>
      <c r="K1520" t="s">
        <v>59</v>
      </c>
      <c r="L1520" t="s">
        <v>13</v>
      </c>
      <c r="M1520" t="s">
        <v>14</v>
      </c>
      <c r="N1520" t="s">
        <v>15</v>
      </c>
    </row>
    <row r="1521" spans="1:14" x14ac:dyDescent="0.25">
      <c r="A1521">
        <v>12560</v>
      </c>
      <c r="B1521">
        <v>5519</v>
      </c>
      <c r="C1521">
        <f>1/COUNTIF(B:B,pizza_sales[[#This Row],[order_id]])</f>
        <v>1</v>
      </c>
      <c r="D1521" t="s">
        <v>46</v>
      </c>
      <c r="E1521">
        <v>1</v>
      </c>
      <c r="F1521" s="1">
        <v>42067</v>
      </c>
      <c r="G1521" s="1" t="str">
        <f>TEXT(pizza_sales[[#This Row],[order_date]],"dddd")</f>
        <v>Wednesday</v>
      </c>
      <c r="H1521" s="2">
        <v>0.57398148148148154</v>
      </c>
      <c r="I1521">
        <v>25.5</v>
      </c>
      <c r="J1521">
        <v>25.5</v>
      </c>
      <c r="K1521" t="s">
        <v>61</v>
      </c>
      <c r="L1521" t="s">
        <v>13</v>
      </c>
      <c r="M1521" t="s">
        <v>21</v>
      </c>
      <c r="N1521" t="s">
        <v>22</v>
      </c>
    </row>
    <row r="1522" spans="1:14" x14ac:dyDescent="0.25">
      <c r="A1522">
        <v>12566</v>
      </c>
      <c r="B1522">
        <v>5524</v>
      </c>
      <c r="C1522">
        <f>1/COUNTIF(B:B,pizza_sales[[#This Row],[order_id]])</f>
        <v>0.25</v>
      </c>
      <c r="D1522" t="s">
        <v>28</v>
      </c>
      <c r="E1522">
        <v>1</v>
      </c>
      <c r="F1522" s="1">
        <v>42067</v>
      </c>
      <c r="G1522" s="1" t="str">
        <f>TEXT(pizza_sales[[#This Row],[order_date]],"dddd")</f>
        <v>Wednesday</v>
      </c>
      <c r="H1522" s="2">
        <v>0.62222222222222223</v>
      </c>
      <c r="I1522">
        <v>12</v>
      </c>
      <c r="J1522">
        <v>12</v>
      </c>
      <c r="K1522" t="s">
        <v>60</v>
      </c>
      <c r="L1522" t="s">
        <v>13</v>
      </c>
      <c r="M1522" t="s">
        <v>29</v>
      </c>
      <c r="N1522" t="s">
        <v>30</v>
      </c>
    </row>
    <row r="1523" spans="1:14" x14ac:dyDescent="0.25">
      <c r="A1523">
        <v>12568</v>
      </c>
      <c r="B1523">
        <v>5524</v>
      </c>
      <c r="C1523">
        <f>1/COUNTIF(B:B,pizza_sales[[#This Row],[order_id]])</f>
        <v>0.25</v>
      </c>
      <c r="D1523" t="s">
        <v>47</v>
      </c>
      <c r="E1523">
        <v>1</v>
      </c>
      <c r="F1523" s="1">
        <v>42067</v>
      </c>
      <c r="G1523" s="1" t="str">
        <f>TEXT(pizza_sales[[#This Row],[order_date]],"dddd")</f>
        <v>Wednesday</v>
      </c>
      <c r="H1523" s="2">
        <v>0.62222222222222223</v>
      </c>
      <c r="I1523">
        <v>16.5</v>
      </c>
      <c r="J1523">
        <v>16.5</v>
      </c>
      <c r="K1523" t="s">
        <v>58</v>
      </c>
      <c r="L1523" t="s">
        <v>13</v>
      </c>
      <c r="M1523" t="s">
        <v>14</v>
      </c>
      <c r="N1523" t="s">
        <v>15</v>
      </c>
    </row>
    <row r="1524" spans="1:14" x14ac:dyDescent="0.25">
      <c r="A1524">
        <v>12569</v>
      </c>
      <c r="B1524">
        <v>5524</v>
      </c>
      <c r="C1524">
        <f>1/COUNTIF(B:B,pizza_sales[[#This Row],[order_id]])</f>
        <v>0.25</v>
      </c>
      <c r="D1524" t="s">
        <v>12</v>
      </c>
      <c r="E1524">
        <v>1</v>
      </c>
      <c r="F1524" s="1">
        <v>42067</v>
      </c>
      <c r="G1524" s="1" t="str">
        <f>TEXT(pizza_sales[[#This Row],[order_date]],"dddd")</f>
        <v>Wednesday</v>
      </c>
      <c r="H1524" s="2">
        <v>0.62222222222222223</v>
      </c>
      <c r="I1524">
        <v>13.25</v>
      </c>
      <c r="J1524">
        <v>13.25</v>
      </c>
      <c r="K1524" t="s">
        <v>59</v>
      </c>
      <c r="L1524" t="s">
        <v>13</v>
      </c>
      <c r="M1524" t="s">
        <v>14</v>
      </c>
      <c r="N1524" t="s">
        <v>15</v>
      </c>
    </row>
    <row r="1525" spans="1:14" x14ac:dyDescent="0.25">
      <c r="A1525">
        <v>12571</v>
      </c>
      <c r="B1525">
        <v>5524</v>
      </c>
      <c r="C1525">
        <f>1/COUNTIF(B:B,pizza_sales[[#This Row],[order_id]])</f>
        <v>0.25</v>
      </c>
      <c r="D1525" t="s">
        <v>43</v>
      </c>
      <c r="E1525">
        <v>1</v>
      </c>
      <c r="F1525" s="1">
        <v>42067</v>
      </c>
      <c r="G1525" s="1" t="str">
        <f>TEXT(pizza_sales[[#This Row],[order_date]],"dddd")</f>
        <v>Wednesday</v>
      </c>
      <c r="H1525" s="2">
        <v>0.62222222222222223</v>
      </c>
      <c r="I1525">
        <v>16.25</v>
      </c>
      <c r="J1525">
        <v>16.25</v>
      </c>
      <c r="K1525" t="s">
        <v>59</v>
      </c>
      <c r="L1525" t="s">
        <v>35</v>
      </c>
      <c r="M1525" t="s">
        <v>40</v>
      </c>
      <c r="N1525" t="s">
        <v>41</v>
      </c>
    </row>
    <row r="1526" spans="1:14" x14ac:dyDescent="0.25">
      <c r="A1526">
        <v>12575</v>
      </c>
      <c r="B1526">
        <v>5525</v>
      </c>
      <c r="C1526">
        <f>1/COUNTIF(B:B,pizza_sales[[#This Row],[order_id]])</f>
        <v>1</v>
      </c>
      <c r="D1526" t="s">
        <v>51</v>
      </c>
      <c r="E1526">
        <v>1</v>
      </c>
      <c r="F1526" s="1">
        <v>42067</v>
      </c>
      <c r="G1526" s="1" t="str">
        <f>TEXT(pizza_sales[[#This Row],[order_date]],"dddd")</f>
        <v>Wednesday</v>
      </c>
      <c r="H1526" s="2">
        <v>0.63880787037037035</v>
      </c>
      <c r="I1526">
        <v>23.65</v>
      </c>
      <c r="J1526">
        <v>23.65</v>
      </c>
      <c r="K1526" t="s">
        <v>60</v>
      </c>
      <c r="L1526" t="s">
        <v>35</v>
      </c>
      <c r="M1526" t="s">
        <v>52</v>
      </c>
      <c r="N1526" t="s">
        <v>53</v>
      </c>
    </row>
    <row r="1527" spans="1:14" x14ac:dyDescent="0.25">
      <c r="A1527">
        <v>12581</v>
      </c>
      <c r="B1527">
        <v>5527</v>
      </c>
      <c r="C1527">
        <f>1/COUNTIF(B:B,pizza_sales[[#This Row],[order_id]])</f>
        <v>1</v>
      </c>
      <c r="D1527" t="s">
        <v>34</v>
      </c>
      <c r="E1527">
        <v>1</v>
      </c>
      <c r="F1527" s="1">
        <v>42067</v>
      </c>
      <c r="G1527" s="1" t="str">
        <f>TEXT(pizza_sales[[#This Row],[order_date]],"dddd")</f>
        <v>Wednesday</v>
      </c>
      <c r="H1527" s="2">
        <v>0.64666666666666661</v>
      </c>
      <c r="I1527">
        <v>16.25</v>
      </c>
      <c r="J1527">
        <v>16.25</v>
      </c>
      <c r="K1527" t="s">
        <v>59</v>
      </c>
      <c r="L1527" t="s">
        <v>35</v>
      </c>
      <c r="M1527" t="s">
        <v>36</v>
      </c>
      <c r="N1527" t="s">
        <v>37</v>
      </c>
    </row>
    <row r="1528" spans="1:14" x14ac:dyDescent="0.25">
      <c r="A1528">
        <v>12587</v>
      </c>
      <c r="B1528">
        <v>5530</v>
      </c>
      <c r="C1528">
        <f>1/COUNTIF(B:B,pizza_sales[[#This Row],[order_id]])</f>
        <v>1</v>
      </c>
      <c r="D1528" t="s">
        <v>20</v>
      </c>
      <c r="E1528">
        <v>1</v>
      </c>
      <c r="F1528" s="1">
        <v>42067</v>
      </c>
      <c r="G1528" s="1" t="str">
        <f>TEXT(pizza_sales[[#This Row],[order_date]],"dddd")</f>
        <v>Wednesday</v>
      </c>
      <c r="H1528" s="2">
        <v>0.68329861111111112</v>
      </c>
      <c r="I1528">
        <v>12</v>
      </c>
      <c r="J1528">
        <v>12</v>
      </c>
      <c r="K1528" t="s">
        <v>60</v>
      </c>
      <c r="L1528" t="s">
        <v>13</v>
      </c>
      <c r="M1528" t="s">
        <v>21</v>
      </c>
      <c r="N1528" t="s">
        <v>22</v>
      </c>
    </row>
    <row r="1529" spans="1:14" x14ac:dyDescent="0.25">
      <c r="A1529">
        <v>12600</v>
      </c>
      <c r="B1529">
        <v>5538</v>
      </c>
      <c r="C1529">
        <f>1/COUNTIF(B:B,pizza_sales[[#This Row],[order_id]])</f>
        <v>1</v>
      </c>
      <c r="D1529" t="s">
        <v>31</v>
      </c>
      <c r="E1529">
        <v>1</v>
      </c>
      <c r="F1529" s="1">
        <v>42067</v>
      </c>
      <c r="G1529" s="1" t="str">
        <f>TEXT(pizza_sales[[#This Row],[order_date]],"dddd")</f>
        <v>Wednesday</v>
      </c>
      <c r="H1529" s="2">
        <v>0.75103009259259257</v>
      </c>
      <c r="I1529">
        <v>12</v>
      </c>
      <c r="J1529">
        <v>12</v>
      </c>
      <c r="K1529" t="s">
        <v>60</v>
      </c>
      <c r="L1529" t="s">
        <v>13</v>
      </c>
      <c r="M1529" t="s">
        <v>32</v>
      </c>
      <c r="N1529" t="s">
        <v>33</v>
      </c>
    </row>
    <row r="1530" spans="1:14" x14ac:dyDescent="0.25">
      <c r="A1530">
        <v>12612</v>
      </c>
      <c r="B1530">
        <v>5542</v>
      </c>
      <c r="C1530">
        <f>1/COUNTIF(B:B,pizza_sales[[#This Row],[order_id]])</f>
        <v>0.5</v>
      </c>
      <c r="D1530" t="s">
        <v>31</v>
      </c>
      <c r="E1530">
        <v>1</v>
      </c>
      <c r="F1530" s="1">
        <v>42067</v>
      </c>
      <c r="G1530" s="1" t="str">
        <f>TEXT(pizza_sales[[#This Row],[order_date]],"dddd")</f>
        <v>Wednesday</v>
      </c>
      <c r="H1530" s="2">
        <v>0.78055555555555556</v>
      </c>
      <c r="I1530">
        <v>12</v>
      </c>
      <c r="J1530">
        <v>12</v>
      </c>
      <c r="K1530" t="s">
        <v>60</v>
      </c>
      <c r="L1530" t="s">
        <v>13</v>
      </c>
      <c r="M1530" t="s">
        <v>32</v>
      </c>
      <c r="N1530" t="s">
        <v>33</v>
      </c>
    </row>
    <row r="1531" spans="1:14" x14ac:dyDescent="0.25">
      <c r="A1531">
        <v>12613</v>
      </c>
      <c r="B1531">
        <v>5542</v>
      </c>
      <c r="C1531">
        <f>1/COUNTIF(B:B,pizza_sales[[#This Row],[order_id]])</f>
        <v>0.5</v>
      </c>
      <c r="D1531" t="s">
        <v>42</v>
      </c>
      <c r="E1531">
        <v>1</v>
      </c>
      <c r="F1531" s="1">
        <v>42067</v>
      </c>
      <c r="G1531" s="1" t="str">
        <f>TEXT(pizza_sales[[#This Row],[order_date]],"dddd")</f>
        <v>Wednesday</v>
      </c>
      <c r="H1531" s="2">
        <v>0.78055555555555556</v>
      </c>
      <c r="I1531">
        <v>12.5</v>
      </c>
      <c r="J1531">
        <v>12.5</v>
      </c>
      <c r="K1531" t="s">
        <v>59</v>
      </c>
      <c r="L1531" t="s">
        <v>13</v>
      </c>
      <c r="M1531" t="s">
        <v>26</v>
      </c>
      <c r="N1531" t="s">
        <v>27</v>
      </c>
    </row>
    <row r="1532" spans="1:14" x14ac:dyDescent="0.25">
      <c r="A1532">
        <v>12617</v>
      </c>
      <c r="B1532">
        <v>5543</v>
      </c>
      <c r="C1532">
        <f>1/COUNTIF(B:B,pizza_sales[[#This Row],[order_id]])</f>
        <v>1</v>
      </c>
      <c r="D1532" t="s">
        <v>39</v>
      </c>
      <c r="E1532">
        <v>1</v>
      </c>
      <c r="F1532" s="1">
        <v>42067</v>
      </c>
      <c r="G1532" s="1" t="str">
        <f>TEXT(pizza_sales[[#This Row],[order_date]],"dddd")</f>
        <v>Wednesday</v>
      </c>
      <c r="H1532" s="2">
        <v>0.78347222222222224</v>
      </c>
      <c r="I1532">
        <v>20.25</v>
      </c>
      <c r="J1532">
        <v>20.25</v>
      </c>
      <c r="K1532" t="s">
        <v>58</v>
      </c>
      <c r="L1532" t="s">
        <v>35</v>
      </c>
      <c r="M1532" t="s">
        <v>40</v>
      </c>
      <c r="N1532" t="s">
        <v>41</v>
      </c>
    </row>
    <row r="1533" spans="1:14" x14ac:dyDescent="0.25">
      <c r="A1533">
        <v>12619</v>
      </c>
      <c r="B1533">
        <v>5544</v>
      </c>
      <c r="C1533">
        <f>1/COUNTIF(B:B,pizza_sales[[#This Row],[order_id]])</f>
        <v>0.5</v>
      </c>
      <c r="D1533" t="s">
        <v>44</v>
      </c>
      <c r="E1533">
        <v>1</v>
      </c>
      <c r="F1533" s="1">
        <v>42067</v>
      </c>
      <c r="G1533" s="1" t="str">
        <f>TEXT(pizza_sales[[#This Row],[order_date]],"dddd")</f>
        <v>Wednesday</v>
      </c>
      <c r="H1533" s="2">
        <v>0.7946064814814815</v>
      </c>
      <c r="I1533">
        <v>9.75</v>
      </c>
      <c r="J1533">
        <v>9.75</v>
      </c>
      <c r="K1533" t="s">
        <v>60</v>
      </c>
      <c r="L1533" t="s">
        <v>13</v>
      </c>
      <c r="M1533" t="s">
        <v>26</v>
      </c>
      <c r="N1533" t="s">
        <v>27</v>
      </c>
    </row>
    <row r="1534" spans="1:14" x14ac:dyDescent="0.25">
      <c r="A1534">
        <v>12621</v>
      </c>
      <c r="B1534">
        <v>5544</v>
      </c>
      <c r="C1534">
        <f>1/COUNTIF(B:B,pizza_sales[[#This Row],[order_id]])</f>
        <v>0.5</v>
      </c>
      <c r="D1534" t="s">
        <v>46</v>
      </c>
      <c r="E1534">
        <v>1</v>
      </c>
      <c r="F1534" s="1">
        <v>42067</v>
      </c>
      <c r="G1534" s="1" t="str">
        <f>TEXT(pizza_sales[[#This Row],[order_date]],"dddd")</f>
        <v>Wednesday</v>
      </c>
      <c r="H1534" s="2">
        <v>0.7946064814814815</v>
      </c>
      <c r="I1534">
        <v>25.5</v>
      </c>
      <c r="J1534">
        <v>25.5</v>
      </c>
      <c r="K1534" t="s">
        <v>61</v>
      </c>
      <c r="L1534" t="s">
        <v>13</v>
      </c>
      <c r="M1534" t="s">
        <v>21</v>
      </c>
      <c r="N1534" t="s">
        <v>22</v>
      </c>
    </row>
    <row r="1535" spans="1:14" x14ac:dyDescent="0.25">
      <c r="A1535">
        <v>12622</v>
      </c>
      <c r="B1535">
        <v>5545</v>
      </c>
      <c r="C1535">
        <f>1/COUNTIF(B:B,pizza_sales[[#This Row],[order_id]])</f>
        <v>1</v>
      </c>
      <c r="D1535" t="s">
        <v>46</v>
      </c>
      <c r="E1535">
        <v>1</v>
      </c>
      <c r="F1535" s="1">
        <v>42067</v>
      </c>
      <c r="G1535" s="1" t="str">
        <f>TEXT(pizza_sales[[#This Row],[order_date]],"dddd")</f>
        <v>Wednesday</v>
      </c>
      <c r="H1535" s="2">
        <v>0.7952893518518519</v>
      </c>
      <c r="I1535">
        <v>25.5</v>
      </c>
      <c r="J1535">
        <v>25.5</v>
      </c>
      <c r="K1535" t="s">
        <v>61</v>
      </c>
      <c r="L1535" t="s">
        <v>13</v>
      </c>
      <c r="M1535" t="s">
        <v>21</v>
      </c>
      <c r="N1535" t="s">
        <v>22</v>
      </c>
    </row>
    <row r="1536" spans="1:14" x14ac:dyDescent="0.25">
      <c r="A1536">
        <v>12624</v>
      </c>
      <c r="B1536">
        <v>5546</v>
      </c>
      <c r="C1536">
        <f>1/COUNTIF(B:B,pizza_sales[[#This Row],[order_id]])</f>
        <v>1</v>
      </c>
      <c r="D1536" t="s">
        <v>42</v>
      </c>
      <c r="E1536">
        <v>1</v>
      </c>
      <c r="F1536" s="1">
        <v>42067</v>
      </c>
      <c r="G1536" s="1" t="str">
        <f>TEXT(pizza_sales[[#This Row],[order_date]],"dddd")</f>
        <v>Wednesday</v>
      </c>
      <c r="H1536" s="2">
        <v>0.80987268518518518</v>
      </c>
      <c r="I1536">
        <v>12.5</v>
      </c>
      <c r="J1536">
        <v>12.5</v>
      </c>
      <c r="K1536" t="s">
        <v>59</v>
      </c>
      <c r="L1536" t="s">
        <v>13</v>
      </c>
      <c r="M1536" t="s">
        <v>26</v>
      </c>
      <c r="N1536" t="s">
        <v>27</v>
      </c>
    </row>
    <row r="1537" spans="1:14" x14ac:dyDescent="0.25">
      <c r="A1537">
        <v>12627</v>
      </c>
      <c r="B1537">
        <v>5547</v>
      </c>
      <c r="C1537">
        <f>1/COUNTIF(B:B,pizza_sales[[#This Row],[order_id]])</f>
        <v>1</v>
      </c>
      <c r="D1537" t="s">
        <v>34</v>
      </c>
      <c r="E1537">
        <v>1</v>
      </c>
      <c r="F1537" s="1">
        <v>42067</v>
      </c>
      <c r="G1537" s="1" t="str">
        <f>TEXT(pizza_sales[[#This Row],[order_date]],"dddd")</f>
        <v>Wednesday</v>
      </c>
      <c r="H1537" s="2">
        <v>0.81067129629629631</v>
      </c>
      <c r="I1537">
        <v>16.25</v>
      </c>
      <c r="J1537">
        <v>16.25</v>
      </c>
      <c r="K1537" t="s">
        <v>59</v>
      </c>
      <c r="L1537" t="s">
        <v>35</v>
      </c>
      <c r="M1537" t="s">
        <v>36</v>
      </c>
      <c r="N1537" t="s">
        <v>37</v>
      </c>
    </row>
    <row r="1538" spans="1:14" x14ac:dyDescent="0.25">
      <c r="A1538">
        <v>12629</v>
      </c>
      <c r="B1538">
        <v>5548</v>
      </c>
      <c r="C1538">
        <f>1/COUNTIF(B:B,pizza_sales[[#This Row],[order_id]])</f>
        <v>0.33333333333333331</v>
      </c>
      <c r="D1538" t="s">
        <v>47</v>
      </c>
      <c r="E1538">
        <v>1</v>
      </c>
      <c r="F1538" s="1">
        <v>42067</v>
      </c>
      <c r="G1538" s="1" t="str">
        <f>TEXT(pizza_sales[[#This Row],[order_date]],"dddd")</f>
        <v>Wednesday</v>
      </c>
      <c r="H1538" s="2">
        <v>0.81289351851851854</v>
      </c>
      <c r="I1538">
        <v>16.5</v>
      </c>
      <c r="J1538">
        <v>16.5</v>
      </c>
      <c r="K1538" t="s">
        <v>58</v>
      </c>
      <c r="L1538" t="s">
        <v>13</v>
      </c>
      <c r="M1538" t="s">
        <v>14</v>
      </c>
      <c r="N1538" t="s">
        <v>15</v>
      </c>
    </row>
    <row r="1539" spans="1:14" x14ac:dyDescent="0.25">
      <c r="A1539">
        <v>12630</v>
      </c>
      <c r="B1539">
        <v>5548</v>
      </c>
      <c r="C1539">
        <f>1/COUNTIF(B:B,pizza_sales[[#This Row],[order_id]])</f>
        <v>0.33333333333333331</v>
      </c>
      <c r="D1539" t="s">
        <v>39</v>
      </c>
      <c r="E1539">
        <v>1</v>
      </c>
      <c r="F1539" s="1">
        <v>42067</v>
      </c>
      <c r="G1539" s="1" t="str">
        <f>TEXT(pizza_sales[[#This Row],[order_date]],"dddd")</f>
        <v>Wednesday</v>
      </c>
      <c r="H1539" s="2">
        <v>0.81289351851851854</v>
      </c>
      <c r="I1539">
        <v>20.25</v>
      </c>
      <c r="J1539">
        <v>20.25</v>
      </c>
      <c r="K1539" t="s">
        <v>58</v>
      </c>
      <c r="L1539" t="s">
        <v>35</v>
      </c>
      <c r="M1539" t="s">
        <v>40</v>
      </c>
      <c r="N1539" t="s">
        <v>41</v>
      </c>
    </row>
    <row r="1540" spans="1:14" x14ac:dyDescent="0.25">
      <c r="A1540">
        <v>12631</v>
      </c>
      <c r="B1540">
        <v>5548</v>
      </c>
      <c r="C1540">
        <f>1/COUNTIF(B:B,pizza_sales[[#This Row],[order_id]])</f>
        <v>0.33333333333333331</v>
      </c>
      <c r="D1540" t="s">
        <v>43</v>
      </c>
      <c r="E1540">
        <v>1</v>
      </c>
      <c r="F1540" s="1">
        <v>42067</v>
      </c>
      <c r="G1540" s="1" t="str">
        <f>TEXT(pizza_sales[[#This Row],[order_date]],"dddd")</f>
        <v>Wednesday</v>
      </c>
      <c r="H1540" s="2">
        <v>0.81289351851851854</v>
      </c>
      <c r="I1540">
        <v>16.25</v>
      </c>
      <c r="J1540">
        <v>16.25</v>
      </c>
      <c r="K1540" t="s">
        <v>59</v>
      </c>
      <c r="L1540" t="s">
        <v>35</v>
      </c>
      <c r="M1540" t="s">
        <v>40</v>
      </c>
      <c r="N1540" t="s">
        <v>41</v>
      </c>
    </row>
    <row r="1541" spans="1:14" x14ac:dyDescent="0.25">
      <c r="A1541">
        <v>12635</v>
      </c>
      <c r="B1541">
        <v>5551</v>
      </c>
      <c r="C1541">
        <f>1/COUNTIF(B:B,pizza_sales[[#This Row],[order_id]])</f>
        <v>1</v>
      </c>
      <c r="D1541" t="s">
        <v>39</v>
      </c>
      <c r="E1541">
        <v>1</v>
      </c>
      <c r="F1541" s="1">
        <v>42067</v>
      </c>
      <c r="G1541" s="1" t="str">
        <f>TEXT(pizza_sales[[#This Row],[order_date]],"dddd")</f>
        <v>Wednesday</v>
      </c>
      <c r="H1541" s="2">
        <v>0.84403935185185186</v>
      </c>
      <c r="I1541">
        <v>20.25</v>
      </c>
      <c r="J1541">
        <v>20.25</v>
      </c>
      <c r="K1541" t="s">
        <v>58</v>
      </c>
      <c r="L1541" t="s">
        <v>35</v>
      </c>
      <c r="M1541" t="s">
        <v>40</v>
      </c>
      <c r="N1541" t="s">
        <v>41</v>
      </c>
    </row>
    <row r="1542" spans="1:14" x14ac:dyDescent="0.25">
      <c r="A1542">
        <v>12641</v>
      </c>
      <c r="B1542">
        <v>5554</v>
      </c>
      <c r="C1542">
        <f>1/COUNTIF(B:B,pizza_sales[[#This Row],[order_id]])</f>
        <v>0.5</v>
      </c>
      <c r="D1542" t="s">
        <v>47</v>
      </c>
      <c r="E1542">
        <v>2</v>
      </c>
      <c r="F1542" s="1">
        <v>42067</v>
      </c>
      <c r="G1542" s="1" t="str">
        <f>TEXT(pizza_sales[[#This Row],[order_date]],"dddd")</f>
        <v>Wednesday</v>
      </c>
      <c r="H1542" s="2">
        <v>0.85334490740740743</v>
      </c>
      <c r="I1542">
        <v>16.5</v>
      </c>
      <c r="J1542">
        <v>33</v>
      </c>
      <c r="K1542" t="s">
        <v>58</v>
      </c>
      <c r="L1542" t="s">
        <v>13</v>
      </c>
      <c r="M1542" t="s">
        <v>14</v>
      </c>
      <c r="N1542" t="s">
        <v>15</v>
      </c>
    </row>
    <row r="1543" spans="1:14" x14ac:dyDescent="0.25">
      <c r="A1543">
        <v>12642</v>
      </c>
      <c r="B1543">
        <v>5554</v>
      </c>
      <c r="C1543">
        <f>1/COUNTIF(B:B,pizza_sales[[#This Row],[order_id]])</f>
        <v>0.5</v>
      </c>
      <c r="D1543" t="s">
        <v>45</v>
      </c>
      <c r="E1543">
        <v>1</v>
      </c>
      <c r="F1543" s="1">
        <v>42067</v>
      </c>
      <c r="G1543" s="1" t="str">
        <f>TEXT(pizza_sales[[#This Row],[order_date]],"dddd")</f>
        <v>Wednesday</v>
      </c>
      <c r="H1543" s="2">
        <v>0.85334490740740743</v>
      </c>
      <c r="I1543">
        <v>10.5</v>
      </c>
      <c r="J1543">
        <v>10.5</v>
      </c>
      <c r="K1543" t="s">
        <v>60</v>
      </c>
      <c r="L1543" t="s">
        <v>13</v>
      </c>
      <c r="M1543" t="s">
        <v>14</v>
      </c>
      <c r="N1543" t="s">
        <v>15</v>
      </c>
    </row>
    <row r="1544" spans="1:14" x14ac:dyDescent="0.25">
      <c r="A1544">
        <v>12649</v>
      </c>
      <c r="B1544">
        <v>5557</v>
      </c>
      <c r="C1544">
        <f>1/COUNTIF(B:B,pizza_sales[[#This Row],[order_id]])</f>
        <v>1</v>
      </c>
      <c r="D1544" t="s">
        <v>38</v>
      </c>
      <c r="E1544">
        <v>1</v>
      </c>
      <c r="F1544" s="1">
        <v>42067</v>
      </c>
      <c r="G1544" s="1" t="str">
        <f>TEXT(pizza_sales[[#This Row],[order_date]],"dddd")</f>
        <v>Wednesday</v>
      </c>
      <c r="H1544" s="2">
        <v>0.87891203703703702</v>
      </c>
      <c r="I1544">
        <v>20.5</v>
      </c>
      <c r="J1544">
        <v>20.5</v>
      </c>
      <c r="K1544" t="s">
        <v>58</v>
      </c>
      <c r="L1544" t="s">
        <v>13</v>
      </c>
      <c r="M1544" t="s">
        <v>32</v>
      </c>
      <c r="N1544" t="s">
        <v>33</v>
      </c>
    </row>
    <row r="1545" spans="1:14" x14ac:dyDescent="0.25">
      <c r="A1545">
        <v>12651</v>
      </c>
      <c r="B1545">
        <v>5558</v>
      </c>
      <c r="C1545">
        <f>1/COUNTIF(B:B,pizza_sales[[#This Row],[order_id]])</f>
        <v>1</v>
      </c>
      <c r="D1545" t="s">
        <v>12</v>
      </c>
      <c r="E1545">
        <v>1</v>
      </c>
      <c r="F1545" s="1">
        <v>42067</v>
      </c>
      <c r="G1545" s="1" t="str">
        <f>TEXT(pizza_sales[[#This Row],[order_date]],"dddd")</f>
        <v>Wednesday</v>
      </c>
      <c r="H1545" s="2">
        <v>0.90836805555555555</v>
      </c>
      <c r="I1545">
        <v>13.25</v>
      </c>
      <c r="J1545">
        <v>13.25</v>
      </c>
      <c r="K1545" t="s">
        <v>59</v>
      </c>
      <c r="L1545" t="s">
        <v>13</v>
      </c>
      <c r="M1545" t="s">
        <v>14</v>
      </c>
      <c r="N1545" t="s">
        <v>15</v>
      </c>
    </row>
    <row r="1546" spans="1:14" x14ac:dyDescent="0.25">
      <c r="A1546">
        <v>12653</v>
      </c>
      <c r="B1546">
        <v>5559</v>
      </c>
      <c r="C1546">
        <f>1/COUNTIF(B:B,pizza_sales[[#This Row],[order_id]])</f>
        <v>1</v>
      </c>
      <c r="D1546" t="s">
        <v>48</v>
      </c>
      <c r="E1546">
        <v>1</v>
      </c>
      <c r="F1546" s="1">
        <v>42067</v>
      </c>
      <c r="G1546" s="1" t="str">
        <f>TEXT(pizza_sales[[#This Row],[order_date]],"dddd")</f>
        <v>Wednesday</v>
      </c>
      <c r="H1546" s="2">
        <v>0.91336805555555556</v>
      </c>
      <c r="I1546">
        <v>12.25</v>
      </c>
      <c r="J1546">
        <v>12.25</v>
      </c>
      <c r="K1546" t="s">
        <v>60</v>
      </c>
      <c r="L1546" t="s">
        <v>35</v>
      </c>
      <c r="M1546" t="s">
        <v>40</v>
      </c>
      <c r="N1546" t="s">
        <v>41</v>
      </c>
    </row>
    <row r="1547" spans="1:14" x14ac:dyDescent="0.25">
      <c r="A1547">
        <v>12659</v>
      </c>
      <c r="B1547">
        <v>5561</v>
      </c>
      <c r="C1547">
        <f>1/COUNTIF(B:B,pizza_sales[[#This Row],[order_id]])</f>
        <v>1</v>
      </c>
      <c r="D1547" t="s">
        <v>12</v>
      </c>
      <c r="E1547">
        <v>1</v>
      </c>
      <c r="F1547" s="1">
        <v>42067</v>
      </c>
      <c r="G1547" s="1" t="str">
        <f>TEXT(pizza_sales[[#This Row],[order_date]],"dddd")</f>
        <v>Wednesday</v>
      </c>
      <c r="H1547" s="2">
        <v>0.9228587962962963</v>
      </c>
      <c r="I1547">
        <v>13.25</v>
      </c>
      <c r="J1547">
        <v>13.25</v>
      </c>
      <c r="K1547" t="s">
        <v>59</v>
      </c>
      <c r="L1547" t="s">
        <v>13</v>
      </c>
      <c r="M1547" t="s">
        <v>14</v>
      </c>
      <c r="N1547" t="s">
        <v>15</v>
      </c>
    </row>
    <row r="1548" spans="1:14" x14ac:dyDescent="0.25">
      <c r="A1548">
        <v>12663</v>
      </c>
      <c r="B1548">
        <v>5562</v>
      </c>
      <c r="C1548">
        <f>1/COUNTIF(B:B,pizza_sales[[#This Row],[order_id]])</f>
        <v>1</v>
      </c>
      <c r="D1548" t="s">
        <v>44</v>
      </c>
      <c r="E1548">
        <v>1</v>
      </c>
      <c r="F1548" s="1">
        <v>42067</v>
      </c>
      <c r="G1548" s="1" t="str">
        <f>TEXT(pizza_sales[[#This Row],[order_date]],"dddd")</f>
        <v>Wednesday</v>
      </c>
      <c r="H1548" s="2">
        <v>0.92532407407407402</v>
      </c>
      <c r="I1548">
        <v>9.75</v>
      </c>
      <c r="J1548">
        <v>9.75</v>
      </c>
      <c r="K1548" t="s">
        <v>60</v>
      </c>
      <c r="L1548" t="s">
        <v>13</v>
      </c>
      <c r="M1548" t="s">
        <v>26</v>
      </c>
      <c r="N1548" t="s">
        <v>27</v>
      </c>
    </row>
    <row r="1549" spans="1:14" x14ac:dyDescent="0.25">
      <c r="A1549">
        <v>12665</v>
      </c>
      <c r="B1549">
        <v>5563</v>
      </c>
      <c r="C1549">
        <f>1/COUNTIF(B:B,pizza_sales[[#This Row],[order_id]])</f>
        <v>1</v>
      </c>
      <c r="D1549" t="s">
        <v>28</v>
      </c>
      <c r="E1549">
        <v>1</v>
      </c>
      <c r="F1549" s="1">
        <v>42067</v>
      </c>
      <c r="G1549" s="1" t="str">
        <f>TEXT(pizza_sales[[#This Row],[order_date]],"dddd")</f>
        <v>Wednesday</v>
      </c>
      <c r="H1549" s="2">
        <v>0.94475694444444447</v>
      </c>
      <c r="I1549">
        <v>12</v>
      </c>
      <c r="J1549">
        <v>12</v>
      </c>
      <c r="K1549" t="s">
        <v>60</v>
      </c>
      <c r="L1549" t="s">
        <v>13</v>
      </c>
      <c r="M1549" t="s">
        <v>29</v>
      </c>
      <c r="N1549" t="s">
        <v>30</v>
      </c>
    </row>
    <row r="1550" spans="1:14" x14ac:dyDescent="0.25">
      <c r="A1550">
        <v>12666</v>
      </c>
      <c r="B1550">
        <v>5564</v>
      </c>
      <c r="C1550">
        <f>1/COUNTIF(B:B,pizza_sales[[#This Row],[order_id]])</f>
        <v>0.5</v>
      </c>
      <c r="D1550" t="s">
        <v>34</v>
      </c>
      <c r="E1550">
        <v>1</v>
      </c>
      <c r="F1550" s="1">
        <v>42098</v>
      </c>
      <c r="G1550" s="1" t="str">
        <f>TEXT(pizza_sales[[#This Row],[order_date]],"dddd")</f>
        <v>Saturday</v>
      </c>
      <c r="H1550" s="2">
        <v>0.44657407407407407</v>
      </c>
      <c r="I1550">
        <v>16.25</v>
      </c>
      <c r="J1550">
        <v>16.25</v>
      </c>
      <c r="K1550" t="s">
        <v>59</v>
      </c>
      <c r="L1550" t="s">
        <v>35</v>
      </c>
      <c r="M1550" t="s">
        <v>36</v>
      </c>
      <c r="N1550" t="s">
        <v>37</v>
      </c>
    </row>
    <row r="1551" spans="1:14" x14ac:dyDescent="0.25">
      <c r="A1551">
        <v>12668</v>
      </c>
      <c r="B1551">
        <v>5564</v>
      </c>
      <c r="C1551">
        <f>1/COUNTIF(B:B,pizza_sales[[#This Row],[order_id]])</f>
        <v>0.5</v>
      </c>
      <c r="D1551" t="s">
        <v>38</v>
      </c>
      <c r="E1551">
        <v>1</v>
      </c>
      <c r="F1551" s="1">
        <v>42098</v>
      </c>
      <c r="G1551" s="1" t="str">
        <f>TEXT(pizza_sales[[#This Row],[order_date]],"dddd")</f>
        <v>Saturday</v>
      </c>
      <c r="H1551" s="2">
        <v>0.44657407407407407</v>
      </c>
      <c r="I1551">
        <v>20.5</v>
      </c>
      <c r="J1551">
        <v>20.5</v>
      </c>
      <c r="K1551" t="s">
        <v>58</v>
      </c>
      <c r="L1551" t="s">
        <v>13</v>
      </c>
      <c r="M1551" t="s">
        <v>32</v>
      </c>
      <c r="N1551" t="s">
        <v>33</v>
      </c>
    </row>
    <row r="1552" spans="1:14" x14ac:dyDescent="0.25">
      <c r="A1552">
        <v>12673</v>
      </c>
      <c r="B1552">
        <v>5566</v>
      </c>
      <c r="C1552">
        <f>1/COUNTIF(B:B,pizza_sales[[#This Row],[order_id]])</f>
        <v>1</v>
      </c>
      <c r="D1552" t="s">
        <v>20</v>
      </c>
      <c r="E1552">
        <v>1</v>
      </c>
      <c r="F1552" s="1">
        <v>42098</v>
      </c>
      <c r="G1552" s="1" t="str">
        <f>TEXT(pizza_sales[[#This Row],[order_date]],"dddd")</f>
        <v>Saturday</v>
      </c>
      <c r="H1552" s="2">
        <v>0.51430555555555557</v>
      </c>
      <c r="I1552">
        <v>12</v>
      </c>
      <c r="J1552">
        <v>12</v>
      </c>
      <c r="K1552" t="s">
        <v>60</v>
      </c>
      <c r="L1552" t="s">
        <v>13</v>
      </c>
      <c r="M1552" t="s">
        <v>21</v>
      </c>
      <c r="N1552" t="s">
        <v>22</v>
      </c>
    </row>
    <row r="1553" spans="1:14" x14ac:dyDescent="0.25">
      <c r="A1553">
        <v>12679</v>
      </c>
      <c r="B1553">
        <v>5572</v>
      </c>
      <c r="C1553">
        <f>1/COUNTIF(B:B,pizza_sales[[#This Row],[order_id]])</f>
        <v>0.5</v>
      </c>
      <c r="D1553" t="s">
        <v>38</v>
      </c>
      <c r="E1553">
        <v>1</v>
      </c>
      <c r="F1553" s="1">
        <v>42098</v>
      </c>
      <c r="G1553" s="1" t="str">
        <f>TEXT(pizza_sales[[#This Row],[order_date]],"dddd")</f>
        <v>Saturday</v>
      </c>
      <c r="H1553" s="2">
        <v>0.56190972222222224</v>
      </c>
      <c r="I1553">
        <v>20.5</v>
      </c>
      <c r="J1553">
        <v>20.5</v>
      </c>
      <c r="K1553" t="s">
        <v>58</v>
      </c>
      <c r="L1553" t="s">
        <v>13</v>
      </c>
      <c r="M1553" t="s">
        <v>32</v>
      </c>
      <c r="N1553" t="s">
        <v>33</v>
      </c>
    </row>
    <row r="1554" spans="1:14" x14ac:dyDescent="0.25">
      <c r="A1554">
        <v>12681</v>
      </c>
      <c r="B1554">
        <v>5572</v>
      </c>
      <c r="C1554">
        <f>1/COUNTIF(B:B,pizza_sales[[#This Row],[order_id]])</f>
        <v>0.5</v>
      </c>
      <c r="D1554" t="s">
        <v>46</v>
      </c>
      <c r="E1554">
        <v>1</v>
      </c>
      <c r="F1554" s="1">
        <v>42098</v>
      </c>
      <c r="G1554" s="1" t="str">
        <f>TEXT(pizza_sales[[#This Row],[order_date]],"dddd")</f>
        <v>Saturday</v>
      </c>
      <c r="H1554" s="2">
        <v>0.56190972222222224</v>
      </c>
      <c r="I1554">
        <v>25.5</v>
      </c>
      <c r="J1554">
        <v>25.5</v>
      </c>
      <c r="K1554" t="s">
        <v>61</v>
      </c>
      <c r="L1554" t="s">
        <v>13</v>
      </c>
      <c r="M1554" t="s">
        <v>21</v>
      </c>
      <c r="N1554" t="s">
        <v>22</v>
      </c>
    </row>
    <row r="1555" spans="1:14" x14ac:dyDescent="0.25">
      <c r="A1555">
        <v>12684</v>
      </c>
      <c r="B1555">
        <v>5573</v>
      </c>
      <c r="C1555">
        <f>1/COUNTIF(B:B,pizza_sales[[#This Row],[order_id]])</f>
        <v>1</v>
      </c>
      <c r="D1555" t="s">
        <v>20</v>
      </c>
      <c r="E1555">
        <v>1</v>
      </c>
      <c r="F1555" s="1">
        <v>42098</v>
      </c>
      <c r="G1555" s="1" t="str">
        <f>TEXT(pizza_sales[[#This Row],[order_date]],"dddd")</f>
        <v>Saturday</v>
      </c>
      <c r="H1555" s="2">
        <v>0.56832175925925921</v>
      </c>
      <c r="I1555">
        <v>12</v>
      </c>
      <c r="J1555">
        <v>12</v>
      </c>
      <c r="K1555" t="s">
        <v>60</v>
      </c>
      <c r="L1555" t="s">
        <v>13</v>
      </c>
      <c r="M1555" t="s">
        <v>21</v>
      </c>
      <c r="N1555" t="s">
        <v>22</v>
      </c>
    </row>
    <row r="1556" spans="1:14" x14ac:dyDescent="0.25">
      <c r="A1556">
        <v>12685</v>
      </c>
      <c r="B1556">
        <v>5574</v>
      </c>
      <c r="C1556">
        <f>1/COUNTIF(B:B,pizza_sales[[#This Row],[order_id]])</f>
        <v>1</v>
      </c>
      <c r="D1556" t="s">
        <v>45</v>
      </c>
      <c r="E1556">
        <v>1</v>
      </c>
      <c r="F1556" s="1">
        <v>42098</v>
      </c>
      <c r="G1556" s="1" t="str">
        <f>TEXT(pizza_sales[[#This Row],[order_date]],"dddd")</f>
        <v>Saturday</v>
      </c>
      <c r="H1556" s="2">
        <v>0.57339120370370367</v>
      </c>
      <c r="I1556">
        <v>10.5</v>
      </c>
      <c r="J1556">
        <v>10.5</v>
      </c>
      <c r="K1556" t="s">
        <v>60</v>
      </c>
      <c r="L1556" t="s">
        <v>13</v>
      </c>
      <c r="M1556" t="s">
        <v>14</v>
      </c>
      <c r="N1556" t="s">
        <v>15</v>
      </c>
    </row>
    <row r="1557" spans="1:14" x14ac:dyDescent="0.25">
      <c r="A1557">
        <v>12692</v>
      </c>
      <c r="B1557">
        <v>5577</v>
      </c>
      <c r="C1557">
        <f>1/COUNTIF(B:B,pizza_sales[[#This Row],[order_id]])</f>
        <v>1</v>
      </c>
      <c r="D1557" t="s">
        <v>24</v>
      </c>
      <c r="E1557">
        <v>1</v>
      </c>
      <c r="F1557" s="1">
        <v>42098</v>
      </c>
      <c r="G1557" s="1" t="str">
        <f>TEXT(pizza_sales[[#This Row],[order_date]],"dddd")</f>
        <v>Saturday</v>
      </c>
      <c r="H1557" s="2">
        <v>0.58104166666666668</v>
      </c>
      <c r="I1557">
        <v>20.25</v>
      </c>
      <c r="J1557">
        <v>20.25</v>
      </c>
      <c r="K1557" t="s">
        <v>58</v>
      </c>
      <c r="L1557" t="s">
        <v>17</v>
      </c>
      <c r="M1557" t="s">
        <v>18</v>
      </c>
      <c r="N1557" t="s">
        <v>19</v>
      </c>
    </row>
    <row r="1558" spans="1:14" x14ac:dyDescent="0.25">
      <c r="A1558">
        <v>12700</v>
      </c>
      <c r="B1558">
        <v>5579</v>
      </c>
      <c r="C1558">
        <f>1/COUNTIF(B:B,pizza_sales[[#This Row],[order_id]])</f>
        <v>1</v>
      </c>
      <c r="D1558" t="s">
        <v>45</v>
      </c>
      <c r="E1558">
        <v>1</v>
      </c>
      <c r="F1558" s="1">
        <v>42098</v>
      </c>
      <c r="G1558" s="1" t="str">
        <f>TEXT(pizza_sales[[#This Row],[order_date]],"dddd")</f>
        <v>Saturday</v>
      </c>
      <c r="H1558" s="2">
        <v>0.58616898148148144</v>
      </c>
      <c r="I1558">
        <v>10.5</v>
      </c>
      <c r="J1558">
        <v>10.5</v>
      </c>
      <c r="K1558" t="s">
        <v>60</v>
      </c>
      <c r="L1558" t="s">
        <v>13</v>
      </c>
      <c r="M1558" t="s">
        <v>14</v>
      </c>
      <c r="N1558" t="s">
        <v>15</v>
      </c>
    </row>
    <row r="1559" spans="1:14" x14ac:dyDescent="0.25">
      <c r="A1559">
        <v>12709</v>
      </c>
      <c r="B1559">
        <v>5580</v>
      </c>
      <c r="C1559">
        <f>1/COUNTIF(B:B,pizza_sales[[#This Row],[order_id]])</f>
        <v>0.33333333333333331</v>
      </c>
      <c r="D1559" t="s">
        <v>28</v>
      </c>
      <c r="E1559">
        <v>2</v>
      </c>
      <c r="F1559" s="1">
        <v>42098</v>
      </c>
      <c r="G1559" s="1" t="str">
        <f>TEXT(pizza_sales[[#This Row],[order_date]],"dddd")</f>
        <v>Saturday</v>
      </c>
      <c r="H1559" s="2">
        <v>0.58967592592592588</v>
      </c>
      <c r="I1559">
        <v>12</v>
      </c>
      <c r="J1559">
        <v>24</v>
      </c>
      <c r="K1559" t="s">
        <v>60</v>
      </c>
      <c r="L1559" t="s">
        <v>13</v>
      </c>
      <c r="M1559" t="s">
        <v>29</v>
      </c>
      <c r="N1559" t="s">
        <v>30</v>
      </c>
    </row>
    <row r="1560" spans="1:14" x14ac:dyDescent="0.25">
      <c r="A1560">
        <v>12711</v>
      </c>
      <c r="B1560">
        <v>5580</v>
      </c>
      <c r="C1560">
        <f>1/COUNTIF(B:B,pizza_sales[[#This Row],[order_id]])</f>
        <v>0.33333333333333331</v>
      </c>
      <c r="D1560" t="s">
        <v>38</v>
      </c>
      <c r="E1560">
        <v>1</v>
      </c>
      <c r="F1560" s="1">
        <v>42098</v>
      </c>
      <c r="G1560" s="1" t="str">
        <f>TEXT(pizza_sales[[#This Row],[order_date]],"dddd")</f>
        <v>Saturday</v>
      </c>
      <c r="H1560" s="2">
        <v>0.58967592592592588</v>
      </c>
      <c r="I1560">
        <v>20.5</v>
      </c>
      <c r="J1560">
        <v>20.5</v>
      </c>
      <c r="K1560" t="s">
        <v>58</v>
      </c>
      <c r="L1560" t="s">
        <v>13</v>
      </c>
      <c r="M1560" t="s">
        <v>32</v>
      </c>
      <c r="N1560" t="s">
        <v>33</v>
      </c>
    </row>
    <row r="1561" spans="1:14" x14ac:dyDescent="0.25">
      <c r="A1561">
        <v>12713</v>
      </c>
      <c r="B1561">
        <v>5580</v>
      </c>
      <c r="C1561">
        <f>1/COUNTIF(B:B,pizza_sales[[#This Row],[order_id]])</f>
        <v>0.33333333333333331</v>
      </c>
      <c r="D1561" t="s">
        <v>43</v>
      </c>
      <c r="E1561">
        <v>1</v>
      </c>
      <c r="F1561" s="1">
        <v>42098</v>
      </c>
      <c r="G1561" s="1" t="str">
        <f>TEXT(pizza_sales[[#This Row],[order_date]],"dddd")</f>
        <v>Saturday</v>
      </c>
      <c r="H1561" s="2">
        <v>0.58967592592592588</v>
      </c>
      <c r="I1561">
        <v>16.25</v>
      </c>
      <c r="J1561">
        <v>16.25</v>
      </c>
      <c r="K1561" t="s">
        <v>59</v>
      </c>
      <c r="L1561" t="s">
        <v>35</v>
      </c>
      <c r="M1561" t="s">
        <v>40</v>
      </c>
      <c r="N1561" t="s">
        <v>41</v>
      </c>
    </row>
    <row r="1562" spans="1:14" x14ac:dyDescent="0.25">
      <c r="A1562">
        <v>12719</v>
      </c>
      <c r="B1562">
        <v>5582</v>
      </c>
      <c r="C1562">
        <f>1/COUNTIF(B:B,pizza_sales[[#This Row],[order_id]])</f>
        <v>1</v>
      </c>
      <c r="D1562" t="s">
        <v>45</v>
      </c>
      <c r="E1562">
        <v>1</v>
      </c>
      <c r="F1562" s="1">
        <v>42098</v>
      </c>
      <c r="G1562" s="1" t="str">
        <f>TEXT(pizza_sales[[#This Row],[order_date]],"dddd")</f>
        <v>Saturday</v>
      </c>
      <c r="H1562" s="2">
        <v>0.60577546296296292</v>
      </c>
      <c r="I1562">
        <v>10.5</v>
      </c>
      <c r="J1562">
        <v>10.5</v>
      </c>
      <c r="K1562" t="s">
        <v>60</v>
      </c>
      <c r="L1562" t="s">
        <v>13</v>
      </c>
      <c r="M1562" t="s">
        <v>14</v>
      </c>
      <c r="N1562" t="s">
        <v>15</v>
      </c>
    </row>
    <row r="1563" spans="1:14" x14ac:dyDescent="0.25">
      <c r="A1563">
        <v>12721</v>
      </c>
      <c r="B1563">
        <v>5584</v>
      </c>
      <c r="C1563">
        <f>1/COUNTIF(B:B,pizza_sales[[#This Row],[order_id]])</f>
        <v>1</v>
      </c>
      <c r="D1563" t="s">
        <v>49</v>
      </c>
      <c r="E1563">
        <v>1</v>
      </c>
      <c r="F1563" s="1">
        <v>42098</v>
      </c>
      <c r="G1563" s="1" t="str">
        <f>TEXT(pizza_sales[[#This Row],[order_date]],"dddd")</f>
        <v>Saturday</v>
      </c>
      <c r="H1563" s="2">
        <v>0.61792824074074071</v>
      </c>
      <c r="I1563">
        <v>16</v>
      </c>
      <c r="J1563">
        <v>16</v>
      </c>
      <c r="K1563" t="s">
        <v>59</v>
      </c>
      <c r="L1563" t="s">
        <v>13</v>
      </c>
      <c r="M1563" t="s">
        <v>21</v>
      </c>
      <c r="N1563" t="s">
        <v>22</v>
      </c>
    </row>
    <row r="1564" spans="1:14" x14ac:dyDescent="0.25">
      <c r="A1564">
        <v>12723</v>
      </c>
      <c r="B1564">
        <v>5585</v>
      </c>
      <c r="C1564">
        <f>1/COUNTIF(B:B,pizza_sales[[#This Row],[order_id]])</f>
        <v>1</v>
      </c>
      <c r="D1564" t="s">
        <v>42</v>
      </c>
      <c r="E1564">
        <v>1</v>
      </c>
      <c r="F1564" s="1">
        <v>42098</v>
      </c>
      <c r="G1564" s="1" t="str">
        <f>TEXT(pizza_sales[[#This Row],[order_date]],"dddd")</f>
        <v>Saturday</v>
      </c>
      <c r="H1564" s="2">
        <v>0.64587962962962964</v>
      </c>
      <c r="I1564">
        <v>12.5</v>
      </c>
      <c r="J1564">
        <v>12.5</v>
      </c>
      <c r="K1564" t="s">
        <v>59</v>
      </c>
      <c r="L1564" t="s">
        <v>13</v>
      </c>
      <c r="M1564" t="s">
        <v>26</v>
      </c>
      <c r="N1564" t="s">
        <v>27</v>
      </c>
    </row>
    <row r="1565" spans="1:14" x14ac:dyDescent="0.25">
      <c r="A1565">
        <v>12727</v>
      </c>
      <c r="B1565">
        <v>5586</v>
      </c>
      <c r="C1565">
        <f>1/COUNTIF(B:B,pizza_sales[[#This Row],[order_id]])</f>
        <v>1</v>
      </c>
      <c r="D1565" t="s">
        <v>16</v>
      </c>
      <c r="E1565">
        <v>1</v>
      </c>
      <c r="F1565" s="1">
        <v>42098</v>
      </c>
      <c r="G1565" s="1" t="str">
        <f>TEXT(pizza_sales[[#This Row],[order_date]],"dddd")</f>
        <v>Saturday</v>
      </c>
      <c r="H1565" s="2">
        <v>0.65197916666666667</v>
      </c>
      <c r="I1565">
        <v>16</v>
      </c>
      <c r="J1565">
        <v>16</v>
      </c>
      <c r="K1565" t="s">
        <v>59</v>
      </c>
      <c r="L1565" t="s">
        <v>17</v>
      </c>
      <c r="M1565" t="s">
        <v>18</v>
      </c>
      <c r="N1565" t="s">
        <v>19</v>
      </c>
    </row>
    <row r="1566" spans="1:14" x14ac:dyDescent="0.25">
      <c r="A1566">
        <v>12730</v>
      </c>
      <c r="B1566">
        <v>5587</v>
      </c>
      <c r="C1566">
        <f>1/COUNTIF(B:B,pizza_sales[[#This Row],[order_id]])</f>
        <v>1</v>
      </c>
      <c r="D1566" t="s">
        <v>45</v>
      </c>
      <c r="E1566">
        <v>1</v>
      </c>
      <c r="F1566" s="1">
        <v>42098</v>
      </c>
      <c r="G1566" s="1" t="str">
        <f>TEXT(pizza_sales[[#This Row],[order_date]],"dddd")</f>
        <v>Saturday</v>
      </c>
      <c r="H1566" s="2">
        <v>0.66710648148148144</v>
      </c>
      <c r="I1566">
        <v>10.5</v>
      </c>
      <c r="J1566">
        <v>10.5</v>
      </c>
      <c r="K1566" t="s">
        <v>60</v>
      </c>
      <c r="L1566" t="s">
        <v>13</v>
      </c>
      <c r="M1566" t="s">
        <v>14</v>
      </c>
      <c r="N1566" t="s">
        <v>15</v>
      </c>
    </row>
    <row r="1567" spans="1:14" x14ac:dyDescent="0.25">
      <c r="A1567">
        <v>12732</v>
      </c>
      <c r="B1567">
        <v>5588</v>
      </c>
      <c r="C1567">
        <f>1/COUNTIF(B:B,pizza_sales[[#This Row],[order_id]])</f>
        <v>1</v>
      </c>
      <c r="D1567" t="s">
        <v>55</v>
      </c>
      <c r="E1567">
        <v>1</v>
      </c>
      <c r="F1567" s="1">
        <v>42098</v>
      </c>
      <c r="G1567" s="1" t="str">
        <f>TEXT(pizza_sales[[#This Row],[order_date]],"dddd")</f>
        <v>Saturday</v>
      </c>
      <c r="H1567" s="2">
        <v>0.67959490740740736</v>
      </c>
      <c r="I1567">
        <v>20.5</v>
      </c>
      <c r="J1567">
        <v>20.5</v>
      </c>
      <c r="K1567" t="s">
        <v>58</v>
      </c>
      <c r="L1567" t="s">
        <v>13</v>
      </c>
      <c r="M1567" t="s">
        <v>21</v>
      </c>
      <c r="N1567" t="s">
        <v>22</v>
      </c>
    </row>
    <row r="1568" spans="1:14" x14ac:dyDescent="0.25">
      <c r="A1568">
        <v>12734</v>
      </c>
      <c r="B1568">
        <v>5589</v>
      </c>
      <c r="C1568">
        <f>1/COUNTIF(B:B,pizza_sales[[#This Row],[order_id]])</f>
        <v>1</v>
      </c>
      <c r="D1568" t="s">
        <v>12</v>
      </c>
      <c r="E1568">
        <v>1</v>
      </c>
      <c r="F1568" s="1">
        <v>42098</v>
      </c>
      <c r="G1568" s="1" t="str">
        <f>TEXT(pizza_sales[[#This Row],[order_date]],"dddd")</f>
        <v>Saturday</v>
      </c>
      <c r="H1568" s="2">
        <v>0.67962962962962958</v>
      </c>
      <c r="I1568">
        <v>13.25</v>
      </c>
      <c r="J1568">
        <v>13.25</v>
      </c>
      <c r="K1568" t="s">
        <v>59</v>
      </c>
      <c r="L1568" t="s">
        <v>13</v>
      </c>
      <c r="M1568" t="s">
        <v>14</v>
      </c>
      <c r="N1568" t="s">
        <v>15</v>
      </c>
    </row>
    <row r="1569" spans="1:14" x14ac:dyDescent="0.25">
      <c r="A1569">
        <v>12737</v>
      </c>
      <c r="B1569">
        <v>5591</v>
      </c>
      <c r="C1569">
        <f>1/COUNTIF(B:B,pizza_sales[[#This Row],[order_id]])</f>
        <v>1</v>
      </c>
      <c r="D1569" t="s">
        <v>44</v>
      </c>
      <c r="E1569">
        <v>1</v>
      </c>
      <c r="F1569" s="1">
        <v>42098</v>
      </c>
      <c r="G1569" s="1" t="str">
        <f>TEXT(pizza_sales[[#This Row],[order_date]],"dddd")</f>
        <v>Saturday</v>
      </c>
      <c r="H1569" s="2">
        <v>0.69783564814814814</v>
      </c>
      <c r="I1569">
        <v>9.75</v>
      </c>
      <c r="J1569">
        <v>9.75</v>
      </c>
      <c r="K1569" t="s">
        <v>60</v>
      </c>
      <c r="L1569" t="s">
        <v>13</v>
      </c>
      <c r="M1569" t="s">
        <v>26</v>
      </c>
      <c r="N1569" t="s">
        <v>27</v>
      </c>
    </row>
    <row r="1570" spans="1:14" x14ac:dyDescent="0.25">
      <c r="A1570">
        <v>12742</v>
      </c>
      <c r="B1570">
        <v>5594</v>
      </c>
      <c r="C1570">
        <f>1/COUNTIF(B:B,pizza_sales[[#This Row],[order_id]])</f>
        <v>1</v>
      </c>
      <c r="D1570" t="s">
        <v>31</v>
      </c>
      <c r="E1570">
        <v>1</v>
      </c>
      <c r="F1570" s="1">
        <v>42098</v>
      </c>
      <c r="G1570" s="1" t="str">
        <f>TEXT(pizza_sales[[#This Row],[order_date]],"dddd")</f>
        <v>Saturday</v>
      </c>
      <c r="H1570" s="2">
        <v>0.72458333333333336</v>
      </c>
      <c r="I1570">
        <v>12</v>
      </c>
      <c r="J1570">
        <v>12</v>
      </c>
      <c r="K1570" t="s">
        <v>60</v>
      </c>
      <c r="L1570" t="s">
        <v>13</v>
      </c>
      <c r="M1570" t="s">
        <v>32</v>
      </c>
      <c r="N1570" t="s">
        <v>33</v>
      </c>
    </row>
    <row r="1571" spans="1:14" x14ac:dyDescent="0.25">
      <c r="A1571">
        <v>12745</v>
      </c>
      <c r="B1571">
        <v>5596</v>
      </c>
      <c r="C1571">
        <f>1/COUNTIF(B:B,pizza_sales[[#This Row],[order_id]])</f>
        <v>1</v>
      </c>
      <c r="D1571" t="s">
        <v>28</v>
      </c>
      <c r="E1571">
        <v>1</v>
      </c>
      <c r="F1571" s="1">
        <v>42098</v>
      </c>
      <c r="G1571" s="1" t="str">
        <f>TEXT(pizza_sales[[#This Row],[order_date]],"dddd")</f>
        <v>Saturday</v>
      </c>
      <c r="H1571" s="2">
        <v>0.76023148148148145</v>
      </c>
      <c r="I1571">
        <v>12</v>
      </c>
      <c r="J1571">
        <v>12</v>
      </c>
      <c r="K1571" t="s">
        <v>60</v>
      </c>
      <c r="L1571" t="s">
        <v>13</v>
      </c>
      <c r="M1571" t="s">
        <v>29</v>
      </c>
      <c r="N1571" t="s">
        <v>30</v>
      </c>
    </row>
    <row r="1572" spans="1:14" x14ac:dyDescent="0.25">
      <c r="A1572">
        <v>12748</v>
      </c>
      <c r="B1572">
        <v>5597</v>
      </c>
      <c r="C1572">
        <f>1/COUNTIF(B:B,pizza_sales[[#This Row],[order_id]])</f>
        <v>0.5</v>
      </c>
      <c r="D1572" t="s">
        <v>42</v>
      </c>
      <c r="E1572">
        <v>1</v>
      </c>
      <c r="F1572" s="1">
        <v>42098</v>
      </c>
      <c r="G1572" s="1" t="str">
        <f>TEXT(pizza_sales[[#This Row],[order_date]],"dddd")</f>
        <v>Saturday</v>
      </c>
      <c r="H1572" s="2">
        <v>0.76170138888888894</v>
      </c>
      <c r="I1572">
        <v>12.5</v>
      </c>
      <c r="J1572">
        <v>12.5</v>
      </c>
      <c r="K1572" t="s">
        <v>59</v>
      </c>
      <c r="L1572" t="s">
        <v>13</v>
      </c>
      <c r="M1572" t="s">
        <v>26</v>
      </c>
      <c r="N1572" t="s">
        <v>27</v>
      </c>
    </row>
    <row r="1573" spans="1:14" x14ac:dyDescent="0.25">
      <c r="A1573">
        <v>12749</v>
      </c>
      <c r="B1573">
        <v>5597</v>
      </c>
      <c r="C1573">
        <f>1/COUNTIF(B:B,pizza_sales[[#This Row],[order_id]])</f>
        <v>0.5</v>
      </c>
      <c r="D1573" t="s">
        <v>43</v>
      </c>
      <c r="E1573">
        <v>1</v>
      </c>
      <c r="F1573" s="1">
        <v>42098</v>
      </c>
      <c r="G1573" s="1" t="str">
        <f>TEXT(pizza_sales[[#This Row],[order_date]],"dddd")</f>
        <v>Saturday</v>
      </c>
      <c r="H1573" s="2">
        <v>0.76170138888888894</v>
      </c>
      <c r="I1573">
        <v>16.25</v>
      </c>
      <c r="J1573">
        <v>16.25</v>
      </c>
      <c r="K1573" t="s">
        <v>59</v>
      </c>
      <c r="L1573" t="s">
        <v>35</v>
      </c>
      <c r="M1573" t="s">
        <v>40</v>
      </c>
      <c r="N1573" t="s">
        <v>41</v>
      </c>
    </row>
    <row r="1574" spans="1:14" x14ac:dyDescent="0.25">
      <c r="A1574">
        <v>12751</v>
      </c>
      <c r="B1574">
        <v>5598</v>
      </c>
      <c r="C1574">
        <f>1/COUNTIF(B:B,pizza_sales[[#This Row],[order_id]])</f>
        <v>1</v>
      </c>
      <c r="D1574" t="s">
        <v>24</v>
      </c>
      <c r="E1574">
        <v>1</v>
      </c>
      <c r="F1574" s="1">
        <v>42098</v>
      </c>
      <c r="G1574" s="1" t="str">
        <f>TEXT(pizza_sales[[#This Row],[order_date]],"dddd")</f>
        <v>Saturday</v>
      </c>
      <c r="H1574" s="2">
        <v>0.76192129629629635</v>
      </c>
      <c r="I1574">
        <v>20.25</v>
      </c>
      <c r="J1574">
        <v>20.25</v>
      </c>
      <c r="K1574" t="s">
        <v>58</v>
      </c>
      <c r="L1574" t="s">
        <v>17</v>
      </c>
      <c r="M1574" t="s">
        <v>18</v>
      </c>
      <c r="N1574" t="s">
        <v>19</v>
      </c>
    </row>
    <row r="1575" spans="1:14" x14ac:dyDescent="0.25">
      <c r="A1575">
        <v>12754</v>
      </c>
      <c r="B1575">
        <v>5599</v>
      </c>
      <c r="C1575">
        <f>1/COUNTIF(B:B,pizza_sales[[#This Row],[order_id]])</f>
        <v>1</v>
      </c>
      <c r="D1575" t="s">
        <v>12</v>
      </c>
      <c r="E1575">
        <v>1</v>
      </c>
      <c r="F1575" s="1">
        <v>42098</v>
      </c>
      <c r="G1575" s="1" t="str">
        <f>TEXT(pizza_sales[[#This Row],[order_date]],"dddd")</f>
        <v>Saturday</v>
      </c>
      <c r="H1575" s="2">
        <v>0.76376157407407408</v>
      </c>
      <c r="I1575">
        <v>13.25</v>
      </c>
      <c r="J1575">
        <v>13.25</v>
      </c>
      <c r="K1575" t="s">
        <v>59</v>
      </c>
      <c r="L1575" t="s">
        <v>13</v>
      </c>
      <c r="M1575" t="s">
        <v>14</v>
      </c>
      <c r="N1575" t="s">
        <v>15</v>
      </c>
    </row>
    <row r="1576" spans="1:14" x14ac:dyDescent="0.25">
      <c r="A1576">
        <v>12765</v>
      </c>
      <c r="B1576">
        <v>5604</v>
      </c>
      <c r="C1576">
        <f>1/COUNTIF(B:B,pizza_sales[[#This Row],[order_id]])</f>
        <v>1</v>
      </c>
      <c r="D1576" t="s">
        <v>39</v>
      </c>
      <c r="E1576">
        <v>1</v>
      </c>
      <c r="F1576" s="1">
        <v>42098</v>
      </c>
      <c r="G1576" s="1" t="str">
        <f>TEXT(pizza_sales[[#This Row],[order_date]],"dddd")</f>
        <v>Saturday</v>
      </c>
      <c r="H1576" s="2">
        <v>0.78450231481481481</v>
      </c>
      <c r="I1576">
        <v>20.25</v>
      </c>
      <c r="J1576">
        <v>20.25</v>
      </c>
      <c r="K1576" t="s">
        <v>58</v>
      </c>
      <c r="L1576" t="s">
        <v>35</v>
      </c>
      <c r="M1576" t="s">
        <v>40</v>
      </c>
      <c r="N1576" t="s">
        <v>41</v>
      </c>
    </row>
    <row r="1577" spans="1:14" x14ac:dyDescent="0.25">
      <c r="A1577">
        <v>12769</v>
      </c>
      <c r="B1577">
        <v>5607</v>
      </c>
      <c r="C1577">
        <f>1/COUNTIF(B:B,pizza_sales[[#This Row],[order_id]])</f>
        <v>1</v>
      </c>
      <c r="D1577" t="s">
        <v>45</v>
      </c>
      <c r="E1577">
        <v>1</v>
      </c>
      <c r="F1577" s="1">
        <v>42098</v>
      </c>
      <c r="G1577" s="1" t="str">
        <f>TEXT(pizza_sales[[#This Row],[order_date]],"dddd")</f>
        <v>Saturday</v>
      </c>
      <c r="H1577" s="2">
        <v>0.80935185185185188</v>
      </c>
      <c r="I1577">
        <v>10.5</v>
      </c>
      <c r="J1577">
        <v>10.5</v>
      </c>
      <c r="K1577" t="s">
        <v>60</v>
      </c>
      <c r="L1577" t="s">
        <v>13</v>
      </c>
      <c r="M1577" t="s">
        <v>14</v>
      </c>
      <c r="N1577" t="s">
        <v>15</v>
      </c>
    </row>
    <row r="1578" spans="1:14" x14ac:dyDescent="0.25">
      <c r="A1578">
        <v>12776</v>
      </c>
      <c r="B1578">
        <v>5608</v>
      </c>
      <c r="C1578">
        <f>1/COUNTIF(B:B,pizza_sales[[#This Row],[order_id]])</f>
        <v>1</v>
      </c>
      <c r="D1578" t="s">
        <v>46</v>
      </c>
      <c r="E1578">
        <v>1</v>
      </c>
      <c r="F1578" s="1">
        <v>42098</v>
      </c>
      <c r="G1578" s="1" t="str">
        <f>TEXT(pizza_sales[[#This Row],[order_date]],"dddd")</f>
        <v>Saturday</v>
      </c>
      <c r="H1578" s="2">
        <v>0.81392361111111111</v>
      </c>
      <c r="I1578">
        <v>25.5</v>
      </c>
      <c r="J1578">
        <v>25.5</v>
      </c>
      <c r="K1578" t="s">
        <v>61</v>
      </c>
      <c r="L1578" t="s">
        <v>13</v>
      </c>
      <c r="M1578" t="s">
        <v>21</v>
      </c>
      <c r="N1578" t="s">
        <v>22</v>
      </c>
    </row>
    <row r="1579" spans="1:14" x14ac:dyDescent="0.25">
      <c r="A1579">
        <v>12777</v>
      </c>
      <c r="B1579">
        <v>5609</v>
      </c>
      <c r="C1579">
        <f>1/COUNTIF(B:B,pizza_sales[[#This Row],[order_id]])</f>
        <v>0.5</v>
      </c>
      <c r="D1579" t="s">
        <v>51</v>
      </c>
      <c r="E1579">
        <v>1</v>
      </c>
      <c r="F1579" s="1">
        <v>42098</v>
      </c>
      <c r="G1579" s="1" t="str">
        <f>TEXT(pizza_sales[[#This Row],[order_date]],"dddd")</f>
        <v>Saturday</v>
      </c>
      <c r="H1579" s="2">
        <v>0.81674768518518515</v>
      </c>
      <c r="I1579">
        <v>23.65</v>
      </c>
      <c r="J1579">
        <v>23.65</v>
      </c>
      <c r="K1579" t="s">
        <v>60</v>
      </c>
      <c r="L1579" t="s">
        <v>35</v>
      </c>
      <c r="M1579" t="s">
        <v>52</v>
      </c>
      <c r="N1579" t="s">
        <v>53</v>
      </c>
    </row>
    <row r="1580" spans="1:14" x14ac:dyDescent="0.25">
      <c r="A1580">
        <v>12778</v>
      </c>
      <c r="B1580">
        <v>5609</v>
      </c>
      <c r="C1580">
        <f>1/COUNTIF(B:B,pizza_sales[[#This Row],[order_id]])</f>
        <v>0.5</v>
      </c>
      <c r="D1580" t="s">
        <v>47</v>
      </c>
      <c r="E1580">
        <v>1</v>
      </c>
      <c r="F1580" s="1">
        <v>42098</v>
      </c>
      <c r="G1580" s="1" t="str">
        <f>TEXT(pizza_sales[[#This Row],[order_date]],"dddd")</f>
        <v>Saturday</v>
      </c>
      <c r="H1580" s="2">
        <v>0.81674768518518515</v>
      </c>
      <c r="I1580">
        <v>16.5</v>
      </c>
      <c r="J1580">
        <v>16.5</v>
      </c>
      <c r="K1580" t="s">
        <v>58</v>
      </c>
      <c r="L1580" t="s">
        <v>13</v>
      </c>
      <c r="M1580" t="s">
        <v>14</v>
      </c>
      <c r="N1580" t="s">
        <v>15</v>
      </c>
    </row>
    <row r="1581" spans="1:14" x14ac:dyDescent="0.25">
      <c r="A1581">
        <v>12782</v>
      </c>
      <c r="B1581">
        <v>5611</v>
      </c>
      <c r="C1581">
        <f>1/COUNTIF(B:B,pizza_sales[[#This Row],[order_id]])</f>
        <v>0.5</v>
      </c>
      <c r="D1581" t="s">
        <v>47</v>
      </c>
      <c r="E1581">
        <v>1</v>
      </c>
      <c r="F1581" s="1">
        <v>42098</v>
      </c>
      <c r="G1581" s="1" t="str">
        <f>TEXT(pizza_sales[[#This Row],[order_date]],"dddd")</f>
        <v>Saturday</v>
      </c>
      <c r="H1581" s="2">
        <v>0.82406250000000003</v>
      </c>
      <c r="I1581">
        <v>16.5</v>
      </c>
      <c r="J1581">
        <v>16.5</v>
      </c>
      <c r="K1581" t="s">
        <v>58</v>
      </c>
      <c r="L1581" t="s">
        <v>13</v>
      </c>
      <c r="M1581" t="s">
        <v>14</v>
      </c>
      <c r="N1581" t="s">
        <v>15</v>
      </c>
    </row>
    <row r="1582" spans="1:14" x14ac:dyDescent="0.25">
      <c r="A1582">
        <v>12783</v>
      </c>
      <c r="B1582">
        <v>5611</v>
      </c>
      <c r="C1582">
        <f>1/COUNTIF(B:B,pizza_sales[[#This Row],[order_id]])</f>
        <v>0.5</v>
      </c>
      <c r="D1582" t="s">
        <v>38</v>
      </c>
      <c r="E1582">
        <v>1</v>
      </c>
      <c r="F1582" s="1">
        <v>42098</v>
      </c>
      <c r="G1582" s="1" t="str">
        <f>TEXT(pizza_sales[[#This Row],[order_date]],"dddd")</f>
        <v>Saturday</v>
      </c>
      <c r="H1582" s="2">
        <v>0.82406250000000003</v>
      </c>
      <c r="I1582">
        <v>20.5</v>
      </c>
      <c r="J1582">
        <v>20.5</v>
      </c>
      <c r="K1582" t="s">
        <v>58</v>
      </c>
      <c r="L1582" t="s">
        <v>13</v>
      </c>
      <c r="M1582" t="s">
        <v>32</v>
      </c>
      <c r="N1582" t="s">
        <v>33</v>
      </c>
    </row>
    <row r="1583" spans="1:14" x14ac:dyDescent="0.25">
      <c r="A1583">
        <v>12784</v>
      </c>
      <c r="B1583">
        <v>5612</v>
      </c>
      <c r="C1583">
        <f>1/COUNTIF(B:B,pizza_sales[[#This Row],[order_id]])</f>
        <v>0.5</v>
      </c>
      <c r="D1583" t="s">
        <v>34</v>
      </c>
      <c r="E1583">
        <v>1</v>
      </c>
      <c r="F1583" s="1">
        <v>42098</v>
      </c>
      <c r="G1583" s="1" t="str">
        <f>TEXT(pizza_sales[[#This Row],[order_date]],"dddd")</f>
        <v>Saturday</v>
      </c>
      <c r="H1583" s="2">
        <v>0.83464120370370365</v>
      </c>
      <c r="I1583">
        <v>16.25</v>
      </c>
      <c r="J1583">
        <v>16.25</v>
      </c>
      <c r="K1583" t="s">
        <v>59</v>
      </c>
      <c r="L1583" t="s">
        <v>35</v>
      </c>
      <c r="M1583" t="s">
        <v>36</v>
      </c>
      <c r="N1583" t="s">
        <v>37</v>
      </c>
    </row>
    <row r="1584" spans="1:14" x14ac:dyDescent="0.25">
      <c r="A1584">
        <v>12785</v>
      </c>
      <c r="B1584">
        <v>5612</v>
      </c>
      <c r="C1584">
        <f>1/COUNTIF(B:B,pizza_sales[[#This Row],[order_id]])</f>
        <v>0.5</v>
      </c>
      <c r="D1584" t="s">
        <v>49</v>
      </c>
      <c r="E1584">
        <v>1</v>
      </c>
      <c r="F1584" s="1">
        <v>42098</v>
      </c>
      <c r="G1584" s="1" t="str">
        <f>TEXT(pizza_sales[[#This Row],[order_date]],"dddd")</f>
        <v>Saturday</v>
      </c>
      <c r="H1584" s="2">
        <v>0.83464120370370365</v>
      </c>
      <c r="I1584">
        <v>16</v>
      </c>
      <c r="J1584">
        <v>16</v>
      </c>
      <c r="K1584" t="s">
        <v>59</v>
      </c>
      <c r="L1584" t="s">
        <v>13</v>
      </c>
      <c r="M1584" t="s">
        <v>21</v>
      </c>
      <c r="N1584" t="s">
        <v>22</v>
      </c>
    </row>
    <row r="1585" spans="1:14" x14ac:dyDescent="0.25">
      <c r="A1585">
        <v>12787</v>
      </c>
      <c r="B1585">
        <v>5613</v>
      </c>
      <c r="C1585">
        <f>1/COUNTIF(B:B,pizza_sales[[#This Row],[order_id]])</f>
        <v>0.5</v>
      </c>
      <c r="D1585" t="s">
        <v>28</v>
      </c>
      <c r="E1585">
        <v>1</v>
      </c>
      <c r="F1585" s="1">
        <v>42098</v>
      </c>
      <c r="G1585" s="1" t="str">
        <f>TEXT(pizza_sales[[#This Row],[order_date]],"dddd")</f>
        <v>Saturday</v>
      </c>
      <c r="H1585" s="2">
        <v>0.85537037037037034</v>
      </c>
      <c r="I1585">
        <v>12</v>
      </c>
      <c r="J1585">
        <v>12</v>
      </c>
      <c r="K1585" t="s">
        <v>60</v>
      </c>
      <c r="L1585" t="s">
        <v>13</v>
      </c>
      <c r="M1585" t="s">
        <v>29</v>
      </c>
      <c r="N1585" t="s">
        <v>30</v>
      </c>
    </row>
    <row r="1586" spans="1:14" x14ac:dyDescent="0.25">
      <c r="A1586">
        <v>12788</v>
      </c>
      <c r="B1586">
        <v>5613</v>
      </c>
      <c r="C1586">
        <f>1/COUNTIF(B:B,pizza_sales[[#This Row],[order_id]])</f>
        <v>0.5</v>
      </c>
      <c r="D1586" t="s">
        <v>47</v>
      </c>
      <c r="E1586">
        <v>1</v>
      </c>
      <c r="F1586" s="1">
        <v>42098</v>
      </c>
      <c r="G1586" s="1" t="str">
        <f>TEXT(pizza_sales[[#This Row],[order_date]],"dddd")</f>
        <v>Saturday</v>
      </c>
      <c r="H1586" s="2">
        <v>0.85537037037037034</v>
      </c>
      <c r="I1586">
        <v>16.5</v>
      </c>
      <c r="J1586">
        <v>16.5</v>
      </c>
      <c r="K1586" t="s">
        <v>58</v>
      </c>
      <c r="L1586" t="s">
        <v>13</v>
      </c>
      <c r="M1586" t="s">
        <v>14</v>
      </c>
      <c r="N1586" t="s">
        <v>15</v>
      </c>
    </row>
    <row r="1587" spans="1:14" x14ac:dyDescent="0.25">
      <c r="A1587">
        <v>12792</v>
      </c>
      <c r="B1587">
        <v>5614</v>
      </c>
      <c r="C1587">
        <f>1/COUNTIF(B:B,pizza_sales[[#This Row],[order_id]])</f>
        <v>1</v>
      </c>
      <c r="D1587" t="s">
        <v>25</v>
      </c>
      <c r="E1587">
        <v>1</v>
      </c>
      <c r="F1587" s="1">
        <v>42098</v>
      </c>
      <c r="G1587" s="1" t="str">
        <f>TEXT(pizza_sales[[#This Row],[order_date]],"dddd")</f>
        <v>Saturday</v>
      </c>
      <c r="H1587" s="2">
        <v>0.85763888888888884</v>
      </c>
      <c r="I1587">
        <v>15.25</v>
      </c>
      <c r="J1587">
        <v>15.25</v>
      </c>
      <c r="K1587" t="s">
        <v>58</v>
      </c>
      <c r="L1587" t="s">
        <v>13</v>
      </c>
      <c r="M1587" t="s">
        <v>26</v>
      </c>
      <c r="N1587" t="s">
        <v>27</v>
      </c>
    </row>
    <row r="1588" spans="1:14" x14ac:dyDescent="0.25">
      <c r="A1588">
        <v>12795</v>
      </c>
      <c r="B1588">
        <v>5615</v>
      </c>
      <c r="C1588">
        <f>1/COUNTIF(B:B,pizza_sales[[#This Row],[order_id]])</f>
        <v>1</v>
      </c>
      <c r="D1588" t="s">
        <v>48</v>
      </c>
      <c r="E1588">
        <v>1</v>
      </c>
      <c r="F1588" s="1">
        <v>42098</v>
      </c>
      <c r="G1588" s="1" t="str">
        <f>TEXT(pizza_sales[[#This Row],[order_date]],"dddd")</f>
        <v>Saturday</v>
      </c>
      <c r="H1588" s="2">
        <v>0.85925925925925928</v>
      </c>
      <c r="I1588">
        <v>12.25</v>
      </c>
      <c r="J1588">
        <v>12.25</v>
      </c>
      <c r="K1588" t="s">
        <v>60</v>
      </c>
      <c r="L1588" t="s">
        <v>35</v>
      </c>
      <c r="M1588" t="s">
        <v>40</v>
      </c>
      <c r="N1588" t="s">
        <v>41</v>
      </c>
    </row>
    <row r="1589" spans="1:14" x14ac:dyDescent="0.25">
      <c r="A1589">
        <v>12803</v>
      </c>
      <c r="B1589">
        <v>5619</v>
      </c>
      <c r="C1589">
        <f>1/COUNTIF(B:B,pizza_sales[[#This Row],[order_id]])</f>
        <v>1</v>
      </c>
      <c r="D1589" t="s">
        <v>24</v>
      </c>
      <c r="E1589">
        <v>1</v>
      </c>
      <c r="F1589" s="1">
        <v>42098</v>
      </c>
      <c r="G1589" s="1" t="str">
        <f>TEXT(pizza_sales[[#This Row],[order_date]],"dddd")</f>
        <v>Saturday</v>
      </c>
      <c r="H1589" s="2">
        <v>0.87127314814814816</v>
      </c>
      <c r="I1589">
        <v>20.25</v>
      </c>
      <c r="J1589">
        <v>20.25</v>
      </c>
      <c r="K1589" t="s">
        <v>58</v>
      </c>
      <c r="L1589" t="s">
        <v>17</v>
      </c>
      <c r="M1589" t="s">
        <v>18</v>
      </c>
      <c r="N1589" t="s">
        <v>19</v>
      </c>
    </row>
    <row r="1590" spans="1:14" x14ac:dyDescent="0.25">
      <c r="A1590">
        <v>12807</v>
      </c>
      <c r="B1590">
        <v>5620</v>
      </c>
      <c r="C1590">
        <f>1/COUNTIF(B:B,pizza_sales[[#This Row],[order_id]])</f>
        <v>1</v>
      </c>
      <c r="D1590" t="s">
        <v>39</v>
      </c>
      <c r="E1590">
        <v>1</v>
      </c>
      <c r="F1590" s="1">
        <v>42098</v>
      </c>
      <c r="G1590" s="1" t="str">
        <f>TEXT(pizza_sales[[#This Row],[order_date]],"dddd")</f>
        <v>Saturday</v>
      </c>
      <c r="H1590" s="2">
        <v>0.87177083333333338</v>
      </c>
      <c r="I1590">
        <v>20.25</v>
      </c>
      <c r="J1590">
        <v>20.25</v>
      </c>
      <c r="K1590" t="s">
        <v>58</v>
      </c>
      <c r="L1590" t="s">
        <v>35</v>
      </c>
      <c r="M1590" t="s">
        <v>40</v>
      </c>
      <c r="N1590" t="s">
        <v>41</v>
      </c>
    </row>
    <row r="1591" spans="1:14" x14ac:dyDescent="0.25">
      <c r="A1591">
        <v>12809</v>
      </c>
      <c r="B1591">
        <v>5621</v>
      </c>
      <c r="C1591">
        <f>1/COUNTIF(B:B,pizza_sales[[#This Row],[order_id]])</f>
        <v>1</v>
      </c>
      <c r="D1591" t="s">
        <v>54</v>
      </c>
      <c r="E1591">
        <v>1</v>
      </c>
      <c r="F1591" s="1">
        <v>42098</v>
      </c>
      <c r="G1591" s="1" t="str">
        <f>TEXT(pizza_sales[[#This Row],[order_date]],"dddd")</f>
        <v>Saturday</v>
      </c>
      <c r="H1591" s="2">
        <v>0.87379629629629629</v>
      </c>
      <c r="I1591">
        <v>12.25</v>
      </c>
      <c r="J1591">
        <v>12.25</v>
      </c>
      <c r="K1591" t="s">
        <v>60</v>
      </c>
      <c r="L1591" t="s">
        <v>35</v>
      </c>
      <c r="M1591" t="s">
        <v>36</v>
      </c>
      <c r="N1591" t="s">
        <v>37</v>
      </c>
    </row>
    <row r="1592" spans="1:14" x14ac:dyDescent="0.25">
      <c r="A1592">
        <v>12812</v>
      </c>
      <c r="B1592">
        <v>5622</v>
      </c>
      <c r="C1592">
        <f>1/COUNTIF(B:B,pizza_sales[[#This Row],[order_id]])</f>
        <v>1</v>
      </c>
      <c r="D1592" t="s">
        <v>42</v>
      </c>
      <c r="E1592">
        <v>1</v>
      </c>
      <c r="F1592" s="1">
        <v>42098</v>
      </c>
      <c r="G1592" s="1" t="str">
        <f>TEXT(pizza_sales[[#This Row],[order_date]],"dddd")</f>
        <v>Saturday</v>
      </c>
      <c r="H1592" s="2">
        <v>0.88306712962962963</v>
      </c>
      <c r="I1592">
        <v>12.5</v>
      </c>
      <c r="J1592">
        <v>12.5</v>
      </c>
      <c r="K1592" t="s">
        <v>59</v>
      </c>
      <c r="L1592" t="s">
        <v>13</v>
      </c>
      <c r="M1592" t="s">
        <v>26</v>
      </c>
      <c r="N1592" t="s">
        <v>27</v>
      </c>
    </row>
    <row r="1593" spans="1:14" x14ac:dyDescent="0.25">
      <c r="A1593">
        <v>12814</v>
      </c>
      <c r="B1593">
        <v>5623</v>
      </c>
      <c r="C1593">
        <f>1/COUNTIF(B:B,pizza_sales[[#This Row],[order_id]])</f>
        <v>1</v>
      </c>
      <c r="D1593" t="s">
        <v>31</v>
      </c>
      <c r="E1593">
        <v>1</v>
      </c>
      <c r="F1593" s="1">
        <v>42098</v>
      </c>
      <c r="G1593" s="1" t="str">
        <f>TEXT(pizza_sales[[#This Row],[order_date]],"dddd")</f>
        <v>Saturday</v>
      </c>
      <c r="H1593" s="2">
        <v>0.90495370370370365</v>
      </c>
      <c r="I1593">
        <v>12</v>
      </c>
      <c r="J1593">
        <v>12</v>
      </c>
      <c r="K1593" t="s">
        <v>60</v>
      </c>
      <c r="L1593" t="s">
        <v>13</v>
      </c>
      <c r="M1593" t="s">
        <v>32</v>
      </c>
      <c r="N1593" t="s">
        <v>33</v>
      </c>
    </row>
    <row r="1594" spans="1:14" x14ac:dyDescent="0.25">
      <c r="A1594">
        <v>12819</v>
      </c>
      <c r="B1594">
        <v>5626</v>
      </c>
      <c r="C1594">
        <f>1/COUNTIF(B:B,pizza_sales[[#This Row],[order_id]])</f>
        <v>1</v>
      </c>
      <c r="D1594" t="s">
        <v>25</v>
      </c>
      <c r="E1594">
        <v>1</v>
      </c>
      <c r="F1594" s="1">
        <v>42098</v>
      </c>
      <c r="G1594" s="1" t="str">
        <f>TEXT(pizza_sales[[#This Row],[order_date]],"dddd")</f>
        <v>Saturday</v>
      </c>
      <c r="H1594" s="2">
        <v>0.91003472222222226</v>
      </c>
      <c r="I1594">
        <v>15.25</v>
      </c>
      <c r="J1594">
        <v>15.25</v>
      </c>
      <c r="K1594" t="s">
        <v>58</v>
      </c>
      <c r="L1594" t="s">
        <v>13</v>
      </c>
      <c r="M1594" t="s">
        <v>26</v>
      </c>
      <c r="N1594" t="s">
        <v>27</v>
      </c>
    </row>
    <row r="1595" spans="1:14" x14ac:dyDescent="0.25">
      <c r="A1595">
        <v>12821</v>
      </c>
      <c r="B1595">
        <v>5627</v>
      </c>
      <c r="C1595">
        <f>1/COUNTIF(B:B,pizza_sales[[#This Row],[order_id]])</f>
        <v>1</v>
      </c>
      <c r="D1595" t="s">
        <v>50</v>
      </c>
      <c r="E1595">
        <v>1</v>
      </c>
      <c r="F1595" s="1">
        <v>42098</v>
      </c>
      <c r="G1595" s="1" t="str">
        <f>TEXT(pizza_sales[[#This Row],[order_date]],"dddd")</f>
        <v>Saturday</v>
      </c>
      <c r="H1595" s="2">
        <v>0.92216435185185186</v>
      </c>
      <c r="I1595">
        <v>16</v>
      </c>
      <c r="J1595">
        <v>16</v>
      </c>
      <c r="K1595" t="s">
        <v>59</v>
      </c>
      <c r="L1595" t="s">
        <v>13</v>
      </c>
      <c r="M1595" t="s">
        <v>32</v>
      </c>
      <c r="N1595" t="s">
        <v>33</v>
      </c>
    </row>
    <row r="1596" spans="1:14" x14ac:dyDescent="0.25">
      <c r="A1596">
        <v>12824</v>
      </c>
      <c r="B1596">
        <v>5628</v>
      </c>
      <c r="C1596">
        <f>1/COUNTIF(B:B,pizza_sales[[#This Row],[order_id]])</f>
        <v>1</v>
      </c>
      <c r="D1596" t="s">
        <v>42</v>
      </c>
      <c r="E1596">
        <v>1</v>
      </c>
      <c r="F1596" s="1">
        <v>42098</v>
      </c>
      <c r="G1596" s="1" t="str">
        <f>TEXT(pizza_sales[[#This Row],[order_date]],"dddd")</f>
        <v>Saturday</v>
      </c>
      <c r="H1596" s="2">
        <v>0.94428240740740743</v>
      </c>
      <c r="I1596">
        <v>12.5</v>
      </c>
      <c r="J1596">
        <v>12.5</v>
      </c>
      <c r="K1596" t="s">
        <v>59</v>
      </c>
      <c r="L1596" t="s">
        <v>13</v>
      </c>
      <c r="M1596" t="s">
        <v>26</v>
      </c>
      <c r="N1596" t="s">
        <v>27</v>
      </c>
    </row>
    <row r="1597" spans="1:14" x14ac:dyDescent="0.25">
      <c r="A1597">
        <v>12828</v>
      </c>
      <c r="B1597">
        <v>5630</v>
      </c>
      <c r="C1597">
        <f>1/COUNTIF(B:B,pizza_sales[[#This Row],[order_id]])</f>
        <v>1</v>
      </c>
      <c r="D1597" t="s">
        <v>43</v>
      </c>
      <c r="E1597">
        <v>1</v>
      </c>
      <c r="F1597" s="1">
        <v>42128</v>
      </c>
      <c r="G1597" s="1" t="str">
        <f>TEXT(pizza_sales[[#This Row],[order_date]],"dddd")</f>
        <v>Monday</v>
      </c>
      <c r="H1597" s="2">
        <v>0.48646990740740742</v>
      </c>
      <c r="I1597">
        <v>16.25</v>
      </c>
      <c r="J1597">
        <v>16.25</v>
      </c>
      <c r="K1597" t="s">
        <v>59</v>
      </c>
      <c r="L1597" t="s">
        <v>35</v>
      </c>
      <c r="M1597" t="s">
        <v>40</v>
      </c>
      <c r="N1597" t="s">
        <v>41</v>
      </c>
    </row>
    <row r="1598" spans="1:14" x14ac:dyDescent="0.25">
      <c r="A1598">
        <v>12831</v>
      </c>
      <c r="B1598">
        <v>5632</v>
      </c>
      <c r="C1598">
        <f>1/COUNTIF(B:B,pizza_sales[[#This Row],[order_id]])</f>
        <v>1</v>
      </c>
      <c r="D1598" t="s">
        <v>54</v>
      </c>
      <c r="E1598">
        <v>1</v>
      </c>
      <c r="F1598" s="1">
        <v>42128</v>
      </c>
      <c r="G1598" s="1" t="str">
        <f>TEXT(pizza_sales[[#This Row],[order_date]],"dddd")</f>
        <v>Monday</v>
      </c>
      <c r="H1598" s="2">
        <v>0.52479166666666666</v>
      </c>
      <c r="I1598">
        <v>12.25</v>
      </c>
      <c r="J1598">
        <v>12.25</v>
      </c>
      <c r="K1598" t="s">
        <v>60</v>
      </c>
      <c r="L1598" t="s">
        <v>35</v>
      </c>
      <c r="M1598" t="s">
        <v>36</v>
      </c>
      <c r="N1598" t="s">
        <v>37</v>
      </c>
    </row>
    <row r="1599" spans="1:14" x14ac:dyDescent="0.25">
      <c r="A1599">
        <v>12833</v>
      </c>
      <c r="B1599">
        <v>5634</v>
      </c>
      <c r="C1599">
        <f>1/COUNTIF(B:B,pizza_sales[[#This Row],[order_id]])</f>
        <v>0.5</v>
      </c>
      <c r="D1599" t="s">
        <v>51</v>
      </c>
      <c r="E1599">
        <v>1</v>
      </c>
      <c r="F1599" s="1">
        <v>42128</v>
      </c>
      <c r="G1599" s="1" t="str">
        <f>TEXT(pizza_sales[[#This Row],[order_date]],"dddd")</f>
        <v>Monday</v>
      </c>
      <c r="H1599" s="2">
        <v>0.54468749999999999</v>
      </c>
      <c r="I1599">
        <v>23.65</v>
      </c>
      <c r="J1599">
        <v>23.65</v>
      </c>
      <c r="K1599" t="s">
        <v>60</v>
      </c>
      <c r="L1599" t="s">
        <v>35</v>
      </c>
      <c r="M1599" t="s">
        <v>52</v>
      </c>
      <c r="N1599" t="s">
        <v>53</v>
      </c>
    </row>
    <row r="1600" spans="1:14" x14ac:dyDescent="0.25">
      <c r="A1600">
        <v>12836</v>
      </c>
      <c r="B1600">
        <v>5634</v>
      </c>
      <c r="C1600">
        <f>1/COUNTIF(B:B,pizza_sales[[#This Row],[order_id]])</f>
        <v>0.5</v>
      </c>
      <c r="D1600" t="s">
        <v>25</v>
      </c>
      <c r="E1600">
        <v>1</v>
      </c>
      <c r="F1600" s="1">
        <v>42128</v>
      </c>
      <c r="G1600" s="1" t="str">
        <f>TEXT(pizza_sales[[#This Row],[order_date]],"dddd")</f>
        <v>Monday</v>
      </c>
      <c r="H1600" s="2">
        <v>0.54468749999999999</v>
      </c>
      <c r="I1600">
        <v>15.25</v>
      </c>
      <c r="J1600">
        <v>15.25</v>
      </c>
      <c r="K1600" t="s">
        <v>58</v>
      </c>
      <c r="L1600" t="s">
        <v>13</v>
      </c>
      <c r="M1600" t="s">
        <v>26</v>
      </c>
      <c r="N1600" t="s">
        <v>27</v>
      </c>
    </row>
    <row r="1601" spans="1:14" x14ac:dyDescent="0.25">
      <c r="A1601">
        <v>12840</v>
      </c>
      <c r="B1601">
        <v>5636</v>
      </c>
      <c r="C1601">
        <f>1/COUNTIF(B:B,pizza_sales[[#This Row],[order_id]])</f>
        <v>1</v>
      </c>
      <c r="D1601" t="s">
        <v>31</v>
      </c>
      <c r="E1601">
        <v>1</v>
      </c>
      <c r="F1601" s="1">
        <v>42128</v>
      </c>
      <c r="G1601" s="1" t="str">
        <f>TEXT(pizza_sales[[#This Row],[order_date]],"dddd")</f>
        <v>Monday</v>
      </c>
      <c r="H1601" s="2">
        <v>0.54891203703703706</v>
      </c>
      <c r="I1601">
        <v>12</v>
      </c>
      <c r="J1601">
        <v>12</v>
      </c>
      <c r="K1601" t="s">
        <v>60</v>
      </c>
      <c r="L1601" t="s">
        <v>13</v>
      </c>
      <c r="M1601" t="s">
        <v>32</v>
      </c>
      <c r="N1601" t="s">
        <v>33</v>
      </c>
    </row>
    <row r="1602" spans="1:14" x14ac:dyDescent="0.25">
      <c r="A1602">
        <v>12841</v>
      </c>
      <c r="B1602">
        <v>5637</v>
      </c>
      <c r="C1602">
        <f>1/COUNTIF(B:B,pizza_sales[[#This Row],[order_id]])</f>
        <v>0.5</v>
      </c>
      <c r="D1602" t="s">
        <v>51</v>
      </c>
      <c r="E1602">
        <v>1</v>
      </c>
      <c r="F1602" s="1">
        <v>42128</v>
      </c>
      <c r="G1602" s="1" t="str">
        <f>TEXT(pizza_sales[[#This Row],[order_date]],"dddd")</f>
        <v>Monday</v>
      </c>
      <c r="H1602" s="2">
        <v>0.54917824074074073</v>
      </c>
      <c r="I1602">
        <v>23.65</v>
      </c>
      <c r="J1602">
        <v>23.65</v>
      </c>
      <c r="K1602" t="s">
        <v>60</v>
      </c>
      <c r="L1602" t="s">
        <v>35</v>
      </c>
      <c r="M1602" t="s">
        <v>52</v>
      </c>
      <c r="N1602" t="s">
        <v>53</v>
      </c>
    </row>
    <row r="1603" spans="1:14" x14ac:dyDescent="0.25">
      <c r="A1603">
        <v>12843</v>
      </c>
      <c r="B1603">
        <v>5637</v>
      </c>
      <c r="C1603">
        <f>1/COUNTIF(B:B,pizza_sales[[#This Row],[order_id]])</f>
        <v>0.5</v>
      </c>
      <c r="D1603" t="s">
        <v>12</v>
      </c>
      <c r="E1603">
        <v>1</v>
      </c>
      <c r="F1603" s="1">
        <v>42128</v>
      </c>
      <c r="G1603" s="1" t="str">
        <f>TEXT(pizza_sales[[#This Row],[order_date]],"dddd")</f>
        <v>Monday</v>
      </c>
      <c r="H1603" s="2">
        <v>0.54917824074074073</v>
      </c>
      <c r="I1603">
        <v>13.25</v>
      </c>
      <c r="J1603">
        <v>13.25</v>
      </c>
      <c r="K1603" t="s">
        <v>59</v>
      </c>
      <c r="L1603" t="s">
        <v>13</v>
      </c>
      <c r="M1603" t="s">
        <v>14</v>
      </c>
      <c r="N1603" t="s">
        <v>15</v>
      </c>
    </row>
    <row r="1604" spans="1:14" x14ac:dyDescent="0.25">
      <c r="A1604">
        <v>12849</v>
      </c>
      <c r="B1604">
        <v>5639</v>
      </c>
      <c r="C1604">
        <f>1/COUNTIF(B:B,pizza_sales[[#This Row],[order_id]])</f>
        <v>0.5</v>
      </c>
      <c r="D1604" t="s">
        <v>28</v>
      </c>
      <c r="E1604">
        <v>1</v>
      </c>
      <c r="F1604" s="1">
        <v>42128</v>
      </c>
      <c r="G1604" s="1" t="str">
        <f>TEXT(pizza_sales[[#This Row],[order_date]],"dddd")</f>
        <v>Monday</v>
      </c>
      <c r="H1604" s="2">
        <v>0.55267361111111113</v>
      </c>
      <c r="I1604">
        <v>12</v>
      </c>
      <c r="J1604">
        <v>12</v>
      </c>
      <c r="K1604" t="s">
        <v>60</v>
      </c>
      <c r="L1604" t="s">
        <v>13</v>
      </c>
      <c r="M1604" t="s">
        <v>29</v>
      </c>
      <c r="N1604" t="s">
        <v>30</v>
      </c>
    </row>
    <row r="1605" spans="1:14" x14ac:dyDescent="0.25">
      <c r="A1605">
        <v>12853</v>
      </c>
      <c r="B1605">
        <v>5639</v>
      </c>
      <c r="C1605">
        <f>1/COUNTIF(B:B,pizza_sales[[#This Row],[order_id]])</f>
        <v>0.5</v>
      </c>
      <c r="D1605" t="s">
        <v>48</v>
      </c>
      <c r="E1605">
        <v>2</v>
      </c>
      <c r="F1605" s="1">
        <v>42128</v>
      </c>
      <c r="G1605" s="1" t="str">
        <f>TEXT(pizza_sales[[#This Row],[order_date]],"dddd")</f>
        <v>Monday</v>
      </c>
      <c r="H1605" s="2">
        <v>0.55267361111111113</v>
      </c>
      <c r="I1605">
        <v>12.25</v>
      </c>
      <c r="J1605">
        <v>24.5</v>
      </c>
      <c r="K1605" t="s">
        <v>60</v>
      </c>
      <c r="L1605" t="s">
        <v>35</v>
      </c>
      <c r="M1605" t="s">
        <v>40</v>
      </c>
      <c r="N1605" t="s">
        <v>41</v>
      </c>
    </row>
    <row r="1606" spans="1:14" x14ac:dyDescent="0.25">
      <c r="A1606">
        <v>12858</v>
      </c>
      <c r="B1606">
        <v>5642</v>
      </c>
      <c r="C1606">
        <f>1/COUNTIF(B:B,pizza_sales[[#This Row],[order_id]])</f>
        <v>1</v>
      </c>
      <c r="D1606" t="s">
        <v>44</v>
      </c>
      <c r="E1606">
        <v>1</v>
      </c>
      <c r="F1606" s="1">
        <v>42128</v>
      </c>
      <c r="G1606" s="1" t="str">
        <f>TEXT(pizza_sales[[#This Row],[order_date]],"dddd")</f>
        <v>Monday</v>
      </c>
      <c r="H1606" s="2">
        <v>0.57067129629629632</v>
      </c>
      <c r="I1606">
        <v>9.75</v>
      </c>
      <c r="J1606">
        <v>9.75</v>
      </c>
      <c r="K1606" t="s">
        <v>60</v>
      </c>
      <c r="L1606" t="s">
        <v>13</v>
      </c>
      <c r="M1606" t="s">
        <v>26</v>
      </c>
      <c r="N1606" t="s">
        <v>27</v>
      </c>
    </row>
    <row r="1607" spans="1:14" x14ac:dyDescent="0.25">
      <c r="A1607">
        <v>12870</v>
      </c>
      <c r="B1607">
        <v>5646</v>
      </c>
      <c r="C1607">
        <f>1/COUNTIF(B:B,pizza_sales[[#This Row],[order_id]])</f>
        <v>0.5</v>
      </c>
      <c r="D1607" t="s">
        <v>50</v>
      </c>
      <c r="E1607">
        <v>1</v>
      </c>
      <c r="F1607" s="1">
        <v>42128</v>
      </c>
      <c r="G1607" s="1" t="str">
        <f>TEXT(pizza_sales[[#This Row],[order_date]],"dddd")</f>
        <v>Monday</v>
      </c>
      <c r="H1607" s="2">
        <v>0.66774305555555558</v>
      </c>
      <c r="I1607">
        <v>16</v>
      </c>
      <c r="J1607">
        <v>16</v>
      </c>
      <c r="K1607" t="s">
        <v>59</v>
      </c>
      <c r="L1607" t="s">
        <v>13</v>
      </c>
      <c r="M1607" t="s">
        <v>32</v>
      </c>
      <c r="N1607" t="s">
        <v>33</v>
      </c>
    </row>
    <row r="1608" spans="1:14" x14ac:dyDescent="0.25">
      <c r="A1608">
        <v>12871</v>
      </c>
      <c r="B1608">
        <v>5646</v>
      </c>
      <c r="C1608">
        <f>1/COUNTIF(B:B,pizza_sales[[#This Row],[order_id]])</f>
        <v>0.5</v>
      </c>
      <c r="D1608" t="s">
        <v>42</v>
      </c>
      <c r="E1608">
        <v>1</v>
      </c>
      <c r="F1608" s="1">
        <v>42128</v>
      </c>
      <c r="G1608" s="1" t="str">
        <f>TEXT(pizza_sales[[#This Row],[order_date]],"dddd")</f>
        <v>Monday</v>
      </c>
      <c r="H1608" s="2">
        <v>0.66774305555555558</v>
      </c>
      <c r="I1608">
        <v>12.5</v>
      </c>
      <c r="J1608">
        <v>12.5</v>
      </c>
      <c r="K1608" t="s">
        <v>59</v>
      </c>
      <c r="L1608" t="s">
        <v>13</v>
      </c>
      <c r="M1608" t="s">
        <v>26</v>
      </c>
      <c r="N1608" t="s">
        <v>27</v>
      </c>
    </row>
    <row r="1609" spans="1:14" x14ac:dyDescent="0.25">
      <c r="A1609">
        <v>12873</v>
      </c>
      <c r="B1609">
        <v>5647</v>
      </c>
      <c r="C1609">
        <f>1/COUNTIF(B:B,pizza_sales[[#This Row],[order_id]])</f>
        <v>1</v>
      </c>
      <c r="D1609" t="s">
        <v>28</v>
      </c>
      <c r="E1609">
        <v>1</v>
      </c>
      <c r="F1609" s="1">
        <v>42128</v>
      </c>
      <c r="G1609" s="1" t="str">
        <f>TEXT(pizza_sales[[#This Row],[order_date]],"dddd")</f>
        <v>Monday</v>
      </c>
      <c r="H1609" s="2">
        <v>0.66962962962962957</v>
      </c>
      <c r="I1609">
        <v>12</v>
      </c>
      <c r="J1609">
        <v>12</v>
      </c>
      <c r="K1609" t="s">
        <v>60</v>
      </c>
      <c r="L1609" t="s">
        <v>13</v>
      </c>
      <c r="M1609" t="s">
        <v>29</v>
      </c>
      <c r="N1609" t="s">
        <v>30</v>
      </c>
    </row>
    <row r="1610" spans="1:14" x14ac:dyDescent="0.25">
      <c r="A1610">
        <v>12877</v>
      </c>
      <c r="B1610">
        <v>5648</v>
      </c>
      <c r="C1610">
        <f>1/COUNTIF(B:B,pizza_sales[[#This Row],[order_id]])</f>
        <v>1</v>
      </c>
      <c r="D1610" t="s">
        <v>34</v>
      </c>
      <c r="E1610">
        <v>1</v>
      </c>
      <c r="F1610" s="1">
        <v>42128</v>
      </c>
      <c r="G1610" s="1" t="str">
        <f>TEXT(pizza_sales[[#This Row],[order_date]],"dddd")</f>
        <v>Monday</v>
      </c>
      <c r="H1610" s="2">
        <v>0.6728587962962963</v>
      </c>
      <c r="I1610">
        <v>16.25</v>
      </c>
      <c r="J1610">
        <v>16.25</v>
      </c>
      <c r="K1610" t="s">
        <v>59</v>
      </c>
      <c r="L1610" t="s">
        <v>35</v>
      </c>
      <c r="M1610" t="s">
        <v>36</v>
      </c>
      <c r="N1610" t="s">
        <v>37</v>
      </c>
    </row>
    <row r="1611" spans="1:14" x14ac:dyDescent="0.25">
      <c r="A1611">
        <v>12880</v>
      </c>
      <c r="B1611">
        <v>5649</v>
      </c>
      <c r="C1611">
        <f>1/COUNTIF(B:B,pizza_sales[[#This Row],[order_id]])</f>
        <v>1</v>
      </c>
      <c r="D1611" t="s">
        <v>28</v>
      </c>
      <c r="E1611">
        <v>1</v>
      </c>
      <c r="F1611" s="1">
        <v>42128</v>
      </c>
      <c r="G1611" s="1" t="str">
        <f>TEXT(pizza_sales[[#This Row],[order_date]],"dddd")</f>
        <v>Monday</v>
      </c>
      <c r="H1611" s="2">
        <v>0.67931712962962965</v>
      </c>
      <c r="I1611">
        <v>12</v>
      </c>
      <c r="J1611">
        <v>12</v>
      </c>
      <c r="K1611" t="s">
        <v>60</v>
      </c>
      <c r="L1611" t="s">
        <v>13</v>
      </c>
      <c r="M1611" t="s">
        <v>29</v>
      </c>
      <c r="N1611" t="s">
        <v>30</v>
      </c>
    </row>
    <row r="1612" spans="1:14" x14ac:dyDescent="0.25">
      <c r="A1612">
        <v>12886</v>
      </c>
      <c r="B1612">
        <v>5651</v>
      </c>
      <c r="C1612">
        <f>1/COUNTIF(B:B,pizza_sales[[#This Row],[order_id]])</f>
        <v>0.5</v>
      </c>
      <c r="D1612" t="s">
        <v>24</v>
      </c>
      <c r="E1612">
        <v>1</v>
      </c>
      <c r="F1612" s="1">
        <v>42128</v>
      </c>
      <c r="G1612" s="1" t="str">
        <f>TEXT(pizza_sales[[#This Row],[order_date]],"dddd")</f>
        <v>Monday</v>
      </c>
      <c r="H1612" s="2">
        <v>0.68519675925925927</v>
      </c>
      <c r="I1612">
        <v>20.25</v>
      </c>
      <c r="J1612">
        <v>20.25</v>
      </c>
      <c r="K1612" t="s">
        <v>58</v>
      </c>
      <c r="L1612" t="s">
        <v>17</v>
      </c>
      <c r="M1612" t="s">
        <v>18</v>
      </c>
      <c r="N1612" t="s">
        <v>19</v>
      </c>
    </row>
    <row r="1613" spans="1:14" x14ac:dyDescent="0.25">
      <c r="A1613">
        <v>12887</v>
      </c>
      <c r="B1613">
        <v>5651</v>
      </c>
      <c r="C1613">
        <f>1/COUNTIF(B:B,pizza_sales[[#This Row],[order_id]])</f>
        <v>0.5</v>
      </c>
      <c r="D1613" t="s">
        <v>42</v>
      </c>
      <c r="E1613">
        <v>1</v>
      </c>
      <c r="F1613" s="1">
        <v>42128</v>
      </c>
      <c r="G1613" s="1" t="str">
        <f>TEXT(pizza_sales[[#This Row],[order_date]],"dddd")</f>
        <v>Monday</v>
      </c>
      <c r="H1613" s="2">
        <v>0.68519675925925927</v>
      </c>
      <c r="I1613">
        <v>12.5</v>
      </c>
      <c r="J1613">
        <v>12.5</v>
      </c>
      <c r="K1613" t="s">
        <v>59</v>
      </c>
      <c r="L1613" t="s">
        <v>13</v>
      </c>
      <c r="M1613" t="s">
        <v>26</v>
      </c>
      <c r="N1613" t="s">
        <v>27</v>
      </c>
    </row>
    <row r="1614" spans="1:14" x14ac:dyDescent="0.25">
      <c r="A1614">
        <v>12891</v>
      </c>
      <c r="B1614">
        <v>5654</v>
      </c>
      <c r="C1614">
        <f>1/COUNTIF(B:B,pizza_sales[[#This Row],[order_id]])</f>
        <v>1</v>
      </c>
      <c r="D1614" t="s">
        <v>31</v>
      </c>
      <c r="E1614">
        <v>1</v>
      </c>
      <c r="F1614" s="1">
        <v>42128</v>
      </c>
      <c r="G1614" s="1" t="str">
        <f>TEXT(pizza_sales[[#This Row],[order_date]],"dddd")</f>
        <v>Monday</v>
      </c>
      <c r="H1614" s="2">
        <v>0.71818287037037032</v>
      </c>
      <c r="I1614">
        <v>12</v>
      </c>
      <c r="J1614">
        <v>12</v>
      </c>
      <c r="K1614" t="s">
        <v>60</v>
      </c>
      <c r="L1614" t="s">
        <v>13</v>
      </c>
      <c r="M1614" t="s">
        <v>32</v>
      </c>
      <c r="N1614" t="s">
        <v>33</v>
      </c>
    </row>
    <row r="1615" spans="1:14" x14ac:dyDescent="0.25">
      <c r="A1615">
        <v>12893</v>
      </c>
      <c r="B1615">
        <v>5656</v>
      </c>
      <c r="C1615">
        <f>1/COUNTIF(B:B,pizza_sales[[#This Row],[order_id]])</f>
        <v>0.5</v>
      </c>
      <c r="D1615" t="s">
        <v>31</v>
      </c>
      <c r="E1615">
        <v>1</v>
      </c>
      <c r="F1615" s="1">
        <v>42128</v>
      </c>
      <c r="G1615" s="1" t="str">
        <f>TEXT(pizza_sales[[#This Row],[order_date]],"dddd")</f>
        <v>Monday</v>
      </c>
      <c r="H1615" s="2">
        <v>0.72445601851851849</v>
      </c>
      <c r="I1615">
        <v>12</v>
      </c>
      <c r="J1615">
        <v>12</v>
      </c>
      <c r="K1615" t="s">
        <v>60</v>
      </c>
      <c r="L1615" t="s">
        <v>13</v>
      </c>
      <c r="M1615" t="s">
        <v>32</v>
      </c>
      <c r="N1615" t="s">
        <v>33</v>
      </c>
    </row>
    <row r="1616" spans="1:14" x14ac:dyDescent="0.25">
      <c r="A1616">
        <v>12894</v>
      </c>
      <c r="B1616">
        <v>5656</v>
      </c>
      <c r="C1616">
        <f>1/COUNTIF(B:B,pizza_sales[[#This Row],[order_id]])</f>
        <v>0.5</v>
      </c>
      <c r="D1616" t="s">
        <v>44</v>
      </c>
      <c r="E1616">
        <v>1</v>
      </c>
      <c r="F1616" s="1">
        <v>42128</v>
      </c>
      <c r="G1616" s="1" t="str">
        <f>TEXT(pizza_sales[[#This Row],[order_date]],"dddd")</f>
        <v>Monday</v>
      </c>
      <c r="H1616" s="2">
        <v>0.72445601851851849</v>
      </c>
      <c r="I1616">
        <v>9.75</v>
      </c>
      <c r="J1616">
        <v>9.75</v>
      </c>
      <c r="K1616" t="s">
        <v>60</v>
      </c>
      <c r="L1616" t="s">
        <v>13</v>
      </c>
      <c r="M1616" t="s">
        <v>26</v>
      </c>
      <c r="N1616" t="s">
        <v>27</v>
      </c>
    </row>
    <row r="1617" spans="1:14" x14ac:dyDescent="0.25">
      <c r="A1617">
        <v>12897</v>
      </c>
      <c r="B1617">
        <v>5657</v>
      </c>
      <c r="C1617">
        <f>1/COUNTIF(B:B,pizza_sales[[#This Row],[order_id]])</f>
        <v>1</v>
      </c>
      <c r="D1617" t="s">
        <v>47</v>
      </c>
      <c r="E1617">
        <v>1</v>
      </c>
      <c r="F1617" s="1">
        <v>42128</v>
      </c>
      <c r="G1617" s="1" t="str">
        <f>TEXT(pizza_sales[[#This Row],[order_date]],"dddd")</f>
        <v>Monday</v>
      </c>
      <c r="H1617" s="2">
        <v>0.7286111111111111</v>
      </c>
      <c r="I1617">
        <v>16.5</v>
      </c>
      <c r="J1617">
        <v>16.5</v>
      </c>
      <c r="K1617" t="s">
        <v>58</v>
      </c>
      <c r="L1617" t="s">
        <v>13</v>
      </c>
      <c r="M1617" t="s">
        <v>14</v>
      </c>
      <c r="N1617" t="s">
        <v>15</v>
      </c>
    </row>
    <row r="1618" spans="1:14" x14ac:dyDescent="0.25">
      <c r="A1618">
        <v>12903</v>
      </c>
      <c r="B1618">
        <v>5661</v>
      </c>
      <c r="C1618">
        <f>1/COUNTIF(B:B,pizza_sales[[#This Row],[order_id]])</f>
        <v>1</v>
      </c>
      <c r="D1618" t="s">
        <v>31</v>
      </c>
      <c r="E1618">
        <v>1</v>
      </c>
      <c r="F1618" s="1">
        <v>42128</v>
      </c>
      <c r="G1618" s="1" t="str">
        <f>TEXT(pizza_sales[[#This Row],[order_date]],"dddd")</f>
        <v>Monday</v>
      </c>
      <c r="H1618" s="2">
        <v>0.75910879629629635</v>
      </c>
      <c r="I1618">
        <v>12</v>
      </c>
      <c r="J1618">
        <v>12</v>
      </c>
      <c r="K1618" t="s">
        <v>60</v>
      </c>
      <c r="L1618" t="s">
        <v>13</v>
      </c>
      <c r="M1618" t="s">
        <v>32</v>
      </c>
      <c r="N1618" t="s">
        <v>33</v>
      </c>
    </row>
    <row r="1619" spans="1:14" x14ac:dyDescent="0.25">
      <c r="A1619">
        <v>12904</v>
      </c>
      <c r="B1619">
        <v>5662</v>
      </c>
      <c r="C1619">
        <f>1/COUNTIF(B:B,pizza_sales[[#This Row],[order_id]])</f>
        <v>1</v>
      </c>
      <c r="D1619" t="s">
        <v>49</v>
      </c>
      <c r="E1619">
        <v>1</v>
      </c>
      <c r="F1619" s="1">
        <v>42128</v>
      </c>
      <c r="G1619" s="1" t="str">
        <f>TEXT(pizza_sales[[#This Row],[order_date]],"dddd")</f>
        <v>Monday</v>
      </c>
      <c r="H1619" s="2">
        <v>0.77896990740740746</v>
      </c>
      <c r="I1619">
        <v>16</v>
      </c>
      <c r="J1619">
        <v>16</v>
      </c>
      <c r="K1619" t="s">
        <v>59</v>
      </c>
      <c r="L1619" t="s">
        <v>13</v>
      </c>
      <c r="M1619" t="s">
        <v>21</v>
      </c>
      <c r="N1619" t="s">
        <v>22</v>
      </c>
    </row>
    <row r="1620" spans="1:14" x14ac:dyDescent="0.25">
      <c r="A1620">
        <v>12909</v>
      </c>
      <c r="B1620">
        <v>5665</v>
      </c>
      <c r="C1620">
        <f>1/COUNTIF(B:B,pizza_sales[[#This Row],[order_id]])</f>
        <v>1</v>
      </c>
      <c r="D1620" t="s">
        <v>45</v>
      </c>
      <c r="E1620">
        <v>1</v>
      </c>
      <c r="F1620" s="1">
        <v>42128</v>
      </c>
      <c r="G1620" s="1" t="str">
        <f>TEXT(pizza_sales[[#This Row],[order_date]],"dddd")</f>
        <v>Monday</v>
      </c>
      <c r="H1620" s="2">
        <v>0.78863425925925923</v>
      </c>
      <c r="I1620">
        <v>10.5</v>
      </c>
      <c r="J1620">
        <v>10.5</v>
      </c>
      <c r="K1620" t="s">
        <v>60</v>
      </c>
      <c r="L1620" t="s">
        <v>13</v>
      </c>
      <c r="M1620" t="s">
        <v>14</v>
      </c>
      <c r="N1620" t="s">
        <v>15</v>
      </c>
    </row>
    <row r="1621" spans="1:14" x14ac:dyDescent="0.25">
      <c r="A1621">
        <v>12916</v>
      </c>
      <c r="B1621">
        <v>5667</v>
      </c>
      <c r="C1621">
        <f>1/COUNTIF(B:B,pizza_sales[[#This Row],[order_id]])</f>
        <v>1</v>
      </c>
      <c r="D1621" t="s">
        <v>28</v>
      </c>
      <c r="E1621">
        <v>1</v>
      </c>
      <c r="F1621" s="1">
        <v>42128</v>
      </c>
      <c r="G1621" s="1" t="str">
        <f>TEXT(pizza_sales[[#This Row],[order_date]],"dddd")</f>
        <v>Monday</v>
      </c>
      <c r="H1621" s="2">
        <v>0.79322916666666665</v>
      </c>
      <c r="I1621">
        <v>12</v>
      </c>
      <c r="J1621">
        <v>12</v>
      </c>
      <c r="K1621" t="s">
        <v>60</v>
      </c>
      <c r="L1621" t="s">
        <v>13</v>
      </c>
      <c r="M1621" t="s">
        <v>29</v>
      </c>
      <c r="N1621" t="s">
        <v>30</v>
      </c>
    </row>
    <row r="1622" spans="1:14" x14ac:dyDescent="0.25">
      <c r="A1622">
        <v>12922</v>
      </c>
      <c r="B1622">
        <v>5669</v>
      </c>
      <c r="C1622">
        <f>1/COUNTIF(B:B,pizza_sales[[#This Row],[order_id]])</f>
        <v>1</v>
      </c>
      <c r="D1622" t="s">
        <v>16</v>
      </c>
      <c r="E1622">
        <v>1</v>
      </c>
      <c r="F1622" s="1">
        <v>42128</v>
      </c>
      <c r="G1622" s="1" t="str">
        <f>TEXT(pizza_sales[[#This Row],[order_date]],"dddd")</f>
        <v>Monday</v>
      </c>
      <c r="H1622" s="2">
        <v>0.79509259259259257</v>
      </c>
      <c r="I1622">
        <v>16</v>
      </c>
      <c r="J1622">
        <v>16</v>
      </c>
      <c r="K1622" t="s">
        <v>59</v>
      </c>
      <c r="L1622" t="s">
        <v>17</v>
      </c>
      <c r="M1622" t="s">
        <v>18</v>
      </c>
      <c r="N1622" t="s">
        <v>19</v>
      </c>
    </row>
    <row r="1623" spans="1:14" x14ac:dyDescent="0.25">
      <c r="A1623">
        <v>12925</v>
      </c>
      <c r="B1623">
        <v>5670</v>
      </c>
      <c r="C1623">
        <f>1/COUNTIF(B:B,pizza_sales[[#This Row],[order_id]])</f>
        <v>0.5</v>
      </c>
      <c r="D1623" t="s">
        <v>56</v>
      </c>
      <c r="E1623">
        <v>1</v>
      </c>
      <c r="F1623" s="1">
        <v>42128</v>
      </c>
      <c r="G1623" s="1" t="str">
        <f>TEXT(pizza_sales[[#This Row],[order_date]],"dddd")</f>
        <v>Monday</v>
      </c>
      <c r="H1623" s="2">
        <v>0.80156249999999996</v>
      </c>
      <c r="I1623">
        <v>20.25</v>
      </c>
      <c r="J1623">
        <v>20.25</v>
      </c>
      <c r="K1623" t="s">
        <v>58</v>
      </c>
      <c r="L1623" t="s">
        <v>35</v>
      </c>
      <c r="M1623" t="s">
        <v>36</v>
      </c>
      <c r="N1623" t="s">
        <v>37</v>
      </c>
    </row>
    <row r="1624" spans="1:14" x14ac:dyDescent="0.25">
      <c r="A1624">
        <v>12926</v>
      </c>
      <c r="B1624">
        <v>5670</v>
      </c>
      <c r="C1624">
        <f>1/COUNTIF(B:B,pizza_sales[[#This Row],[order_id]])</f>
        <v>0.5</v>
      </c>
      <c r="D1624" t="s">
        <v>45</v>
      </c>
      <c r="E1624">
        <v>1</v>
      </c>
      <c r="F1624" s="1">
        <v>42128</v>
      </c>
      <c r="G1624" s="1" t="str">
        <f>TEXT(pizza_sales[[#This Row],[order_date]],"dddd")</f>
        <v>Monday</v>
      </c>
      <c r="H1624" s="2">
        <v>0.80156249999999996</v>
      </c>
      <c r="I1624">
        <v>10.5</v>
      </c>
      <c r="J1624">
        <v>10.5</v>
      </c>
      <c r="K1624" t="s">
        <v>60</v>
      </c>
      <c r="L1624" t="s">
        <v>13</v>
      </c>
      <c r="M1624" t="s">
        <v>14</v>
      </c>
      <c r="N1624" t="s">
        <v>15</v>
      </c>
    </row>
    <row r="1625" spans="1:14" x14ac:dyDescent="0.25">
      <c r="A1625">
        <v>12935</v>
      </c>
      <c r="B1625">
        <v>5674</v>
      </c>
      <c r="C1625">
        <f>1/COUNTIF(B:B,pizza_sales[[#This Row],[order_id]])</f>
        <v>0.5</v>
      </c>
      <c r="D1625" t="s">
        <v>16</v>
      </c>
      <c r="E1625">
        <v>1</v>
      </c>
      <c r="F1625" s="1">
        <v>42128</v>
      </c>
      <c r="G1625" s="1" t="str">
        <f>TEXT(pizza_sales[[#This Row],[order_date]],"dddd")</f>
        <v>Monday</v>
      </c>
      <c r="H1625" s="2">
        <v>0.82581018518518523</v>
      </c>
      <c r="I1625">
        <v>16</v>
      </c>
      <c r="J1625">
        <v>16</v>
      </c>
      <c r="K1625" t="s">
        <v>59</v>
      </c>
      <c r="L1625" t="s">
        <v>17</v>
      </c>
      <c r="M1625" t="s">
        <v>18</v>
      </c>
      <c r="N1625" t="s">
        <v>19</v>
      </c>
    </row>
    <row r="1626" spans="1:14" x14ac:dyDescent="0.25">
      <c r="A1626">
        <v>12936</v>
      </c>
      <c r="B1626">
        <v>5674</v>
      </c>
      <c r="C1626">
        <f>1/COUNTIF(B:B,pizza_sales[[#This Row],[order_id]])</f>
        <v>0.5</v>
      </c>
      <c r="D1626" t="s">
        <v>48</v>
      </c>
      <c r="E1626">
        <v>1</v>
      </c>
      <c r="F1626" s="1">
        <v>42128</v>
      </c>
      <c r="G1626" s="1" t="str">
        <f>TEXT(pizza_sales[[#This Row],[order_date]],"dddd")</f>
        <v>Monday</v>
      </c>
      <c r="H1626" s="2">
        <v>0.82581018518518523</v>
      </c>
      <c r="I1626">
        <v>12.25</v>
      </c>
      <c r="J1626">
        <v>12.25</v>
      </c>
      <c r="K1626" t="s">
        <v>60</v>
      </c>
      <c r="L1626" t="s">
        <v>35</v>
      </c>
      <c r="M1626" t="s">
        <v>40</v>
      </c>
      <c r="N1626" t="s">
        <v>41</v>
      </c>
    </row>
    <row r="1627" spans="1:14" x14ac:dyDescent="0.25">
      <c r="A1627">
        <v>12953</v>
      </c>
      <c r="B1627">
        <v>5687</v>
      </c>
      <c r="C1627">
        <f>1/COUNTIF(B:B,pizza_sales[[#This Row],[order_id]])</f>
        <v>1</v>
      </c>
      <c r="D1627" t="s">
        <v>39</v>
      </c>
      <c r="E1627">
        <v>1</v>
      </c>
      <c r="F1627" s="1">
        <v>42159</v>
      </c>
      <c r="G1627" s="1" t="str">
        <f>TEXT(pizza_sales[[#This Row],[order_date]],"dddd")</f>
        <v>Thursday</v>
      </c>
      <c r="H1627" s="2">
        <v>0.5169097222222222</v>
      </c>
      <c r="I1627">
        <v>20.25</v>
      </c>
      <c r="J1627">
        <v>20.25</v>
      </c>
      <c r="K1627" t="s">
        <v>58</v>
      </c>
      <c r="L1627" t="s">
        <v>35</v>
      </c>
      <c r="M1627" t="s">
        <v>40</v>
      </c>
      <c r="N1627" t="s">
        <v>41</v>
      </c>
    </row>
    <row r="1628" spans="1:14" x14ac:dyDescent="0.25">
      <c r="A1628">
        <v>12960</v>
      </c>
      <c r="B1628">
        <v>5689</v>
      </c>
      <c r="C1628">
        <f>1/COUNTIF(B:B,pizza_sales[[#This Row],[order_id]])</f>
        <v>0.33333333333333331</v>
      </c>
      <c r="D1628" t="s">
        <v>24</v>
      </c>
      <c r="E1628">
        <v>2</v>
      </c>
      <c r="F1628" s="1">
        <v>42159</v>
      </c>
      <c r="G1628" s="1" t="str">
        <f>TEXT(pizza_sales[[#This Row],[order_date]],"dddd")</f>
        <v>Thursday</v>
      </c>
      <c r="H1628" s="2">
        <v>0.51976851851851846</v>
      </c>
      <c r="I1628">
        <v>20.25</v>
      </c>
      <c r="J1628">
        <v>40.5</v>
      </c>
      <c r="K1628" t="s">
        <v>58</v>
      </c>
      <c r="L1628" t="s">
        <v>17</v>
      </c>
      <c r="M1628" t="s">
        <v>18</v>
      </c>
      <c r="N1628" t="s">
        <v>19</v>
      </c>
    </row>
    <row r="1629" spans="1:14" x14ac:dyDescent="0.25">
      <c r="A1629">
        <v>12962</v>
      </c>
      <c r="B1629">
        <v>5689</v>
      </c>
      <c r="C1629">
        <f>1/COUNTIF(B:B,pizza_sales[[#This Row],[order_id]])</f>
        <v>0.33333333333333331</v>
      </c>
      <c r="D1629" t="s">
        <v>42</v>
      </c>
      <c r="E1629">
        <v>1</v>
      </c>
      <c r="F1629" s="1">
        <v>42159</v>
      </c>
      <c r="G1629" s="1" t="str">
        <f>TEXT(pizza_sales[[#This Row],[order_date]],"dddd")</f>
        <v>Thursday</v>
      </c>
      <c r="H1629" s="2">
        <v>0.51976851851851846</v>
      </c>
      <c r="I1629">
        <v>12.5</v>
      </c>
      <c r="J1629">
        <v>12.5</v>
      </c>
      <c r="K1629" t="s">
        <v>59</v>
      </c>
      <c r="L1629" t="s">
        <v>13</v>
      </c>
      <c r="M1629" t="s">
        <v>26</v>
      </c>
      <c r="N1629" t="s">
        <v>27</v>
      </c>
    </row>
    <row r="1630" spans="1:14" x14ac:dyDescent="0.25">
      <c r="A1630">
        <v>12965</v>
      </c>
      <c r="B1630">
        <v>5689</v>
      </c>
      <c r="C1630">
        <f>1/COUNTIF(B:B,pizza_sales[[#This Row],[order_id]])</f>
        <v>0.33333333333333331</v>
      </c>
      <c r="D1630" t="s">
        <v>39</v>
      </c>
      <c r="E1630">
        <v>1</v>
      </c>
      <c r="F1630" s="1">
        <v>42159</v>
      </c>
      <c r="G1630" s="1" t="str">
        <f>TEXT(pizza_sales[[#This Row],[order_date]],"dddd")</f>
        <v>Thursday</v>
      </c>
      <c r="H1630" s="2">
        <v>0.51976851851851846</v>
      </c>
      <c r="I1630">
        <v>20.25</v>
      </c>
      <c r="J1630">
        <v>20.25</v>
      </c>
      <c r="K1630" t="s">
        <v>58</v>
      </c>
      <c r="L1630" t="s">
        <v>35</v>
      </c>
      <c r="M1630" t="s">
        <v>40</v>
      </c>
      <c r="N1630" t="s">
        <v>41</v>
      </c>
    </row>
    <row r="1631" spans="1:14" x14ac:dyDescent="0.25">
      <c r="A1631">
        <v>12966</v>
      </c>
      <c r="B1631">
        <v>5690</v>
      </c>
      <c r="C1631">
        <f>1/COUNTIF(B:B,pizza_sales[[#This Row],[order_id]])</f>
        <v>1</v>
      </c>
      <c r="D1631" t="s">
        <v>43</v>
      </c>
      <c r="E1631">
        <v>1</v>
      </c>
      <c r="F1631" s="1">
        <v>42159</v>
      </c>
      <c r="G1631" s="1" t="str">
        <f>TEXT(pizza_sales[[#This Row],[order_date]],"dddd")</f>
        <v>Thursday</v>
      </c>
      <c r="H1631" s="2">
        <v>0.52458333333333329</v>
      </c>
      <c r="I1631">
        <v>16.25</v>
      </c>
      <c r="J1631">
        <v>16.25</v>
      </c>
      <c r="K1631" t="s">
        <v>59</v>
      </c>
      <c r="L1631" t="s">
        <v>35</v>
      </c>
      <c r="M1631" t="s">
        <v>40</v>
      </c>
      <c r="N1631" t="s">
        <v>41</v>
      </c>
    </row>
    <row r="1632" spans="1:14" x14ac:dyDescent="0.25">
      <c r="A1632">
        <v>12969</v>
      </c>
      <c r="B1632">
        <v>5692</v>
      </c>
      <c r="C1632">
        <f>1/COUNTIF(B:B,pizza_sales[[#This Row],[order_id]])</f>
        <v>1</v>
      </c>
      <c r="D1632" t="s">
        <v>12</v>
      </c>
      <c r="E1632">
        <v>1</v>
      </c>
      <c r="F1632" s="1">
        <v>42159</v>
      </c>
      <c r="G1632" s="1" t="str">
        <f>TEXT(pizza_sales[[#This Row],[order_date]],"dddd")</f>
        <v>Thursday</v>
      </c>
      <c r="H1632" s="2">
        <v>0.52582175925925922</v>
      </c>
      <c r="I1632">
        <v>13.25</v>
      </c>
      <c r="J1632">
        <v>13.25</v>
      </c>
      <c r="K1632" t="s">
        <v>59</v>
      </c>
      <c r="L1632" t="s">
        <v>13</v>
      </c>
      <c r="M1632" t="s">
        <v>14</v>
      </c>
      <c r="N1632" t="s">
        <v>15</v>
      </c>
    </row>
    <row r="1633" spans="1:14" x14ac:dyDescent="0.25">
      <c r="A1633">
        <v>12970</v>
      </c>
      <c r="B1633">
        <v>5693</v>
      </c>
      <c r="C1633">
        <f>1/COUNTIF(B:B,pizza_sales[[#This Row],[order_id]])</f>
        <v>0.5</v>
      </c>
      <c r="D1633" t="s">
        <v>42</v>
      </c>
      <c r="E1633">
        <v>1</v>
      </c>
      <c r="F1633" s="1">
        <v>42159</v>
      </c>
      <c r="G1633" s="1" t="str">
        <f>TEXT(pizza_sales[[#This Row],[order_date]],"dddd")</f>
        <v>Thursday</v>
      </c>
      <c r="H1633" s="2">
        <v>0.52626157407407403</v>
      </c>
      <c r="I1633">
        <v>12.5</v>
      </c>
      <c r="J1633">
        <v>12.5</v>
      </c>
      <c r="K1633" t="s">
        <v>59</v>
      </c>
      <c r="L1633" t="s">
        <v>13</v>
      </c>
      <c r="M1633" t="s">
        <v>26</v>
      </c>
      <c r="N1633" t="s">
        <v>27</v>
      </c>
    </row>
    <row r="1634" spans="1:14" x14ac:dyDescent="0.25">
      <c r="A1634">
        <v>12971</v>
      </c>
      <c r="B1634">
        <v>5693</v>
      </c>
      <c r="C1634">
        <f>1/COUNTIF(B:B,pizza_sales[[#This Row],[order_id]])</f>
        <v>0.5</v>
      </c>
      <c r="D1634" t="s">
        <v>44</v>
      </c>
      <c r="E1634">
        <v>1</v>
      </c>
      <c r="F1634" s="1">
        <v>42159</v>
      </c>
      <c r="G1634" s="1" t="str">
        <f>TEXT(pizza_sales[[#This Row],[order_date]],"dddd")</f>
        <v>Thursday</v>
      </c>
      <c r="H1634" s="2">
        <v>0.52626157407407403</v>
      </c>
      <c r="I1634">
        <v>9.75</v>
      </c>
      <c r="J1634">
        <v>9.75</v>
      </c>
      <c r="K1634" t="s">
        <v>60</v>
      </c>
      <c r="L1634" t="s">
        <v>13</v>
      </c>
      <c r="M1634" t="s">
        <v>26</v>
      </c>
      <c r="N1634" t="s">
        <v>27</v>
      </c>
    </row>
    <row r="1635" spans="1:14" x14ac:dyDescent="0.25">
      <c r="A1635">
        <v>12976</v>
      </c>
      <c r="B1635">
        <v>5696</v>
      </c>
      <c r="C1635">
        <f>1/COUNTIF(B:B,pizza_sales[[#This Row],[order_id]])</f>
        <v>1</v>
      </c>
      <c r="D1635" t="s">
        <v>28</v>
      </c>
      <c r="E1635">
        <v>1</v>
      </c>
      <c r="F1635" s="1">
        <v>42159</v>
      </c>
      <c r="G1635" s="1" t="str">
        <f>TEXT(pizza_sales[[#This Row],[order_date]],"dddd")</f>
        <v>Thursday</v>
      </c>
      <c r="H1635" s="2">
        <v>0.54796296296296299</v>
      </c>
      <c r="I1635">
        <v>12</v>
      </c>
      <c r="J1635">
        <v>12</v>
      </c>
      <c r="K1635" t="s">
        <v>60</v>
      </c>
      <c r="L1635" t="s">
        <v>13</v>
      </c>
      <c r="M1635" t="s">
        <v>29</v>
      </c>
      <c r="N1635" t="s">
        <v>30</v>
      </c>
    </row>
    <row r="1636" spans="1:14" x14ac:dyDescent="0.25">
      <c r="A1636">
        <v>12980</v>
      </c>
      <c r="B1636">
        <v>5697</v>
      </c>
      <c r="C1636">
        <f>1/COUNTIF(B:B,pizza_sales[[#This Row],[order_id]])</f>
        <v>1</v>
      </c>
      <c r="D1636" t="s">
        <v>50</v>
      </c>
      <c r="E1636">
        <v>1</v>
      </c>
      <c r="F1636" s="1">
        <v>42159</v>
      </c>
      <c r="G1636" s="1" t="str">
        <f>TEXT(pizza_sales[[#This Row],[order_date]],"dddd")</f>
        <v>Thursday</v>
      </c>
      <c r="H1636" s="2">
        <v>0.55181712962962959</v>
      </c>
      <c r="I1636">
        <v>16</v>
      </c>
      <c r="J1636">
        <v>16</v>
      </c>
      <c r="K1636" t="s">
        <v>59</v>
      </c>
      <c r="L1636" t="s">
        <v>13</v>
      </c>
      <c r="M1636" t="s">
        <v>32</v>
      </c>
      <c r="N1636" t="s">
        <v>33</v>
      </c>
    </row>
    <row r="1637" spans="1:14" x14ac:dyDescent="0.25">
      <c r="A1637">
        <v>12982</v>
      </c>
      <c r="B1637">
        <v>5698</v>
      </c>
      <c r="C1637">
        <f>1/COUNTIF(B:B,pizza_sales[[#This Row],[order_id]])</f>
        <v>1</v>
      </c>
      <c r="D1637" t="s">
        <v>45</v>
      </c>
      <c r="E1637">
        <v>1</v>
      </c>
      <c r="F1637" s="1">
        <v>42159</v>
      </c>
      <c r="G1637" s="1" t="str">
        <f>TEXT(pizza_sales[[#This Row],[order_date]],"dddd")</f>
        <v>Thursday</v>
      </c>
      <c r="H1637" s="2">
        <v>0.55474537037037042</v>
      </c>
      <c r="I1637">
        <v>10.5</v>
      </c>
      <c r="J1637">
        <v>10.5</v>
      </c>
      <c r="K1637" t="s">
        <v>60</v>
      </c>
      <c r="L1637" t="s">
        <v>13</v>
      </c>
      <c r="M1637" t="s">
        <v>14</v>
      </c>
      <c r="N1637" t="s">
        <v>15</v>
      </c>
    </row>
    <row r="1638" spans="1:14" x14ac:dyDescent="0.25">
      <c r="A1638">
        <v>12988</v>
      </c>
      <c r="B1638">
        <v>5700</v>
      </c>
      <c r="C1638">
        <f>1/COUNTIF(B:B,pizza_sales[[#This Row],[order_id]])</f>
        <v>0.25</v>
      </c>
      <c r="D1638" t="s">
        <v>47</v>
      </c>
      <c r="E1638">
        <v>1</v>
      </c>
      <c r="F1638" s="1">
        <v>42159</v>
      </c>
      <c r="G1638" s="1" t="str">
        <f>TEXT(pizza_sales[[#This Row],[order_date]],"dddd")</f>
        <v>Thursday</v>
      </c>
      <c r="H1638" s="2">
        <v>0.55921296296296297</v>
      </c>
      <c r="I1638">
        <v>16.5</v>
      </c>
      <c r="J1638">
        <v>16.5</v>
      </c>
      <c r="K1638" t="s">
        <v>58</v>
      </c>
      <c r="L1638" t="s">
        <v>13</v>
      </c>
      <c r="M1638" t="s">
        <v>14</v>
      </c>
      <c r="N1638" t="s">
        <v>15</v>
      </c>
    </row>
    <row r="1639" spans="1:14" x14ac:dyDescent="0.25">
      <c r="A1639">
        <v>12990</v>
      </c>
      <c r="B1639">
        <v>5700</v>
      </c>
      <c r="C1639">
        <f>1/COUNTIF(B:B,pizza_sales[[#This Row],[order_id]])</f>
        <v>0.25</v>
      </c>
      <c r="D1639" t="s">
        <v>48</v>
      </c>
      <c r="E1639">
        <v>1</v>
      </c>
      <c r="F1639" s="1">
        <v>42159</v>
      </c>
      <c r="G1639" s="1" t="str">
        <f>TEXT(pizza_sales[[#This Row],[order_date]],"dddd")</f>
        <v>Thursday</v>
      </c>
      <c r="H1639" s="2">
        <v>0.55921296296296297</v>
      </c>
      <c r="I1639">
        <v>12.25</v>
      </c>
      <c r="J1639">
        <v>12.25</v>
      </c>
      <c r="K1639" t="s">
        <v>60</v>
      </c>
      <c r="L1639" t="s">
        <v>35</v>
      </c>
      <c r="M1639" t="s">
        <v>40</v>
      </c>
      <c r="N1639" t="s">
        <v>41</v>
      </c>
    </row>
    <row r="1640" spans="1:14" x14ac:dyDescent="0.25">
      <c r="A1640">
        <v>12991</v>
      </c>
      <c r="B1640">
        <v>5700</v>
      </c>
      <c r="C1640">
        <f>1/COUNTIF(B:B,pizza_sales[[#This Row],[order_id]])</f>
        <v>0.25</v>
      </c>
      <c r="D1640" t="s">
        <v>20</v>
      </c>
      <c r="E1640">
        <v>1</v>
      </c>
      <c r="F1640" s="1">
        <v>42159</v>
      </c>
      <c r="G1640" s="1" t="str">
        <f>TEXT(pizza_sales[[#This Row],[order_date]],"dddd")</f>
        <v>Thursday</v>
      </c>
      <c r="H1640" s="2">
        <v>0.55921296296296297</v>
      </c>
      <c r="I1640">
        <v>12</v>
      </c>
      <c r="J1640">
        <v>12</v>
      </c>
      <c r="K1640" t="s">
        <v>60</v>
      </c>
      <c r="L1640" t="s">
        <v>13</v>
      </c>
      <c r="M1640" t="s">
        <v>21</v>
      </c>
      <c r="N1640" t="s">
        <v>22</v>
      </c>
    </row>
    <row r="1641" spans="1:14" x14ac:dyDescent="0.25">
      <c r="A1641">
        <v>12992</v>
      </c>
      <c r="B1641">
        <v>5700</v>
      </c>
      <c r="C1641">
        <f>1/COUNTIF(B:B,pizza_sales[[#This Row],[order_id]])</f>
        <v>0.25</v>
      </c>
      <c r="D1641" t="s">
        <v>46</v>
      </c>
      <c r="E1641">
        <v>1</v>
      </c>
      <c r="F1641" s="1">
        <v>42159</v>
      </c>
      <c r="G1641" s="1" t="str">
        <f>TEXT(pizza_sales[[#This Row],[order_date]],"dddd")</f>
        <v>Thursday</v>
      </c>
      <c r="H1641" s="2">
        <v>0.55921296296296297</v>
      </c>
      <c r="I1641">
        <v>25.5</v>
      </c>
      <c r="J1641">
        <v>25.5</v>
      </c>
      <c r="K1641" t="s">
        <v>61</v>
      </c>
      <c r="L1641" t="s">
        <v>13</v>
      </c>
      <c r="M1641" t="s">
        <v>21</v>
      </c>
      <c r="N1641" t="s">
        <v>22</v>
      </c>
    </row>
    <row r="1642" spans="1:14" x14ac:dyDescent="0.25">
      <c r="A1642">
        <v>13000</v>
      </c>
      <c r="B1642">
        <v>5703</v>
      </c>
      <c r="C1642">
        <f>1/COUNTIF(B:B,pizza_sales[[#This Row],[order_id]])</f>
        <v>1</v>
      </c>
      <c r="D1642" t="s">
        <v>43</v>
      </c>
      <c r="E1642">
        <v>1</v>
      </c>
      <c r="F1642" s="1">
        <v>42159</v>
      </c>
      <c r="G1642" s="1" t="str">
        <f>TEXT(pizza_sales[[#This Row],[order_date]],"dddd")</f>
        <v>Thursday</v>
      </c>
      <c r="H1642" s="2">
        <v>0.57952546296296292</v>
      </c>
      <c r="I1642">
        <v>16.25</v>
      </c>
      <c r="J1642">
        <v>16.25</v>
      </c>
      <c r="K1642" t="s">
        <v>59</v>
      </c>
      <c r="L1642" t="s">
        <v>35</v>
      </c>
      <c r="M1642" t="s">
        <v>40</v>
      </c>
      <c r="N1642" t="s">
        <v>41</v>
      </c>
    </row>
    <row r="1643" spans="1:14" x14ac:dyDescent="0.25">
      <c r="A1643">
        <v>13001</v>
      </c>
      <c r="B1643">
        <v>5704</v>
      </c>
      <c r="C1643">
        <f>1/COUNTIF(B:B,pizza_sales[[#This Row],[order_id]])</f>
        <v>1</v>
      </c>
      <c r="D1643" t="s">
        <v>34</v>
      </c>
      <c r="E1643">
        <v>1</v>
      </c>
      <c r="F1643" s="1">
        <v>42159</v>
      </c>
      <c r="G1643" s="1" t="str">
        <f>TEXT(pizza_sales[[#This Row],[order_date]],"dddd")</f>
        <v>Thursday</v>
      </c>
      <c r="H1643" s="2">
        <v>0.60403935185185187</v>
      </c>
      <c r="I1643">
        <v>16.25</v>
      </c>
      <c r="J1643">
        <v>16.25</v>
      </c>
      <c r="K1643" t="s">
        <v>59</v>
      </c>
      <c r="L1643" t="s">
        <v>35</v>
      </c>
      <c r="M1643" t="s">
        <v>36</v>
      </c>
      <c r="N1643" t="s">
        <v>37</v>
      </c>
    </row>
    <row r="1644" spans="1:14" x14ac:dyDescent="0.25">
      <c r="A1644">
        <v>13003</v>
      </c>
      <c r="B1644">
        <v>5706</v>
      </c>
      <c r="C1644">
        <f>1/COUNTIF(B:B,pizza_sales[[#This Row],[order_id]])</f>
        <v>1</v>
      </c>
      <c r="D1644" t="s">
        <v>56</v>
      </c>
      <c r="E1644">
        <v>1</v>
      </c>
      <c r="F1644" s="1">
        <v>42159</v>
      </c>
      <c r="G1644" s="1" t="str">
        <f>TEXT(pizza_sales[[#This Row],[order_date]],"dddd")</f>
        <v>Thursday</v>
      </c>
      <c r="H1644" s="2">
        <v>0.62442129629629628</v>
      </c>
      <c r="I1644">
        <v>20.25</v>
      </c>
      <c r="J1644">
        <v>20.25</v>
      </c>
      <c r="K1644" t="s">
        <v>58</v>
      </c>
      <c r="L1644" t="s">
        <v>35</v>
      </c>
      <c r="M1644" t="s">
        <v>36</v>
      </c>
      <c r="N1644" t="s">
        <v>37</v>
      </c>
    </row>
    <row r="1645" spans="1:14" x14ac:dyDescent="0.25">
      <c r="A1645">
        <v>13008</v>
      </c>
      <c r="B1645">
        <v>5707</v>
      </c>
      <c r="C1645">
        <f>1/COUNTIF(B:B,pizza_sales[[#This Row],[order_id]])</f>
        <v>1</v>
      </c>
      <c r="D1645" t="s">
        <v>46</v>
      </c>
      <c r="E1645">
        <v>1</v>
      </c>
      <c r="F1645" s="1">
        <v>42159</v>
      </c>
      <c r="G1645" s="1" t="str">
        <f>TEXT(pizza_sales[[#This Row],[order_date]],"dddd")</f>
        <v>Thursday</v>
      </c>
      <c r="H1645" s="2">
        <v>0.63921296296296293</v>
      </c>
      <c r="I1645">
        <v>25.5</v>
      </c>
      <c r="J1645">
        <v>25.5</v>
      </c>
      <c r="K1645" t="s">
        <v>61</v>
      </c>
      <c r="L1645" t="s">
        <v>13</v>
      </c>
      <c r="M1645" t="s">
        <v>21</v>
      </c>
      <c r="N1645" t="s">
        <v>22</v>
      </c>
    </row>
    <row r="1646" spans="1:14" x14ac:dyDescent="0.25">
      <c r="A1646">
        <v>13009</v>
      </c>
      <c r="B1646">
        <v>5708</v>
      </c>
      <c r="C1646">
        <f>1/COUNTIF(B:B,pizza_sales[[#This Row],[order_id]])</f>
        <v>1</v>
      </c>
      <c r="D1646" t="s">
        <v>42</v>
      </c>
      <c r="E1646">
        <v>1</v>
      </c>
      <c r="F1646" s="1">
        <v>42159</v>
      </c>
      <c r="G1646" s="1" t="str">
        <f>TEXT(pizza_sales[[#This Row],[order_date]],"dddd")</f>
        <v>Thursday</v>
      </c>
      <c r="H1646" s="2">
        <v>0.64807870370370368</v>
      </c>
      <c r="I1646">
        <v>12.5</v>
      </c>
      <c r="J1646">
        <v>12.5</v>
      </c>
      <c r="K1646" t="s">
        <v>59</v>
      </c>
      <c r="L1646" t="s">
        <v>13</v>
      </c>
      <c r="M1646" t="s">
        <v>26</v>
      </c>
      <c r="N1646" t="s">
        <v>27</v>
      </c>
    </row>
    <row r="1647" spans="1:14" x14ac:dyDescent="0.25">
      <c r="A1647">
        <v>13010</v>
      </c>
      <c r="B1647">
        <v>5709</v>
      </c>
      <c r="C1647">
        <f>1/COUNTIF(B:B,pizza_sales[[#This Row],[order_id]])</f>
        <v>0.5</v>
      </c>
      <c r="D1647" t="s">
        <v>12</v>
      </c>
      <c r="E1647">
        <v>1</v>
      </c>
      <c r="F1647" s="1">
        <v>42159</v>
      </c>
      <c r="G1647" s="1" t="str">
        <f>TEXT(pizza_sales[[#This Row],[order_date]],"dddd")</f>
        <v>Thursday</v>
      </c>
      <c r="H1647" s="2">
        <v>0.66408564814814819</v>
      </c>
      <c r="I1647">
        <v>13.25</v>
      </c>
      <c r="J1647">
        <v>13.25</v>
      </c>
      <c r="K1647" t="s">
        <v>59</v>
      </c>
      <c r="L1647" t="s">
        <v>13</v>
      </c>
      <c r="M1647" t="s">
        <v>14</v>
      </c>
      <c r="N1647" t="s">
        <v>15</v>
      </c>
    </row>
    <row r="1648" spans="1:14" x14ac:dyDescent="0.25">
      <c r="A1648">
        <v>13013</v>
      </c>
      <c r="B1648">
        <v>5709</v>
      </c>
      <c r="C1648">
        <f>1/COUNTIF(B:B,pizza_sales[[#This Row],[order_id]])</f>
        <v>0.5</v>
      </c>
      <c r="D1648" t="s">
        <v>31</v>
      </c>
      <c r="E1648">
        <v>1</v>
      </c>
      <c r="F1648" s="1">
        <v>42159</v>
      </c>
      <c r="G1648" s="1" t="str">
        <f>TEXT(pizza_sales[[#This Row],[order_date]],"dddd")</f>
        <v>Thursday</v>
      </c>
      <c r="H1648" s="2">
        <v>0.66408564814814819</v>
      </c>
      <c r="I1648">
        <v>12</v>
      </c>
      <c r="J1648">
        <v>12</v>
      </c>
      <c r="K1648" t="s">
        <v>60</v>
      </c>
      <c r="L1648" t="s">
        <v>13</v>
      </c>
      <c r="M1648" t="s">
        <v>32</v>
      </c>
      <c r="N1648" t="s">
        <v>33</v>
      </c>
    </row>
    <row r="1649" spans="1:14" x14ac:dyDescent="0.25">
      <c r="A1649">
        <v>13015</v>
      </c>
      <c r="B1649">
        <v>5710</v>
      </c>
      <c r="C1649">
        <f>1/COUNTIF(B:B,pizza_sales[[#This Row],[order_id]])</f>
        <v>0.5</v>
      </c>
      <c r="D1649" t="s">
        <v>44</v>
      </c>
      <c r="E1649">
        <v>1</v>
      </c>
      <c r="F1649" s="1">
        <v>42159</v>
      </c>
      <c r="G1649" s="1" t="str">
        <f>TEXT(pizza_sales[[#This Row],[order_date]],"dddd")</f>
        <v>Thursday</v>
      </c>
      <c r="H1649" s="2">
        <v>0.67249999999999999</v>
      </c>
      <c r="I1649">
        <v>9.75</v>
      </c>
      <c r="J1649">
        <v>9.75</v>
      </c>
      <c r="K1649" t="s">
        <v>60</v>
      </c>
      <c r="L1649" t="s">
        <v>13</v>
      </c>
      <c r="M1649" t="s">
        <v>26</v>
      </c>
      <c r="N1649" t="s">
        <v>27</v>
      </c>
    </row>
    <row r="1650" spans="1:14" x14ac:dyDescent="0.25">
      <c r="A1650">
        <v>13016</v>
      </c>
      <c r="B1650">
        <v>5710</v>
      </c>
      <c r="C1650">
        <f>1/COUNTIF(B:B,pizza_sales[[#This Row],[order_id]])</f>
        <v>0.5</v>
      </c>
      <c r="D1650" t="s">
        <v>43</v>
      </c>
      <c r="E1650">
        <v>1</v>
      </c>
      <c r="F1650" s="1">
        <v>42159</v>
      </c>
      <c r="G1650" s="1" t="str">
        <f>TEXT(pizza_sales[[#This Row],[order_date]],"dddd")</f>
        <v>Thursday</v>
      </c>
      <c r="H1650" s="2">
        <v>0.67249999999999999</v>
      </c>
      <c r="I1650">
        <v>16.25</v>
      </c>
      <c r="J1650">
        <v>16.25</v>
      </c>
      <c r="K1650" t="s">
        <v>59</v>
      </c>
      <c r="L1650" t="s">
        <v>35</v>
      </c>
      <c r="M1650" t="s">
        <v>40</v>
      </c>
      <c r="N1650" t="s">
        <v>41</v>
      </c>
    </row>
    <row r="1651" spans="1:14" x14ac:dyDescent="0.25">
      <c r="A1651">
        <v>13021</v>
      </c>
      <c r="B1651">
        <v>5711</v>
      </c>
      <c r="C1651">
        <f>1/COUNTIF(B:B,pizza_sales[[#This Row],[order_id]])</f>
        <v>1</v>
      </c>
      <c r="D1651" t="s">
        <v>46</v>
      </c>
      <c r="E1651">
        <v>1</v>
      </c>
      <c r="F1651" s="1">
        <v>42159</v>
      </c>
      <c r="G1651" s="1" t="str">
        <f>TEXT(pizza_sales[[#This Row],[order_date]],"dddd")</f>
        <v>Thursday</v>
      </c>
      <c r="H1651" s="2">
        <v>0.7034259259259259</v>
      </c>
      <c r="I1651">
        <v>25.5</v>
      </c>
      <c r="J1651">
        <v>25.5</v>
      </c>
      <c r="K1651" t="s">
        <v>61</v>
      </c>
      <c r="L1651" t="s">
        <v>13</v>
      </c>
      <c r="M1651" t="s">
        <v>21</v>
      </c>
      <c r="N1651" t="s">
        <v>22</v>
      </c>
    </row>
    <row r="1652" spans="1:14" x14ac:dyDescent="0.25">
      <c r="A1652">
        <v>13024</v>
      </c>
      <c r="B1652">
        <v>5713</v>
      </c>
      <c r="C1652">
        <f>1/COUNTIF(B:B,pizza_sales[[#This Row],[order_id]])</f>
        <v>1</v>
      </c>
      <c r="D1652" t="s">
        <v>45</v>
      </c>
      <c r="E1652">
        <v>1</v>
      </c>
      <c r="F1652" s="1">
        <v>42159</v>
      </c>
      <c r="G1652" s="1" t="str">
        <f>TEXT(pizza_sales[[#This Row],[order_date]],"dddd")</f>
        <v>Thursday</v>
      </c>
      <c r="H1652" s="2">
        <v>0.71686342592592589</v>
      </c>
      <c r="I1652">
        <v>10.5</v>
      </c>
      <c r="J1652">
        <v>10.5</v>
      </c>
      <c r="K1652" t="s">
        <v>60</v>
      </c>
      <c r="L1652" t="s">
        <v>13</v>
      </c>
      <c r="M1652" t="s">
        <v>14</v>
      </c>
      <c r="N1652" t="s">
        <v>15</v>
      </c>
    </row>
    <row r="1653" spans="1:14" x14ac:dyDescent="0.25">
      <c r="A1653">
        <v>13027</v>
      </c>
      <c r="B1653">
        <v>5714</v>
      </c>
      <c r="C1653">
        <f>1/COUNTIF(B:B,pizza_sales[[#This Row],[order_id]])</f>
        <v>1</v>
      </c>
      <c r="D1653" t="s">
        <v>46</v>
      </c>
      <c r="E1653">
        <v>1</v>
      </c>
      <c r="F1653" s="1">
        <v>42159</v>
      </c>
      <c r="G1653" s="1" t="str">
        <f>TEXT(pizza_sales[[#This Row],[order_date]],"dddd")</f>
        <v>Thursday</v>
      </c>
      <c r="H1653" s="2">
        <v>0.72361111111111109</v>
      </c>
      <c r="I1653">
        <v>25.5</v>
      </c>
      <c r="J1653">
        <v>25.5</v>
      </c>
      <c r="K1653" t="s">
        <v>61</v>
      </c>
      <c r="L1653" t="s">
        <v>13</v>
      </c>
      <c r="M1653" t="s">
        <v>21</v>
      </c>
      <c r="N1653" t="s">
        <v>22</v>
      </c>
    </row>
    <row r="1654" spans="1:14" x14ac:dyDescent="0.25">
      <c r="A1654">
        <v>13030</v>
      </c>
      <c r="B1654">
        <v>5715</v>
      </c>
      <c r="C1654">
        <f>1/COUNTIF(B:B,pizza_sales[[#This Row],[order_id]])</f>
        <v>1</v>
      </c>
      <c r="D1654" t="s">
        <v>16</v>
      </c>
      <c r="E1654">
        <v>1</v>
      </c>
      <c r="F1654" s="1">
        <v>42159</v>
      </c>
      <c r="G1654" s="1" t="str">
        <f>TEXT(pizza_sales[[#This Row],[order_date]],"dddd")</f>
        <v>Thursday</v>
      </c>
      <c r="H1654" s="2">
        <v>0.7298958333333333</v>
      </c>
      <c r="I1654">
        <v>16</v>
      </c>
      <c r="J1654">
        <v>16</v>
      </c>
      <c r="K1654" t="s">
        <v>59</v>
      </c>
      <c r="L1654" t="s">
        <v>17</v>
      </c>
      <c r="M1654" t="s">
        <v>18</v>
      </c>
      <c r="N1654" t="s">
        <v>19</v>
      </c>
    </row>
    <row r="1655" spans="1:14" x14ac:dyDescent="0.25">
      <c r="A1655">
        <v>13034</v>
      </c>
      <c r="B1655">
        <v>5716</v>
      </c>
      <c r="C1655">
        <f>1/COUNTIF(B:B,pizza_sales[[#This Row],[order_id]])</f>
        <v>1</v>
      </c>
      <c r="D1655" t="s">
        <v>55</v>
      </c>
      <c r="E1655">
        <v>1</v>
      </c>
      <c r="F1655" s="1">
        <v>42159</v>
      </c>
      <c r="G1655" s="1" t="str">
        <f>TEXT(pizza_sales[[#This Row],[order_date]],"dddd")</f>
        <v>Thursday</v>
      </c>
      <c r="H1655" s="2">
        <v>0.73239583333333336</v>
      </c>
      <c r="I1655">
        <v>20.5</v>
      </c>
      <c r="J1655">
        <v>20.5</v>
      </c>
      <c r="K1655" t="s">
        <v>58</v>
      </c>
      <c r="L1655" t="s">
        <v>13</v>
      </c>
      <c r="M1655" t="s">
        <v>21</v>
      </c>
      <c r="N1655" t="s">
        <v>22</v>
      </c>
    </row>
    <row r="1656" spans="1:14" x14ac:dyDescent="0.25">
      <c r="A1656">
        <v>13035</v>
      </c>
      <c r="B1656">
        <v>5717</v>
      </c>
      <c r="C1656">
        <f>1/COUNTIF(B:B,pizza_sales[[#This Row],[order_id]])</f>
        <v>1</v>
      </c>
      <c r="D1656" t="s">
        <v>56</v>
      </c>
      <c r="E1656">
        <v>1</v>
      </c>
      <c r="F1656" s="1">
        <v>42159</v>
      </c>
      <c r="G1656" s="1" t="str">
        <f>TEXT(pizza_sales[[#This Row],[order_date]],"dddd")</f>
        <v>Thursday</v>
      </c>
      <c r="H1656" s="2">
        <v>0.73362268518518514</v>
      </c>
      <c r="I1656">
        <v>20.25</v>
      </c>
      <c r="J1656">
        <v>20.25</v>
      </c>
      <c r="K1656" t="s">
        <v>58</v>
      </c>
      <c r="L1656" t="s">
        <v>35</v>
      </c>
      <c r="M1656" t="s">
        <v>36</v>
      </c>
      <c r="N1656" t="s">
        <v>37</v>
      </c>
    </row>
    <row r="1657" spans="1:14" x14ac:dyDescent="0.25">
      <c r="A1657">
        <v>13047</v>
      </c>
      <c r="B1657">
        <v>5721</v>
      </c>
      <c r="C1657">
        <f>1/COUNTIF(B:B,pizza_sales[[#This Row],[order_id]])</f>
        <v>1</v>
      </c>
      <c r="D1657" t="s">
        <v>47</v>
      </c>
      <c r="E1657">
        <v>1</v>
      </c>
      <c r="F1657" s="1">
        <v>42159</v>
      </c>
      <c r="G1657" s="1" t="str">
        <f>TEXT(pizza_sales[[#This Row],[order_date]],"dddd")</f>
        <v>Thursday</v>
      </c>
      <c r="H1657" s="2">
        <v>0.76751157407407411</v>
      </c>
      <c r="I1657">
        <v>16.5</v>
      </c>
      <c r="J1657">
        <v>16.5</v>
      </c>
      <c r="K1657" t="s">
        <v>58</v>
      </c>
      <c r="L1657" t="s">
        <v>13</v>
      </c>
      <c r="M1657" t="s">
        <v>14</v>
      </c>
      <c r="N1657" t="s">
        <v>15</v>
      </c>
    </row>
    <row r="1658" spans="1:14" x14ac:dyDescent="0.25">
      <c r="A1658">
        <v>13048</v>
      </c>
      <c r="B1658">
        <v>5722</v>
      </c>
      <c r="C1658">
        <f>1/COUNTIF(B:B,pizza_sales[[#This Row],[order_id]])</f>
        <v>0.33333333333333331</v>
      </c>
      <c r="D1658" t="s">
        <v>42</v>
      </c>
      <c r="E1658">
        <v>1</v>
      </c>
      <c r="F1658" s="1">
        <v>42159</v>
      </c>
      <c r="G1658" s="1" t="str">
        <f>TEXT(pizza_sales[[#This Row],[order_date]],"dddd")</f>
        <v>Thursday</v>
      </c>
      <c r="H1658" s="2">
        <v>0.77497685185185183</v>
      </c>
      <c r="I1658">
        <v>12.5</v>
      </c>
      <c r="J1658">
        <v>12.5</v>
      </c>
      <c r="K1658" t="s">
        <v>59</v>
      </c>
      <c r="L1658" t="s">
        <v>13</v>
      </c>
      <c r="M1658" t="s">
        <v>26</v>
      </c>
      <c r="N1658" t="s">
        <v>27</v>
      </c>
    </row>
    <row r="1659" spans="1:14" x14ac:dyDescent="0.25">
      <c r="A1659">
        <v>13049</v>
      </c>
      <c r="B1659">
        <v>5722</v>
      </c>
      <c r="C1659">
        <f>1/COUNTIF(B:B,pizza_sales[[#This Row],[order_id]])</f>
        <v>0.33333333333333331</v>
      </c>
      <c r="D1659" t="s">
        <v>48</v>
      </c>
      <c r="E1659">
        <v>1</v>
      </c>
      <c r="F1659" s="1">
        <v>42159</v>
      </c>
      <c r="G1659" s="1" t="str">
        <f>TEXT(pizza_sales[[#This Row],[order_date]],"dddd")</f>
        <v>Thursday</v>
      </c>
      <c r="H1659" s="2">
        <v>0.77497685185185183</v>
      </c>
      <c r="I1659">
        <v>12.25</v>
      </c>
      <c r="J1659">
        <v>12.25</v>
      </c>
      <c r="K1659" t="s">
        <v>60</v>
      </c>
      <c r="L1659" t="s">
        <v>35</v>
      </c>
      <c r="M1659" t="s">
        <v>40</v>
      </c>
      <c r="N1659" t="s">
        <v>41</v>
      </c>
    </row>
    <row r="1660" spans="1:14" x14ac:dyDescent="0.25">
      <c r="A1660">
        <v>13051</v>
      </c>
      <c r="B1660">
        <v>5722</v>
      </c>
      <c r="C1660">
        <f>1/COUNTIF(B:B,pizza_sales[[#This Row],[order_id]])</f>
        <v>0.33333333333333331</v>
      </c>
      <c r="D1660" t="s">
        <v>49</v>
      </c>
      <c r="E1660">
        <v>1</v>
      </c>
      <c r="F1660" s="1">
        <v>42159</v>
      </c>
      <c r="G1660" s="1" t="str">
        <f>TEXT(pizza_sales[[#This Row],[order_date]],"dddd")</f>
        <v>Thursday</v>
      </c>
      <c r="H1660" s="2">
        <v>0.77497685185185183</v>
      </c>
      <c r="I1660">
        <v>16</v>
      </c>
      <c r="J1660">
        <v>16</v>
      </c>
      <c r="K1660" t="s">
        <v>59</v>
      </c>
      <c r="L1660" t="s">
        <v>13</v>
      </c>
      <c r="M1660" t="s">
        <v>21</v>
      </c>
      <c r="N1660" t="s">
        <v>22</v>
      </c>
    </row>
    <row r="1661" spans="1:14" x14ac:dyDescent="0.25">
      <c r="A1661">
        <v>13052</v>
      </c>
      <c r="B1661">
        <v>5723</v>
      </c>
      <c r="C1661">
        <f>1/COUNTIF(B:B,pizza_sales[[#This Row],[order_id]])</f>
        <v>1</v>
      </c>
      <c r="D1661" t="s">
        <v>46</v>
      </c>
      <c r="E1661">
        <v>1</v>
      </c>
      <c r="F1661" s="1">
        <v>42159</v>
      </c>
      <c r="G1661" s="1" t="str">
        <f>TEXT(pizza_sales[[#This Row],[order_date]],"dddd")</f>
        <v>Thursday</v>
      </c>
      <c r="H1661" s="2">
        <v>0.77802083333333338</v>
      </c>
      <c r="I1661">
        <v>25.5</v>
      </c>
      <c r="J1661">
        <v>25.5</v>
      </c>
      <c r="K1661" t="s">
        <v>61</v>
      </c>
      <c r="L1661" t="s">
        <v>13</v>
      </c>
      <c r="M1661" t="s">
        <v>21</v>
      </c>
      <c r="N1661" t="s">
        <v>22</v>
      </c>
    </row>
    <row r="1662" spans="1:14" x14ac:dyDescent="0.25">
      <c r="A1662">
        <v>13058</v>
      </c>
      <c r="B1662">
        <v>5725</v>
      </c>
      <c r="C1662">
        <f>1/COUNTIF(B:B,pizza_sales[[#This Row],[order_id]])</f>
        <v>1</v>
      </c>
      <c r="D1662" t="s">
        <v>45</v>
      </c>
      <c r="E1662">
        <v>1</v>
      </c>
      <c r="F1662" s="1">
        <v>42159</v>
      </c>
      <c r="G1662" s="1" t="str">
        <f>TEXT(pizza_sales[[#This Row],[order_date]],"dddd")</f>
        <v>Thursday</v>
      </c>
      <c r="H1662" s="2">
        <v>0.79116898148148151</v>
      </c>
      <c r="I1662">
        <v>10.5</v>
      </c>
      <c r="J1662">
        <v>10.5</v>
      </c>
      <c r="K1662" t="s">
        <v>60</v>
      </c>
      <c r="L1662" t="s">
        <v>13</v>
      </c>
      <c r="M1662" t="s">
        <v>14</v>
      </c>
      <c r="N1662" t="s">
        <v>15</v>
      </c>
    </row>
    <row r="1663" spans="1:14" x14ac:dyDescent="0.25">
      <c r="A1663">
        <v>13061</v>
      </c>
      <c r="B1663">
        <v>5727</v>
      </c>
      <c r="C1663">
        <f>1/COUNTIF(B:B,pizza_sales[[#This Row],[order_id]])</f>
        <v>0.5</v>
      </c>
      <c r="D1663" t="s">
        <v>47</v>
      </c>
      <c r="E1663">
        <v>1</v>
      </c>
      <c r="F1663" s="1">
        <v>42159</v>
      </c>
      <c r="G1663" s="1" t="str">
        <f>TEXT(pizza_sales[[#This Row],[order_date]],"dddd")</f>
        <v>Thursday</v>
      </c>
      <c r="H1663" s="2">
        <v>0.79572916666666671</v>
      </c>
      <c r="I1663">
        <v>16.5</v>
      </c>
      <c r="J1663">
        <v>16.5</v>
      </c>
      <c r="K1663" t="s">
        <v>58</v>
      </c>
      <c r="L1663" t="s">
        <v>13</v>
      </c>
      <c r="M1663" t="s">
        <v>14</v>
      </c>
      <c r="N1663" t="s">
        <v>15</v>
      </c>
    </row>
    <row r="1664" spans="1:14" x14ac:dyDescent="0.25">
      <c r="A1664">
        <v>13062</v>
      </c>
      <c r="B1664">
        <v>5727</v>
      </c>
      <c r="C1664">
        <f>1/COUNTIF(B:B,pizza_sales[[#This Row],[order_id]])</f>
        <v>0.5</v>
      </c>
      <c r="D1664" t="s">
        <v>24</v>
      </c>
      <c r="E1664">
        <v>1</v>
      </c>
      <c r="F1664" s="1">
        <v>42159</v>
      </c>
      <c r="G1664" s="1" t="str">
        <f>TEXT(pizza_sales[[#This Row],[order_date]],"dddd")</f>
        <v>Thursday</v>
      </c>
      <c r="H1664" s="2">
        <v>0.79572916666666671</v>
      </c>
      <c r="I1664">
        <v>20.25</v>
      </c>
      <c r="J1664">
        <v>20.25</v>
      </c>
      <c r="K1664" t="s">
        <v>58</v>
      </c>
      <c r="L1664" t="s">
        <v>17</v>
      </c>
      <c r="M1664" t="s">
        <v>18</v>
      </c>
      <c r="N1664" t="s">
        <v>19</v>
      </c>
    </row>
    <row r="1665" spans="1:14" x14ac:dyDescent="0.25">
      <c r="A1665">
        <v>13063</v>
      </c>
      <c r="B1665">
        <v>5728</v>
      </c>
      <c r="C1665">
        <f>1/COUNTIF(B:B,pizza_sales[[#This Row],[order_id]])</f>
        <v>0.5</v>
      </c>
      <c r="D1665" t="s">
        <v>28</v>
      </c>
      <c r="E1665">
        <v>1</v>
      </c>
      <c r="F1665" s="1">
        <v>42159</v>
      </c>
      <c r="G1665" s="1" t="str">
        <f>TEXT(pizza_sales[[#This Row],[order_date]],"dddd")</f>
        <v>Thursday</v>
      </c>
      <c r="H1665" s="2">
        <v>0.8</v>
      </c>
      <c r="I1665">
        <v>12</v>
      </c>
      <c r="J1665">
        <v>12</v>
      </c>
      <c r="K1665" t="s">
        <v>60</v>
      </c>
      <c r="L1665" t="s">
        <v>13</v>
      </c>
      <c r="M1665" t="s">
        <v>29</v>
      </c>
      <c r="N1665" t="s">
        <v>30</v>
      </c>
    </row>
    <row r="1666" spans="1:14" x14ac:dyDescent="0.25">
      <c r="A1666">
        <v>13065</v>
      </c>
      <c r="B1666">
        <v>5728</v>
      </c>
      <c r="C1666">
        <f>1/COUNTIF(B:B,pizza_sales[[#This Row],[order_id]])</f>
        <v>0.5</v>
      </c>
      <c r="D1666" t="s">
        <v>23</v>
      </c>
      <c r="E1666">
        <v>1</v>
      </c>
      <c r="F1666" s="1">
        <v>42159</v>
      </c>
      <c r="G1666" s="1" t="str">
        <f>TEXT(pizza_sales[[#This Row],[order_date]],"dddd")</f>
        <v>Thursday</v>
      </c>
      <c r="H1666" s="2">
        <v>0.8</v>
      </c>
      <c r="I1666">
        <v>12</v>
      </c>
      <c r="J1666">
        <v>12</v>
      </c>
      <c r="K1666" t="s">
        <v>60</v>
      </c>
      <c r="L1666" t="s">
        <v>17</v>
      </c>
      <c r="M1666" t="s">
        <v>18</v>
      </c>
      <c r="N1666" t="s">
        <v>19</v>
      </c>
    </row>
    <row r="1667" spans="1:14" x14ac:dyDescent="0.25">
      <c r="A1667">
        <v>13067</v>
      </c>
      <c r="B1667">
        <v>5729</v>
      </c>
      <c r="C1667">
        <f>1/COUNTIF(B:B,pizza_sales[[#This Row],[order_id]])</f>
        <v>1</v>
      </c>
      <c r="D1667" t="s">
        <v>28</v>
      </c>
      <c r="E1667">
        <v>1</v>
      </c>
      <c r="F1667" s="1">
        <v>42159</v>
      </c>
      <c r="G1667" s="1" t="str">
        <f>TEXT(pizza_sales[[#This Row],[order_date]],"dddd")</f>
        <v>Thursday</v>
      </c>
      <c r="H1667" s="2">
        <v>0.80646990740740743</v>
      </c>
      <c r="I1667">
        <v>12</v>
      </c>
      <c r="J1667">
        <v>12</v>
      </c>
      <c r="K1667" t="s">
        <v>60</v>
      </c>
      <c r="L1667" t="s">
        <v>13</v>
      </c>
      <c r="M1667" t="s">
        <v>29</v>
      </c>
      <c r="N1667" t="s">
        <v>30</v>
      </c>
    </row>
    <row r="1668" spans="1:14" x14ac:dyDescent="0.25">
      <c r="A1668">
        <v>13069</v>
      </c>
      <c r="B1668">
        <v>5730</v>
      </c>
      <c r="C1668">
        <f>1/COUNTIF(B:B,pizza_sales[[#This Row],[order_id]])</f>
        <v>1</v>
      </c>
      <c r="D1668" t="s">
        <v>34</v>
      </c>
      <c r="E1668">
        <v>1</v>
      </c>
      <c r="F1668" s="1">
        <v>42159</v>
      </c>
      <c r="G1668" s="1" t="str">
        <f>TEXT(pizza_sales[[#This Row],[order_date]],"dddd")</f>
        <v>Thursday</v>
      </c>
      <c r="H1668" s="2">
        <v>0.81789351851851855</v>
      </c>
      <c r="I1668">
        <v>16.25</v>
      </c>
      <c r="J1668">
        <v>16.25</v>
      </c>
      <c r="K1668" t="s">
        <v>59</v>
      </c>
      <c r="L1668" t="s">
        <v>35</v>
      </c>
      <c r="M1668" t="s">
        <v>36</v>
      </c>
      <c r="N1668" t="s">
        <v>37</v>
      </c>
    </row>
    <row r="1669" spans="1:14" x14ac:dyDescent="0.25">
      <c r="A1669">
        <v>13075</v>
      </c>
      <c r="B1669">
        <v>5732</v>
      </c>
      <c r="C1669">
        <f>1/COUNTIF(B:B,pizza_sales[[#This Row],[order_id]])</f>
        <v>1</v>
      </c>
      <c r="D1669" t="s">
        <v>24</v>
      </c>
      <c r="E1669">
        <v>1</v>
      </c>
      <c r="F1669" s="1">
        <v>42159</v>
      </c>
      <c r="G1669" s="1" t="str">
        <f>TEXT(pizza_sales[[#This Row],[order_date]],"dddd")</f>
        <v>Thursday</v>
      </c>
      <c r="H1669" s="2">
        <v>0.83946759259259263</v>
      </c>
      <c r="I1669">
        <v>20.25</v>
      </c>
      <c r="J1669">
        <v>20.25</v>
      </c>
      <c r="K1669" t="s">
        <v>58</v>
      </c>
      <c r="L1669" t="s">
        <v>17</v>
      </c>
      <c r="M1669" t="s">
        <v>18</v>
      </c>
      <c r="N1669" t="s">
        <v>19</v>
      </c>
    </row>
    <row r="1670" spans="1:14" x14ac:dyDescent="0.25">
      <c r="A1670">
        <v>13084</v>
      </c>
      <c r="B1670">
        <v>5735</v>
      </c>
      <c r="C1670">
        <f>1/COUNTIF(B:B,pizza_sales[[#This Row],[order_id]])</f>
        <v>1</v>
      </c>
      <c r="D1670" t="s">
        <v>42</v>
      </c>
      <c r="E1670">
        <v>1</v>
      </c>
      <c r="F1670" s="1">
        <v>42159</v>
      </c>
      <c r="G1670" s="1" t="str">
        <f>TEXT(pizza_sales[[#This Row],[order_date]],"dddd")</f>
        <v>Thursday</v>
      </c>
      <c r="H1670" s="2">
        <v>0.88347222222222221</v>
      </c>
      <c r="I1670">
        <v>12.5</v>
      </c>
      <c r="J1670">
        <v>12.5</v>
      </c>
      <c r="K1670" t="s">
        <v>59</v>
      </c>
      <c r="L1670" t="s">
        <v>13</v>
      </c>
      <c r="M1670" t="s">
        <v>26</v>
      </c>
      <c r="N1670" t="s">
        <v>27</v>
      </c>
    </row>
    <row r="1671" spans="1:14" x14ac:dyDescent="0.25">
      <c r="A1671">
        <v>13089</v>
      </c>
      <c r="B1671">
        <v>5737</v>
      </c>
      <c r="C1671">
        <f>1/COUNTIF(B:B,pizza_sales[[#This Row],[order_id]])</f>
        <v>0.5</v>
      </c>
      <c r="D1671" t="s">
        <v>51</v>
      </c>
      <c r="E1671">
        <v>1</v>
      </c>
      <c r="F1671" s="1">
        <v>42159</v>
      </c>
      <c r="G1671" s="1" t="str">
        <f>TEXT(pizza_sales[[#This Row],[order_date]],"dddd")</f>
        <v>Thursday</v>
      </c>
      <c r="H1671" s="2">
        <v>0.88590277777777782</v>
      </c>
      <c r="I1671">
        <v>23.65</v>
      </c>
      <c r="J1671">
        <v>23.65</v>
      </c>
      <c r="K1671" t="s">
        <v>60</v>
      </c>
      <c r="L1671" t="s">
        <v>35</v>
      </c>
      <c r="M1671" t="s">
        <v>52</v>
      </c>
      <c r="N1671" t="s">
        <v>53</v>
      </c>
    </row>
    <row r="1672" spans="1:14" x14ac:dyDescent="0.25">
      <c r="A1672">
        <v>13090</v>
      </c>
      <c r="B1672">
        <v>5737</v>
      </c>
      <c r="C1672">
        <f>1/COUNTIF(B:B,pizza_sales[[#This Row],[order_id]])</f>
        <v>0.5</v>
      </c>
      <c r="D1672" t="s">
        <v>38</v>
      </c>
      <c r="E1672">
        <v>1</v>
      </c>
      <c r="F1672" s="1">
        <v>42159</v>
      </c>
      <c r="G1672" s="1" t="str">
        <f>TEXT(pizza_sales[[#This Row],[order_date]],"dddd")</f>
        <v>Thursday</v>
      </c>
      <c r="H1672" s="2">
        <v>0.88590277777777782</v>
      </c>
      <c r="I1672">
        <v>20.5</v>
      </c>
      <c r="J1672">
        <v>20.5</v>
      </c>
      <c r="K1672" t="s">
        <v>58</v>
      </c>
      <c r="L1672" t="s">
        <v>13</v>
      </c>
      <c r="M1672" t="s">
        <v>32</v>
      </c>
      <c r="N1672" t="s">
        <v>33</v>
      </c>
    </row>
    <row r="1673" spans="1:14" x14ac:dyDescent="0.25">
      <c r="A1673">
        <v>13092</v>
      </c>
      <c r="B1673">
        <v>5738</v>
      </c>
      <c r="C1673">
        <f>1/COUNTIF(B:B,pizza_sales[[#This Row],[order_id]])</f>
        <v>0.5</v>
      </c>
      <c r="D1673" t="s">
        <v>28</v>
      </c>
      <c r="E1673">
        <v>1</v>
      </c>
      <c r="F1673" s="1">
        <v>42159</v>
      </c>
      <c r="G1673" s="1" t="str">
        <f>TEXT(pizza_sales[[#This Row],[order_date]],"dddd")</f>
        <v>Thursday</v>
      </c>
      <c r="H1673" s="2">
        <v>0.9019907407407407</v>
      </c>
      <c r="I1673">
        <v>12</v>
      </c>
      <c r="J1673">
        <v>12</v>
      </c>
      <c r="K1673" t="s">
        <v>60</v>
      </c>
      <c r="L1673" t="s">
        <v>13</v>
      </c>
      <c r="M1673" t="s">
        <v>29</v>
      </c>
      <c r="N1673" t="s">
        <v>30</v>
      </c>
    </row>
    <row r="1674" spans="1:14" x14ac:dyDescent="0.25">
      <c r="A1674">
        <v>13095</v>
      </c>
      <c r="B1674">
        <v>5738</v>
      </c>
      <c r="C1674">
        <f>1/COUNTIF(B:B,pizza_sales[[#This Row],[order_id]])</f>
        <v>0.5</v>
      </c>
      <c r="D1674" t="s">
        <v>16</v>
      </c>
      <c r="E1674">
        <v>1</v>
      </c>
      <c r="F1674" s="1">
        <v>42159</v>
      </c>
      <c r="G1674" s="1" t="str">
        <f>TEXT(pizza_sales[[#This Row],[order_date]],"dddd")</f>
        <v>Thursday</v>
      </c>
      <c r="H1674" s="2">
        <v>0.9019907407407407</v>
      </c>
      <c r="I1674">
        <v>16</v>
      </c>
      <c r="J1674">
        <v>16</v>
      </c>
      <c r="K1674" t="s">
        <v>59</v>
      </c>
      <c r="L1674" t="s">
        <v>17</v>
      </c>
      <c r="M1674" t="s">
        <v>18</v>
      </c>
      <c r="N1674" t="s">
        <v>19</v>
      </c>
    </row>
    <row r="1675" spans="1:14" x14ac:dyDescent="0.25">
      <c r="A1675">
        <v>13102</v>
      </c>
      <c r="B1675">
        <v>5745</v>
      </c>
      <c r="C1675">
        <f>1/COUNTIF(B:B,pizza_sales[[#This Row],[order_id]])</f>
        <v>0.16666666666666666</v>
      </c>
      <c r="D1675" t="s">
        <v>28</v>
      </c>
      <c r="E1675">
        <v>1</v>
      </c>
      <c r="F1675" s="1">
        <v>42189</v>
      </c>
      <c r="G1675" s="1" t="str">
        <f>TEXT(pizza_sales[[#This Row],[order_date]],"dddd")</f>
        <v>Saturday</v>
      </c>
      <c r="H1675" s="2">
        <v>0.52664351851851854</v>
      </c>
      <c r="I1675">
        <v>12</v>
      </c>
      <c r="J1675">
        <v>12</v>
      </c>
      <c r="K1675" t="s">
        <v>60</v>
      </c>
      <c r="L1675" t="s">
        <v>13</v>
      </c>
      <c r="M1675" t="s">
        <v>29</v>
      </c>
      <c r="N1675" t="s">
        <v>30</v>
      </c>
    </row>
    <row r="1676" spans="1:14" x14ac:dyDescent="0.25">
      <c r="A1676">
        <v>13104</v>
      </c>
      <c r="B1676">
        <v>5745</v>
      </c>
      <c r="C1676">
        <f>1/COUNTIF(B:B,pizza_sales[[#This Row],[order_id]])</f>
        <v>0.16666666666666666</v>
      </c>
      <c r="D1676" t="s">
        <v>12</v>
      </c>
      <c r="E1676">
        <v>1</v>
      </c>
      <c r="F1676" s="1">
        <v>42189</v>
      </c>
      <c r="G1676" s="1" t="str">
        <f>TEXT(pizza_sales[[#This Row],[order_date]],"dddd")</f>
        <v>Saturday</v>
      </c>
      <c r="H1676" s="2">
        <v>0.52664351851851854</v>
      </c>
      <c r="I1676">
        <v>13.25</v>
      </c>
      <c r="J1676">
        <v>13.25</v>
      </c>
      <c r="K1676" t="s">
        <v>59</v>
      </c>
      <c r="L1676" t="s">
        <v>13</v>
      </c>
      <c r="M1676" t="s">
        <v>14</v>
      </c>
      <c r="N1676" t="s">
        <v>15</v>
      </c>
    </row>
    <row r="1677" spans="1:14" x14ac:dyDescent="0.25">
      <c r="A1677">
        <v>13106</v>
      </c>
      <c r="B1677">
        <v>5745</v>
      </c>
      <c r="C1677">
        <f>1/COUNTIF(B:B,pizza_sales[[#This Row],[order_id]])</f>
        <v>0.16666666666666666</v>
      </c>
      <c r="D1677" t="s">
        <v>31</v>
      </c>
      <c r="E1677">
        <v>1</v>
      </c>
      <c r="F1677" s="1">
        <v>42189</v>
      </c>
      <c r="G1677" s="1" t="str">
        <f>TEXT(pizza_sales[[#This Row],[order_date]],"dddd")</f>
        <v>Saturday</v>
      </c>
      <c r="H1677" s="2">
        <v>0.52664351851851854</v>
      </c>
      <c r="I1677">
        <v>12</v>
      </c>
      <c r="J1677">
        <v>12</v>
      </c>
      <c r="K1677" t="s">
        <v>60</v>
      </c>
      <c r="L1677" t="s">
        <v>13</v>
      </c>
      <c r="M1677" t="s">
        <v>32</v>
      </c>
      <c r="N1677" t="s">
        <v>33</v>
      </c>
    </row>
    <row r="1678" spans="1:14" x14ac:dyDescent="0.25">
      <c r="A1678">
        <v>13107</v>
      </c>
      <c r="B1678">
        <v>5745</v>
      </c>
      <c r="C1678">
        <f>1/COUNTIF(B:B,pizza_sales[[#This Row],[order_id]])</f>
        <v>0.16666666666666666</v>
      </c>
      <c r="D1678" t="s">
        <v>42</v>
      </c>
      <c r="E1678">
        <v>1</v>
      </c>
      <c r="F1678" s="1">
        <v>42189</v>
      </c>
      <c r="G1678" s="1" t="str">
        <f>TEXT(pizza_sales[[#This Row],[order_date]],"dddd")</f>
        <v>Saturday</v>
      </c>
      <c r="H1678" s="2">
        <v>0.52664351851851854</v>
      </c>
      <c r="I1678">
        <v>12.5</v>
      </c>
      <c r="J1678">
        <v>12.5</v>
      </c>
      <c r="K1678" t="s">
        <v>59</v>
      </c>
      <c r="L1678" t="s">
        <v>13</v>
      </c>
      <c r="M1678" t="s">
        <v>26</v>
      </c>
      <c r="N1678" t="s">
        <v>27</v>
      </c>
    </row>
    <row r="1679" spans="1:14" x14ac:dyDescent="0.25">
      <c r="A1679">
        <v>13108</v>
      </c>
      <c r="B1679">
        <v>5745</v>
      </c>
      <c r="C1679">
        <f>1/COUNTIF(B:B,pizza_sales[[#This Row],[order_id]])</f>
        <v>0.16666666666666666</v>
      </c>
      <c r="D1679" t="s">
        <v>39</v>
      </c>
      <c r="E1679">
        <v>1</v>
      </c>
      <c r="F1679" s="1">
        <v>42189</v>
      </c>
      <c r="G1679" s="1" t="str">
        <f>TEXT(pizza_sales[[#This Row],[order_date]],"dddd")</f>
        <v>Saturday</v>
      </c>
      <c r="H1679" s="2">
        <v>0.52664351851851854</v>
      </c>
      <c r="I1679">
        <v>20.25</v>
      </c>
      <c r="J1679">
        <v>20.25</v>
      </c>
      <c r="K1679" t="s">
        <v>58</v>
      </c>
      <c r="L1679" t="s">
        <v>35</v>
      </c>
      <c r="M1679" t="s">
        <v>40</v>
      </c>
      <c r="N1679" t="s">
        <v>41</v>
      </c>
    </row>
    <row r="1680" spans="1:14" x14ac:dyDescent="0.25">
      <c r="A1680">
        <v>13112</v>
      </c>
      <c r="B1680">
        <v>5745</v>
      </c>
      <c r="C1680">
        <f>1/COUNTIF(B:B,pizza_sales[[#This Row],[order_id]])</f>
        <v>0.16666666666666666</v>
      </c>
      <c r="D1680" t="s">
        <v>49</v>
      </c>
      <c r="E1680">
        <v>1</v>
      </c>
      <c r="F1680" s="1">
        <v>42189</v>
      </c>
      <c r="G1680" s="1" t="str">
        <f>TEXT(pizza_sales[[#This Row],[order_date]],"dddd")</f>
        <v>Saturday</v>
      </c>
      <c r="H1680" s="2">
        <v>0.52664351851851854</v>
      </c>
      <c r="I1680">
        <v>16</v>
      </c>
      <c r="J1680">
        <v>16</v>
      </c>
      <c r="K1680" t="s">
        <v>59</v>
      </c>
      <c r="L1680" t="s">
        <v>13</v>
      </c>
      <c r="M1680" t="s">
        <v>21</v>
      </c>
      <c r="N1680" t="s">
        <v>22</v>
      </c>
    </row>
    <row r="1681" spans="1:14" x14ac:dyDescent="0.25">
      <c r="A1681">
        <v>13114</v>
      </c>
      <c r="B1681">
        <v>5746</v>
      </c>
      <c r="C1681">
        <f>1/COUNTIF(B:B,pizza_sales[[#This Row],[order_id]])</f>
        <v>0.5</v>
      </c>
      <c r="D1681" t="s">
        <v>12</v>
      </c>
      <c r="E1681">
        <v>1</v>
      </c>
      <c r="F1681" s="1">
        <v>42189</v>
      </c>
      <c r="G1681" s="1" t="str">
        <f>TEXT(pizza_sales[[#This Row],[order_date]],"dddd")</f>
        <v>Saturday</v>
      </c>
      <c r="H1681" s="2">
        <v>0.52696759259259263</v>
      </c>
      <c r="I1681">
        <v>13.25</v>
      </c>
      <c r="J1681">
        <v>13.25</v>
      </c>
      <c r="K1681" t="s">
        <v>59</v>
      </c>
      <c r="L1681" t="s">
        <v>13</v>
      </c>
      <c r="M1681" t="s">
        <v>14</v>
      </c>
      <c r="N1681" t="s">
        <v>15</v>
      </c>
    </row>
    <row r="1682" spans="1:14" x14ac:dyDescent="0.25">
      <c r="A1682">
        <v>13115</v>
      </c>
      <c r="B1682">
        <v>5746</v>
      </c>
      <c r="C1682">
        <f>1/COUNTIF(B:B,pizza_sales[[#This Row],[order_id]])</f>
        <v>0.5</v>
      </c>
      <c r="D1682" t="s">
        <v>24</v>
      </c>
      <c r="E1682">
        <v>1</v>
      </c>
      <c r="F1682" s="1">
        <v>42189</v>
      </c>
      <c r="G1682" s="1" t="str">
        <f>TEXT(pizza_sales[[#This Row],[order_date]],"dddd")</f>
        <v>Saturday</v>
      </c>
      <c r="H1682" s="2">
        <v>0.52696759259259263</v>
      </c>
      <c r="I1682">
        <v>20.25</v>
      </c>
      <c r="J1682">
        <v>20.25</v>
      </c>
      <c r="K1682" t="s">
        <v>58</v>
      </c>
      <c r="L1682" t="s">
        <v>17</v>
      </c>
      <c r="M1682" t="s">
        <v>18</v>
      </c>
      <c r="N1682" t="s">
        <v>19</v>
      </c>
    </row>
    <row r="1683" spans="1:14" x14ac:dyDescent="0.25">
      <c r="A1683">
        <v>13116</v>
      </c>
      <c r="B1683">
        <v>5747</v>
      </c>
      <c r="C1683">
        <f>1/COUNTIF(B:B,pizza_sales[[#This Row],[order_id]])</f>
        <v>1</v>
      </c>
      <c r="D1683" t="s">
        <v>48</v>
      </c>
      <c r="E1683">
        <v>1</v>
      </c>
      <c r="F1683" s="1">
        <v>42189</v>
      </c>
      <c r="G1683" s="1" t="str">
        <f>TEXT(pizza_sales[[#This Row],[order_date]],"dddd")</f>
        <v>Saturday</v>
      </c>
      <c r="H1683" s="2">
        <v>0.53199074074074071</v>
      </c>
      <c r="I1683">
        <v>12.25</v>
      </c>
      <c r="J1683">
        <v>12.25</v>
      </c>
      <c r="K1683" t="s">
        <v>60</v>
      </c>
      <c r="L1683" t="s">
        <v>35</v>
      </c>
      <c r="M1683" t="s">
        <v>40</v>
      </c>
      <c r="N1683" t="s">
        <v>41</v>
      </c>
    </row>
    <row r="1684" spans="1:14" x14ac:dyDescent="0.25">
      <c r="A1684">
        <v>13118</v>
      </c>
      <c r="B1684">
        <v>5748</v>
      </c>
      <c r="C1684">
        <f>1/COUNTIF(B:B,pizza_sales[[#This Row],[order_id]])</f>
        <v>1</v>
      </c>
      <c r="D1684" t="s">
        <v>34</v>
      </c>
      <c r="E1684">
        <v>1</v>
      </c>
      <c r="F1684" s="1">
        <v>42189</v>
      </c>
      <c r="G1684" s="1" t="str">
        <f>TEXT(pizza_sales[[#This Row],[order_date]],"dddd")</f>
        <v>Saturday</v>
      </c>
      <c r="H1684" s="2">
        <v>0.5338194444444444</v>
      </c>
      <c r="I1684">
        <v>16.25</v>
      </c>
      <c r="J1684">
        <v>16.25</v>
      </c>
      <c r="K1684" t="s">
        <v>59</v>
      </c>
      <c r="L1684" t="s">
        <v>35</v>
      </c>
      <c r="M1684" t="s">
        <v>36</v>
      </c>
      <c r="N1684" t="s">
        <v>37</v>
      </c>
    </row>
    <row r="1685" spans="1:14" x14ac:dyDescent="0.25">
      <c r="A1685">
        <v>13121</v>
      </c>
      <c r="B1685">
        <v>5749</v>
      </c>
      <c r="C1685">
        <f>1/COUNTIF(B:B,pizza_sales[[#This Row],[order_id]])</f>
        <v>1</v>
      </c>
      <c r="D1685" t="s">
        <v>16</v>
      </c>
      <c r="E1685">
        <v>1</v>
      </c>
      <c r="F1685" s="1">
        <v>42189</v>
      </c>
      <c r="G1685" s="1" t="str">
        <f>TEXT(pizza_sales[[#This Row],[order_date]],"dddd")</f>
        <v>Saturday</v>
      </c>
      <c r="H1685" s="2">
        <v>0.53599537037037037</v>
      </c>
      <c r="I1685">
        <v>16</v>
      </c>
      <c r="J1685">
        <v>16</v>
      </c>
      <c r="K1685" t="s">
        <v>59</v>
      </c>
      <c r="L1685" t="s">
        <v>17</v>
      </c>
      <c r="M1685" t="s">
        <v>18</v>
      </c>
      <c r="N1685" t="s">
        <v>19</v>
      </c>
    </row>
    <row r="1686" spans="1:14" x14ac:dyDescent="0.25">
      <c r="A1686">
        <v>13126</v>
      </c>
      <c r="B1686">
        <v>5751</v>
      </c>
      <c r="C1686">
        <f>1/COUNTIF(B:B,pizza_sales[[#This Row],[order_id]])</f>
        <v>0.5</v>
      </c>
      <c r="D1686" t="s">
        <v>28</v>
      </c>
      <c r="E1686">
        <v>1</v>
      </c>
      <c r="F1686" s="1">
        <v>42189</v>
      </c>
      <c r="G1686" s="1" t="str">
        <f>TEXT(pizza_sales[[#This Row],[order_date]],"dddd")</f>
        <v>Saturday</v>
      </c>
      <c r="H1686" s="2">
        <v>0.53824074074074069</v>
      </c>
      <c r="I1686">
        <v>12</v>
      </c>
      <c r="J1686">
        <v>12</v>
      </c>
      <c r="K1686" t="s">
        <v>60</v>
      </c>
      <c r="L1686" t="s">
        <v>13</v>
      </c>
      <c r="M1686" t="s">
        <v>29</v>
      </c>
      <c r="N1686" t="s">
        <v>30</v>
      </c>
    </row>
    <row r="1687" spans="1:14" x14ac:dyDescent="0.25">
      <c r="A1687">
        <v>13127</v>
      </c>
      <c r="B1687">
        <v>5751</v>
      </c>
      <c r="C1687">
        <f>1/COUNTIF(B:B,pizza_sales[[#This Row],[order_id]])</f>
        <v>0.5</v>
      </c>
      <c r="D1687" t="s">
        <v>16</v>
      </c>
      <c r="E1687">
        <v>1</v>
      </c>
      <c r="F1687" s="1">
        <v>42189</v>
      </c>
      <c r="G1687" s="1" t="str">
        <f>TEXT(pizza_sales[[#This Row],[order_date]],"dddd")</f>
        <v>Saturday</v>
      </c>
      <c r="H1687" s="2">
        <v>0.53824074074074069</v>
      </c>
      <c r="I1687">
        <v>16</v>
      </c>
      <c r="J1687">
        <v>16</v>
      </c>
      <c r="K1687" t="s">
        <v>59</v>
      </c>
      <c r="L1687" t="s">
        <v>17</v>
      </c>
      <c r="M1687" t="s">
        <v>18</v>
      </c>
      <c r="N1687" t="s">
        <v>19</v>
      </c>
    </row>
    <row r="1688" spans="1:14" x14ac:dyDescent="0.25">
      <c r="A1688">
        <v>13130</v>
      </c>
      <c r="B1688">
        <v>5752</v>
      </c>
      <c r="C1688">
        <f>1/COUNTIF(B:B,pizza_sales[[#This Row],[order_id]])</f>
        <v>1</v>
      </c>
      <c r="D1688" t="s">
        <v>43</v>
      </c>
      <c r="E1688">
        <v>1</v>
      </c>
      <c r="F1688" s="1">
        <v>42189</v>
      </c>
      <c r="G1688" s="1" t="str">
        <f>TEXT(pizza_sales[[#This Row],[order_date]],"dddd")</f>
        <v>Saturday</v>
      </c>
      <c r="H1688" s="2">
        <v>0.54195601851851849</v>
      </c>
      <c r="I1688">
        <v>16.25</v>
      </c>
      <c r="J1688">
        <v>16.25</v>
      </c>
      <c r="K1688" t="s">
        <v>59</v>
      </c>
      <c r="L1688" t="s">
        <v>35</v>
      </c>
      <c r="M1688" t="s">
        <v>40</v>
      </c>
      <c r="N1688" t="s">
        <v>41</v>
      </c>
    </row>
    <row r="1689" spans="1:14" x14ac:dyDescent="0.25">
      <c r="A1689">
        <v>13133</v>
      </c>
      <c r="B1689">
        <v>5753</v>
      </c>
      <c r="C1689">
        <f>1/COUNTIF(B:B,pizza_sales[[#This Row],[order_id]])</f>
        <v>1</v>
      </c>
      <c r="D1689" t="s">
        <v>28</v>
      </c>
      <c r="E1689">
        <v>1</v>
      </c>
      <c r="F1689" s="1">
        <v>42189</v>
      </c>
      <c r="G1689" s="1" t="str">
        <f>TEXT(pizza_sales[[#This Row],[order_date]],"dddd")</f>
        <v>Saturday</v>
      </c>
      <c r="H1689" s="2">
        <v>0.55678240740740736</v>
      </c>
      <c r="I1689">
        <v>12</v>
      </c>
      <c r="J1689">
        <v>12</v>
      </c>
      <c r="K1689" t="s">
        <v>60</v>
      </c>
      <c r="L1689" t="s">
        <v>13</v>
      </c>
      <c r="M1689" t="s">
        <v>29</v>
      </c>
      <c r="N1689" t="s">
        <v>30</v>
      </c>
    </row>
    <row r="1690" spans="1:14" x14ac:dyDescent="0.25">
      <c r="A1690">
        <v>13137</v>
      </c>
      <c r="B1690">
        <v>5754</v>
      </c>
      <c r="C1690">
        <f>1/COUNTIF(B:B,pizza_sales[[#This Row],[order_id]])</f>
        <v>0.5</v>
      </c>
      <c r="D1690" t="s">
        <v>34</v>
      </c>
      <c r="E1690">
        <v>1</v>
      </c>
      <c r="F1690" s="1">
        <v>42189</v>
      </c>
      <c r="G1690" s="1" t="str">
        <f>TEXT(pizza_sales[[#This Row],[order_date]],"dddd")</f>
        <v>Saturday</v>
      </c>
      <c r="H1690" s="2">
        <v>0.56537037037037041</v>
      </c>
      <c r="I1690">
        <v>16.25</v>
      </c>
      <c r="J1690">
        <v>16.25</v>
      </c>
      <c r="K1690" t="s">
        <v>59</v>
      </c>
      <c r="L1690" t="s">
        <v>35</v>
      </c>
      <c r="M1690" t="s">
        <v>36</v>
      </c>
      <c r="N1690" t="s">
        <v>37</v>
      </c>
    </row>
    <row r="1691" spans="1:14" x14ac:dyDescent="0.25">
      <c r="A1691">
        <v>13139</v>
      </c>
      <c r="B1691">
        <v>5754</v>
      </c>
      <c r="C1691">
        <f>1/COUNTIF(B:B,pizza_sales[[#This Row],[order_id]])</f>
        <v>0.5</v>
      </c>
      <c r="D1691" t="s">
        <v>42</v>
      </c>
      <c r="E1691">
        <v>1</v>
      </c>
      <c r="F1691" s="1">
        <v>42189</v>
      </c>
      <c r="G1691" s="1" t="str">
        <f>TEXT(pizza_sales[[#This Row],[order_date]],"dddd")</f>
        <v>Saturday</v>
      </c>
      <c r="H1691" s="2">
        <v>0.56537037037037041</v>
      </c>
      <c r="I1691">
        <v>12.5</v>
      </c>
      <c r="J1691">
        <v>12.5</v>
      </c>
      <c r="K1691" t="s">
        <v>59</v>
      </c>
      <c r="L1691" t="s">
        <v>13</v>
      </c>
      <c r="M1691" t="s">
        <v>26</v>
      </c>
      <c r="N1691" t="s">
        <v>27</v>
      </c>
    </row>
    <row r="1692" spans="1:14" x14ac:dyDescent="0.25">
      <c r="A1692">
        <v>13140</v>
      </c>
      <c r="B1692">
        <v>5755</v>
      </c>
      <c r="C1692">
        <f>1/COUNTIF(B:B,pizza_sales[[#This Row],[order_id]])</f>
        <v>1</v>
      </c>
      <c r="D1692" t="s">
        <v>28</v>
      </c>
      <c r="E1692">
        <v>1</v>
      </c>
      <c r="F1692" s="1">
        <v>42189</v>
      </c>
      <c r="G1692" s="1" t="str">
        <f>TEXT(pizza_sales[[#This Row],[order_date]],"dddd")</f>
        <v>Saturday</v>
      </c>
      <c r="H1692" s="2">
        <v>0.58010416666666664</v>
      </c>
      <c r="I1692">
        <v>12</v>
      </c>
      <c r="J1692">
        <v>12</v>
      </c>
      <c r="K1692" t="s">
        <v>60</v>
      </c>
      <c r="L1692" t="s">
        <v>13</v>
      </c>
      <c r="M1692" t="s">
        <v>29</v>
      </c>
      <c r="N1692" t="s">
        <v>30</v>
      </c>
    </row>
    <row r="1693" spans="1:14" x14ac:dyDescent="0.25">
      <c r="A1693">
        <v>13143</v>
      </c>
      <c r="B1693">
        <v>5757</v>
      </c>
      <c r="C1693">
        <f>1/COUNTIF(B:B,pizza_sales[[#This Row],[order_id]])</f>
        <v>0.5</v>
      </c>
      <c r="D1693" t="s">
        <v>47</v>
      </c>
      <c r="E1693">
        <v>1</v>
      </c>
      <c r="F1693" s="1">
        <v>42189</v>
      </c>
      <c r="G1693" s="1" t="str">
        <f>TEXT(pizza_sales[[#This Row],[order_date]],"dddd")</f>
        <v>Saturday</v>
      </c>
      <c r="H1693" s="2">
        <v>0.59130787037037036</v>
      </c>
      <c r="I1693">
        <v>16.5</v>
      </c>
      <c r="J1693">
        <v>16.5</v>
      </c>
      <c r="K1693" t="s">
        <v>58</v>
      </c>
      <c r="L1693" t="s">
        <v>13</v>
      </c>
      <c r="M1693" t="s">
        <v>14</v>
      </c>
      <c r="N1693" t="s">
        <v>15</v>
      </c>
    </row>
    <row r="1694" spans="1:14" x14ac:dyDescent="0.25">
      <c r="A1694">
        <v>13144</v>
      </c>
      <c r="B1694">
        <v>5757</v>
      </c>
      <c r="C1694">
        <f>1/COUNTIF(B:B,pizza_sales[[#This Row],[order_id]])</f>
        <v>0.5</v>
      </c>
      <c r="D1694" t="s">
        <v>42</v>
      </c>
      <c r="E1694">
        <v>1</v>
      </c>
      <c r="F1694" s="1">
        <v>42189</v>
      </c>
      <c r="G1694" s="1" t="str">
        <f>TEXT(pizza_sales[[#This Row],[order_date]],"dddd")</f>
        <v>Saturday</v>
      </c>
      <c r="H1694" s="2">
        <v>0.59130787037037036</v>
      </c>
      <c r="I1694">
        <v>12.5</v>
      </c>
      <c r="J1694">
        <v>12.5</v>
      </c>
      <c r="K1694" t="s">
        <v>59</v>
      </c>
      <c r="L1694" t="s">
        <v>13</v>
      </c>
      <c r="M1694" t="s">
        <v>26</v>
      </c>
      <c r="N1694" t="s">
        <v>27</v>
      </c>
    </row>
    <row r="1695" spans="1:14" x14ac:dyDescent="0.25">
      <c r="A1695">
        <v>13146</v>
      </c>
      <c r="B1695">
        <v>5758</v>
      </c>
      <c r="C1695">
        <f>1/COUNTIF(B:B,pizza_sales[[#This Row],[order_id]])</f>
        <v>0.5</v>
      </c>
      <c r="D1695" t="s">
        <v>45</v>
      </c>
      <c r="E1695">
        <v>1</v>
      </c>
      <c r="F1695" s="1">
        <v>42189</v>
      </c>
      <c r="G1695" s="1" t="str">
        <f>TEXT(pizza_sales[[#This Row],[order_date]],"dddd")</f>
        <v>Saturday</v>
      </c>
      <c r="H1695" s="2">
        <v>0.60410879629629632</v>
      </c>
      <c r="I1695">
        <v>10.5</v>
      </c>
      <c r="J1695">
        <v>10.5</v>
      </c>
      <c r="K1695" t="s">
        <v>60</v>
      </c>
      <c r="L1695" t="s">
        <v>13</v>
      </c>
      <c r="M1695" t="s">
        <v>14</v>
      </c>
      <c r="N1695" t="s">
        <v>15</v>
      </c>
    </row>
    <row r="1696" spans="1:14" x14ac:dyDescent="0.25">
      <c r="A1696">
        <v>13147</v>
      </c>
      <c r="B1696">
        <v>5758</v>
      </c>
      <c r="C1696">
        <f>1/COUNTIF(B:B,pizza_sales[[#This Row],[order_id]])</f>
        <v>0.5</v>
      </c>
      <c r="D1696" t="s">
        <v>42</v>
      </c>
      <c r="E1696">
        <v>1</v>
      </c>
      <c r="F1696" s="1">
        <v>42189</v>
      </c>
      <c r="G1696" s="1" t="str">
        <f>TEXT(pizza_sales[[#This Row],[order_date]],"dddd")</f>
        <v>Saturday</v>
      </c>
      <c r="H1696" s="2">
        <v>0.60410879629629632</v>
      </c>
      <c r="I1696">
        <v>12.5</v>
      </c>
      <c r="J1696">
        <v>12.5</v>
      </c>
      <c r="K1696" t="s">
        <v>59</v>
      </c>
      <c r="L1696" t="s">
        <v>13</v>
      </c>
      <c r="M1696" t="s">
        <v>26</v>
      </c>
      <c r="N1696" t="s">
        <v>27</v>
      </c>
    </row>
    <row r="1697" spans="1:14" x14ac:dyDescent="0.25">
      <c r="A1697">
        <v>13152</v>
      </c>
      <c r="B1697">
        <v>5760</v>
      </c>
      <c r="C1697">
        <f>1/COUNTIF(B:B,pizza_sales[[#This Row],[order_id]])</f>
        <v>1</v>
      </c>
      <c r="D1697" t="s">
        <v>42</v>
      </c>
      <c r="E1697">
        <v>1</v>
      </c>
      <c r="F1697" s="1">
        <v>42189</v>
      </c>
      <c r="G1697" s="1" t="str">
        <f>TEXT(pizza_sales[[#This Row],[order_date]],"dddd")</f>
        <v>Saturday</v>
      </c>
      <c r="H1697" s="2">
        <v>0.60952546296296295</v>
      </c>
      <c r="I1697">
        <v>12.5</v>
      </c>
      <c r="J1697">
        <v>12.5</v>
      </c>
      <c r="K1697" t="s">
        <v>59</v>
      </c>
      <c r="L1697" t="s">
        <v>13</v>
      </c>
      <c r="M1697" t="s">
        <v>26</v>
      </c>
      <c r="N1697" t="s">
        <v>27</v>
      </c>
    </row>
    <row r="1698" spans="1:14" x14ac:dyDescent="0.25">
      <c r="A1698">
        <v>13155</v>
      </c>
      <c r="B1698">
        <v>5761</v>
      </c>
      <c r="C1698">
        <f>1/COUNTIF(B:B,pizza_sales[[#This Row],[order_id]])</f>
        <v>1</v>
      </c>
      <c r="D1698" t="s">
        <v>20</v>
      </c>
      <c r="E1698">
        <v>1</v>
      </c>
      <c r="F1698" s="1">
        <v>42189</v>
      </c>
      <c r="G1698" s="1" t="str">
        <f>TEXT(pizza_sales[[#This Row],[order_date]],"dddd")</f>
        <v>Saturday</v>
      </c>
      <c r="H1698" s="2">
        <v>0.6187731481481481</v>
      </c>
      <c r="I1698">
        <v>12</v>
      </c>
      <c r="J1698">
        <v>12</v>
      </c>
      <c r="K1698" t="s">
        <v>60</v>
      </c>
      <c r="L1698" t="s">
        <v>13</v>
      </c>
      <c r="M1698" t="s">
        <v>21</v>
      </c>
      <c r="N1698" t="s">
        <v>22</v>
      </c>
    </row>
    <row r="1699" spans="1:14" x14ac:dyDescent="0.25">
      <c r="A1699">
        <v>13158</v>
      </c>
      <c r="B1699">
        <v>5763</v>
      </c>
      <c r="C1699">
        <f>1/COUNTIF(B:B,pizza_sales[[#This Row],[order_id]])</f>
        <v>1</v>
      </c>
      <c r="D1699" t="s">
        <v>28</v>
      </c>
      <c r="E1699">
        <v>1</v>
      </c>
      <c r="F1699" s="1">
        <v>42189</v>
      </c>
      <c r="G1699" s="1" t="str">
        <f>TEXT(pizza_sales[[#This Row],[order_date]],"dddd")</f>
        <v>Saturday</v>
      </c>
      <c r="H1699" s="2">
        <v>0.64788194444444447</v>
      </c>
      <c r="I1699">
        <v>12</v>
      </c>
      <c r="J1699">
        <v>12</v>
      </c>
      <c r="K1699" t="s">
        <v>60</v>
      </c>
      <c r="L1699" t="s">
        <v>13</v>
      </c>
      <c r="M1699" t="s">
        <v>29</v>
      </c>
      <c r="N1699" t="s">
        <v>30</v>
      </c>
    </row>
    <row r="1700" spans="1:14" x14ac:dyDescent="0.25">
      <c r="A1700">
        <v>13172</v>
      </c>
      <c r="B1700">
        <v>5771</v>
      </c>
      <c r="C1700">
        <f>1/COUNTIF(B:B,pizza_sales[[#This Row],[order_id]])</f>
        <v>1</v>
      </c>
      <c r="D1700" t="s">
        <v>44</v>
      </c>
      <c r="E1700">
        <v>1</v>
      </c>
      <c r="F1700" s="1">
        <v>42189</v>
      </c>
      <c r="G1700" s="1" t="str">
        <f>TEXT(pizza_sales[[#This Row],[order_date]],"dddd")</f>
        <v>Saturday</v>
      </c>
      <c r="H1700" s="2">
        <v>0.72386574074074073</v>
      </c>
      <c r="I1700">
        <v>9.75</v>
      </c>
      <c r="J1700">
        <v>9.75</v>
      </c>
      <c r="K1700" t="s">
        <v>60</v>
      </c>
      <c r="L1700" t="s">
        <v>13</v>
      </c>
      <c r="M1700" t="s">
        <v>26</v>
      </c>
      <c r="N1700" t="s">
        <v>27</v>
      </c>
    </row>
    <row r="1701" spans="1:14" x14ac:dyDescent="0.25">
      <c r="A1701">
        <v>13174</v>
      </c>
      <c r="B1701">
        <v>5772</v>
      </c>
      <c r="C1701">
        <f>1/COUNTIF(B:B,pizza_sales[[#This Row],[order_id]])</f>
        <v>1</v>
      </c>
      <c r="D1701" t="s">
        <v>20</v>
      </c>
      <c r="E1701">
        <v>1</v>
      </c>
      <c r="F1701" s="1">
        <v>42189</v>
      </c>
      <c r="G1701" s="1" t="str">
        <f>TEXT(pizza_sales[[#This Row],[order_date]],"dddd")</f>
        <v>Saturday</v>
      </c>
      <c r="H1701" s="2">
        <v>0.72817129629629629</v>
      </c>
      <c r="I1701">
        <v>12</v>
      </c>
      <c r="J1701">
        <v>12</v>
      </c>
      <c r="K1701" t="s">
        <v>60</v>
      </c>
      <c r="L1701" t="s">
        <v>13</v>
      </c>
      <c r="M1701" t="s">
        <v>21</v>
      </c>
      <c r="N1701" t="s">
        <v>22</v>
      </c>
    </row>
    <row r="1702" spans="1:14" x14ac:dyDescent="0.25">
      <c r="A1702">
        <v>13193</v>
      </c>
      <c r="B1702">
        <v>5780</v>
      </c>
      <c r="C1702">
        <f>1/COUNTIF(B:B,pizza_sales[[#This Row],[order_id]])</f>
        <v>1</v>
      </c>
      <c r="D1702" t="s">
        <v>48</v>
      </c>
      <c r="E1702">
        <v>1</v>
      </c>
      <c r="F1702" s="1">
        <v>42189</v>
      </c>
      <c r="G1702" s="1" t="str">
        <f>TEXT(pizza_sales[[#This Row],[order_date]],"dddd")</f>
        <v>Saturday</v>
      </c>
      <c r="H1702" s="2">
        <v>0.7636574074074074</v>
      </c>
      <c r="I1702">
        <v>12.25</v>
      </c>
      <c r="J1702">
        <v>12.25</v>
      </c>
      <c r="K1702" t="s">
        <v>60</v>
      </c>
      <c r="L1702" t="s">
        <v>35</v>
      </c>
      <c r="M1702" t="s">
        <v>40</v>
      </c>
      <c r="N1702" t="s">
        <v>41</v>
      </c>
    </row>
    <row r="1703" spans="1:14" x14ac:dyDescent="0.25">
      <c r="A1703">
        <v>13195</v>
      </c>
      <c r="B1703">
        <v>5781</v>
      </c>
      <c r="C1703">
        <f>1/COUNTIF(B:B,pizza_sales[[#This Row],[order_id]])</f>
        <v>1</v>
      </c>
      <c r="D1703" t="s">
        <v>24</v>
      </c>
      <c r="E1703">
        <v>1</v>
      </c>
      <c r="F1703" s="1">
        <v>42189</v>
      </c>
      <c r="G1703" s="1" t="str">
        <f>TEXT(pizza_sales[[#This Row],[order_date]],"dddd")</f>
        <v>Saturday</v>
      </c>
      <c r="H1703" s="2">
        <v>0.76642361111111112</v>
      </c>
      <c r="I1703">
        <v>20.25</v>
      </c>
      <c r="J1703">
        <v>20.25</v>
      </c>
      <c r="K1703" t="s">
        <v>58</v>
      </c>
      <c r="L1703" t="s">
        <v>17</v>
      </c>
      <c r="M1703" t="s">
        <v>18</v>
      </c>
      <c r="N1703" t="s">
        <v>19</v>
      </c>
    </row>
    <row r="1704" spans="1:14" x14ac:dyDescent="0.25">
      <c r="A1704">
        <v>13199</v>
      </c>
      <c r="B1704">
        <v>5783</v>
      </c>
      <c r="C1704">
        <f>1/COUNTIF(B:B,pizza_sales[[#This Row],[order_id]])</f>
        <v>1</v>
      </c>
      <c r="D1704" t="s">
        <v>44</v>
      </c>
      <c r="E1704">
        <v>1</v>
      </c>
      <c r="F1704" s="1">
        <v>42189</v>
      </c>
      <c r="G1704" s="1" t="str">
        <f>TEXT(pizza_sales[[#This Row],[order_date]],"dddd")</f>
        <v>Saturday</v>
      </c>
      <c r="H1704" s="2">
        <v>0.77953703703703703</v>
      </c>
      <c r="I1704">
        <v>9.75</v>
      </c>
      <c r="J1704">
        <v>9.75</v>
      </c>
      <c r="K1704" t="s">
        <v>60</v>
      </c>
      <c r="L1704" t="s">
        <v>13</v>
      </c>
      <c r="M1704" t="s">
        <v>26</v>
      </c>
      <c r="N1704" t="s">
        <v>27</v>
      </c>
    </row>
    <row r="1705" spans="1:14" x14ac:dyDescent="0.25">
      <c r="A1705">
        <v>13201</v>
      </c>
      <c r="B1705">
        <v>5784</v>
      </c>
      <c r="C1705">
        <f>1/COUNTIF(B:B,pizza_sales[[#This Row],[order_id]])</f>
        <v>1</v>
      </c>
      <c r="D1705" t="s">
        <v>28</v>
      </c>
      <c r="E1705">
        <v>1</v>
      </c>
      <c r="F1705" s="1">
        <v>42189</v>
      </c>
      <c r="G1705" s="1" t="str">
        <f>TEXT(pizza_sales[[#This Row],[order_date]],"dddd")</f>
        <v>Saturday</v>
      </c>
      <c r="H1705" s="2">
        <v>0.7878356481481481</v>
      </c>
      <c r="I1705">
        <v>12</v>
      </c>
      <c r="J1705">
        <v>12</v>
      </c>
      <c r="K1705" t="s">
        <v>60</v>
      </c>
      <c r="L1705" t="s">
        <v>13</v>
      </c>
      <c r="M1705" t="s">
        <v>29</v>
      </c>
      <c r="N1705" t="s">
        <v>30</v>
      </c>
    </row>
    <row r="1706" spans="1:14" x14ac:dyDescent="0.25">
      <c r="A1706">
        <v>13205</v>
      </c>
      <c r="B1706">
        <v>5786</v>
      </c>
      <c r="C1706">
        <f>1/COUNTIF(B:B,pizza_sales[[#This Row],[order_id]])</f>
        <v>1</v>
      </c>
      <c r="D1706" t="s">
        <v>24</v>
      </c>
      <c r="E1706">
        <v>1</v>
      </c>
      <c r="F1706" s="1">
        <v>42189</v>
      </c>
      <c r="G1706" s="1" t="str">
        <f>TEXT(pizza_sales[[#This Row],[order_date]],"dddd")</f>
        <v>Saturday</v>
      </c>
      <c r="H1706" s="2">
        <v>0.79428240740740741</v>
      </c>
      <c r="I1706">
        <v>20.25</v>
      </c>
      <c r="J1706">
        <v>20.25</v>
      </c>
      <c r="K1706" t="s">
        <v>58</v>
      </c>
      <c r="L1706" t="s">
        <v>17</v>
      </c>
      <c r="M1706" t="s">
        <v>18</v>
      </c>
      <c r="N1706" t="s">
        <v>19</v>
      </c>
    </row>
    <row r="1707" spans="1:14" x14ac:dyDescent="0.25">
      <c r="A1707">
        <v>13219</v>
      </c>
      <c r="B1707">
        <v>5794</v>
      </c>
      <c r="C1707">
        <f>1/COUNTIF(B:B,pizza_sales[[#This Row],[order_id]])</f>
        <v>0.5</v>
      </c>
      <c r="D1707" t="s">
        <v>34</v>
      </c>
      <c r="E1707">
        <v>1</v>
      </c>
      <c r="F1707" s="1">
        <v>42189</v>
      </c>
      <c r="G1707" s="1" t="str">
        <f>TEXT(pizza_sales[[#This Row],[order_date]],"dddd")</f>
        <v>Saturday</v>
      </c>
      <c r="H1707" s="2">
        <v>0.88996527777777779</v>
      </c>
      <c r="I1707">
        <v>16.25</v>
      </c>
      <c r="J1707">
        <v>16.25</v>
      </c>
      <c r="K1707" t="s">
        <v>59</v>
      </c>
      <c r="L1707" t="s">
        <v>35</v>
      </c>
      <c r="M1707" t="s">
        <v>36</v>
      </c>
      <c r="N1707" t="s">
        <v>37</v>
      </c>
    </row>
    <row r="1708" spans="1:14" x14ac:dyDescent="0.25">
      <c r="A1708">
        <v>13220</v>
      </c>
      <c r="B1708">
        <v>5794</v>
      </c>
      <c r="C1708">
        <f>1/COUNTIF(B:B,pizza_sales[[#This Row],[order_id]])</f>
        <v>0.5</v>
      </c>
      <c r="D1708" t="s">
        <v>45</v>
      </c>
      <c r="E1708">
        <v>1</v>
      </c>
      <c r="F1708" s="1">
        <v>42189</v>
      </c>
      <c r="G1708" s="1" t="str">
        <f>TEXT(pizza_sales[[#This Row],[order_date]],"dddd")</f>
        <v>Saturday</v>
      </c>
      <c r="H1708" s="2">
        <v>0.88996527777777779</v>
      </c>
      <c r="I1708">
        <v>10.5</v>
      </c>
      <c r="J1708">
        <v>10.5</v>
      </c>
      <c r="K1708" t="s">
        <v>60</v>
      </c>
      <c r="L1708" t="s">
        <v>13</v>
      </c>
      <c r="M1708" t="s">
        <v>14</v>
      </c>
      <c r="N1708" t="s">
        <v>15</v>
      </c>
    </row>
    <row r="1709" spans="1:14" x14ac:dyDescent="0.25">
      <c r="A1709">
        <v>13224</v>
      </c>
      <c r="B1709">
        <v>5797</v>
      </c>
      <c r="C1709">
        <f>1/COUNTIF(B:B,pizza_sales[[#This Row],[order_id]])</f>
        <v>1</v>
      </c>
      <c r="D1709" t="s">
        <v>28</v>
      </c>
      <c r="E1709">
        <v>1</v>
      </c>
      <c r="F1709" s="1">
        <v>42189</v>
      </c>
      <c r="G1709" s="1" t="str">
        <f>TEXT(pizza_sales[[#This Row],[order_date]],"dddd")</f>
        <v>Saturday</v>
      </c>
      <c r="H1709" s="2">
        <v>0.92561342592592588</v>
      </c>
      <c r="I1709">
        <v>12</v>
      </c>
      <c r="J1709">
        <v>12</v>
      </c>
      <c r="K1709" t="s">
        <v>60</v>
      </c>
      <c r="L1709" t="s">
        <v>13</v>
      </c>
      <c r="M1709" t="s">
        <v>29</v>
      </c>
      <c r="N1709" t="s">
        <v>30</v>
      </c>
    </row>
    <row r="1710" spans="1:14" x14ac:dyDescent="0.25">
      <c r="A1710">
        <v>13228</v>
      </c>
      <c r="B1710">
        <v>5798</v>
      </c>
      <c r="C1710">
        <f>1/COUNTIF(B:B,pizza_sales[[#This Row],[order_id]])</f>
        <v>1</v>
      </c>
      <c r="D1710" t="s">
        <v>44</v>
      </c>
      <c r="E1710">
        <v>1</v>
      </c>
      <c r="F1710" s="1">
        <v>42189</v>
      </c>
      <c r="G1710" s="1" t="str">
        <f>TEXT(pizza_sales[[#This Row],[order_date]],"dddd")</f>
        <v>Saturday</v>
      </c>
      <c r="H1710" s="2">
        <v>0.93048611111111112</v>
      </c>
      <c r="I1710">
        <v>9.75</v>
      </c>
      <c r="J1710">
        <v>9.75</v>
      </c>
      <c r="K1710" t="s">
        <v>60</v>
      </c>
      <c r="L1710" t="s">
        <v>13</v>
      </c>
      <c r="M1710" t="s">
        <v>26</v>
      </c>
      <c r="N1710" t="s">
        <v>27</v>
      </c>
    </row>
    <row r="1711" spans="1:14" x14ac:dyDescent="0.25">
      <c r="A1711">
        <v>13232</v>
      </c>
      <c r="B1711">
        <v>5800</v>
      </c>
      <c r="C1711">
        <f>1/COUNTIF(B:B,pizza_sales[[#This Row],[order_id]])</f>
        <v>1</v>
      </c>
      <c r="D1711" t="s">
        <v>24</v>
      </c>
      <c r="E1711">
        <v>1</v>
      </c>
      <c r="F1711" s="1">
        <v>42189</v>
      </c>
      <c r="G1711" s="1" t="str">
        <f>TEXT(pizza_sales[[#This Row],[order_date]],"dddd")</f>
        <v>Saturday</v>
      </c>
      <c r="H1711" s="2">
        <v>0.94855324074074077</v>
      </c>
      <c r="I1711">
        <v>20.25</v>
      </c>
      <c r="J1711">
        <v>20.25</v>
      </c>
      <c r="K1711" t="s">
        <v>58</v>
      </c>
      <c r="L1711" t="s">
        <v>17</v>
      </c>
      <c r="M1711" t="s">
        <v>18</v>
      </c>
      <c r="N1711" t="s">
        <v>19</v>
      </c>
    </row>
    <row r="1712" spans="1:14" x14ac:dyDescent="0.25">
      <c r="A1712">
        <v>13234</v>
      </c>
      <c r="B1712">
        <v>5802</v>
      </c>
      <c r="C1712">
        <f>1/COUNTIF(B:B,pizza_sales[[#This Row],[order_id]])</f>
        <v>0.5</v>
      </c>
      <c r="D1712" t="s">
        <v>24</v>
      </c>
      <c r="E1712">
        <v>1</v>
      </c>
      <c r="F1712" s="1">
        <v>42220</v>
      </c>
      <c r="G1712" s="1" t="str">
        <f>TEXT(pizza_sales[[#This Row],[order_date]],"dddd")</f>
        <v>Tuesday</v>
      </c>
      <c r="H1712" s="2">
        <v>0.47869212962962965</v>
      </c>
      <c r="I1712">
        <v>20.25</v>
      </c>
      <c r="J1712">
        <v>20.25</v>
      </c>
      <c r="K1712" t="s">
        <v>58</v>
      </c>
      <c r="L1712" t="s">
        <v>17</v>
      </c>
      <c r="M1712" t="s">
        <v>18</v>
      </c>
      <c r="N1712" t="s">
        <v>19</v>
      </c>
    </row>
    <row r="1713" spans="1:14" x14ac:dyDescent="0.25">
      <c r="A1713">
        <v>13235</v>
      </c>
      <c r="B1713">
        <v>5802</v>
      </c>
      <c r="C1713">
        <f>1/COUNTIF(B:B,pizza_sales[[#This Row],[order_id]])</f>
        <v>0.5</v>
      </c>
      <c r="D1713" t="s">
        <v>31</v>
      </c>
      <c r="E1713">
        <v>1</v>
      </c>
      <c r="F1713" s="1">
        <v>42220</v>
      </c>
      <c r="G1713" s="1" t="str">
        <f>TEXT(pizza_sales[[#This Row],[order_date]],"dddd")</f>
        <v>Tuesday</v>
      </c>
      <c r="H1713" s="2">
        <v>0.47869212962962965</v>
      </c>
      <c r="I1713">
        <v>12</v>
      </c>
      <c r="J1713">
        <v>12</v>
      </c>
      <c r="K1713" t="s">
        <v>60</v>
      </c>
      <c r="L1713" t="s">
        <v>13</v>
      </c>
      <c r="M1713" t="s">
        <v>32</v>
      </c>
      <c r="N1713" t="s">
        <v>33</v>
      </c>
    </row>
    <row r="1714" spans="1:14" x14ac:dyDescent="0.25">
      <c r="A1714">
        <v>13236</v>
      </c>
      <c r="B1714">
        <v>5803</v>
      </c>
      <c r="C1714">
        <f>1/COUNTIF(B:B,pizza_sales[[#This Row],[order_id]])</f>
        <v>1</v>
      </c>
      <c r="D1714" t="s">
        <v>45</v>
      </c>
      <c r="E1714">
        <v>1</v>
      </c>
      <c r="F1714" s="1">
        <v>42220</v>
      </c>
      <c r="G1714" s="1" t="str">
        <f>TEXT(pizza_sales[[#This Row],[order_date]],"dddd")</f>
        <v>Tuesday</v>
      </c>
      <c r="H1714" s="2">
        <v>0.49185185185185187</v>
      </c>
      <c r="I1714">
        <v>10.5</v>
      </c>
      <c r="J1714">
        <v>10.5</v>
      </c>
      <c r="K1714" t="s">
        <v>60</v>
      </c>
      <c r="L1714" t="s">
        <v>13</v>
      </c>
      <c r="M1714" t="s">
        <v>14</v>
      </c>
      <c r="N1714" t="s">
        <v>15</v>
      </c>
    </row>
    <row r="1715" spans="1:14" x14ac:dyDescent="0.25">
      <c r="A1715">
        <v>13244</v>
      </c>
      <c r="B1715">
        <v>5806</v>
      </c>
      <c r="C1715">
        <f>1/COUNTIF(B:B,pizza_sales[[#This Row],[order_id]])</f>
        <v>1</v>
      </c>
      <c r="D1715" t="s">
        <v>51</v>
      </c>
      <c r="E1715">
        <v>2</v>
      </c>
      <c r="F1715" s="1">
        <v>42220</v>
      </c>
      <c r="G1715" s="1" t="str">
        <f>TEXT(pizza_sales[[#This Row],[order_date]],"dddd")</f>
        <v>Tuesday</v>
      </c>
      <c r="H1715" s="2">
        <v>0.50207175925925929</v>
      </c>
      <c r="I1715">
        <v>23.65</v>
      </c>
      <c r="J1715">
        <v>47.3</v>
      </c>
      <c r="K1715" t="s">
        <v>60</v>
      </c>
      <c r="L1715" t="s">
        <v>35</v>
      </c>
      <c r="M1715" t="s">
        <v>52</v>
      </c>
      <c r="N1715" t="s">
        <v>53</v>
      </c>
    </row>
    <row r="1716" spans="1:14" x14ac:dyDescent="0.25">
      <c r="A1716">
        <v>13265</v>
      </c>
      <c r="B1716">
        <v>5813</v>
      </c>
      <c r="C1716">
        <f>1/COUNTIF(B:B,pizza_sales[[#This Row],[order_id]])</f>
        <v>1</v>
      </c>
      <c r="D1716" t="s">
        <v>50</v>
      </c>
      <c r="E1716">
        <v>1</v>
      </c>
      <c r="F1716" s="1">
        <v>42220</v>
      </c>
      <c r="G1716" s="1" t="str">
        <f>TEXT(pizza_sales[[#This Row],[order_date]],"dddd")</f>
        <v>Tuesday</v>
      </c>
      <c r="H1716" s="2">
        <v>0.54800925925925925</v>
      </c>
      <c r="I1716">
        <v>16</v>
      </c>
      <c r="J1716">
        <v>16</v>
      </c>
      <c r="K1716" t="s">
        <v>59</v>
      </c>
      <c r="L1716" t="s">
        <v>13</v>
      </c>
      <c r="M1716" t="s">
        <v>32</v>
      </c>
      <c r="N1716" t="s">
        <v>33</v>
      </c>
    </row>
    <row r="1717" spans="1:14" x14ac:dyDescent="0.25">
      <c r="A1717">
        <v>13266</v>
      </c>
      <c r="B1717">
        <v>5814</v>
      </c>
      <c r="C1717">
        <f>1/COUNTIF(B:B,pizza_sales[[#This Row],[order_id]])</f>
        <v>1</v>
      </c>
      <c r="D1717" t="s">
        <v>39</v>
      </c>
      <c r="E1717">
        <v>1</v>
      </c>
      <c r="F1717" s="1">
        <v>42220</v>
      </c>
      <c r="G1717" s="1" t="str">
        <f>TEXT(pizza_sales[[#This Row],[order_date]],"dddd")</f>
        <v>Tuesday</v>
      </c>
      <c r="H1717" s="2">
        <v>0.54817129629629635</v>
      </c>
      <c r="I1717">
        <v>20.25</v>
      </c>
      <c r="J1717">
        <v>20.25</v>
      </c>
      <c r="K1717" t="s">
        <v>58</v>
      </c>
      <c r="L1717" t="s">
        <v>35</v>
      </c>
      <c r="M1717" t="s">
        <v>40</v>
      </c>
      <c r="N1717" t="s">
        <v>41</v>
      </c>
    </row>
    <row r="1718" spans="1:14" x14ac:dyDescent="0.25">
      <c r="A1718">
        <v>13267</v>
      </c>
      <c r="B1718">
        <v>5815</v>
      </c>
      <c r="C1718">
        <f>1/COUNTIF(B:B,pizza_sales[[#This Row],[order_id]])</f>
        <v>1</v>
      </c>
      <c r="D1718" t="s">
        <v>38</v>
      </c>
      <c r="E1718">
        <v>1</v>
      </c>
      <c r="F1718" s="1">
        <v>42220</v>
      </c>
      <c r="G1718" s="1" t="str">
        <f>TEXT(pizza_sales[[#This Row],[order_date]],"dddd")</f>
        <v>Tuesday</v>
      </c>
      <c r="H1718" s="2">
        <v>0.55681712962962959</v>
      </c>
      <c r="I1718">
        <v>20.5</v>
      </c>
      <c r="J1718">
        <v>20.5</v>
      </c>
      <c r="K1718" t="s">
        <v>58</v>
      </c>
      <c r="L1718" t="s">
        <v>13</v>
      </c>
      <c r="M1718" t="s">
        <v>32</v>
      </c>
      <c r="N1718" t="s">
        <v>33</v>
      </c>
    </row>
    <row r="1719" spans="1:14" x14ac:dyDescent="0.25">
      <c r="A1719">
        <v>13268</v>
      </c>
      <c r="B1719">
        <v>5816</v>
      </c>
      <c r="C1719">
        <f>1/COUNTIF(B:B,pizza_sales[[#This Row],[order_id]])</f>
        <v>1</v>
      </c>
      <c r="D1719" t="s">
        <v>34</v>
      </c>
      <c r="E1719">
        <v>1</v>
      </c>
      <c r="F1719" s="1">
        <v>42220</v>
      </c>
      <c r="G1719" s="1" t="str">
        <f>TEXT(pizza_sales[[#This Row],[order_date]],"dddd")</f>
        <v>Tuesday</v>
      </c>
      <c r="H1719" s="2">
        <v>0.56171296296296291</v>
      </c>
      <c r="I1719">
        <v>16.25</v>
      </c>
      <c r="J1719">
        <v>16.25</v>
      </c>
      <c r="K1719" t="s">
        <v>59</v>
      </c>
      <c r="L1719" t="s">
        <v>35</v>
      </c>
      <c r="M1719" t="s">
        <v>36</v>
      </c>
      <c r="N1719" t="s">
        <v>37</v>
      </c>
    </row>
    <row r="1720" spans="1:14" x14ac:dyDescent="0.25">
      <c r="A1720">
        <v>13276</v>
      </c>
      <c r="B1720">
        <v>5820</v>
      </c>
      <c r="C1720">
        <f>1/COUNTIF(B:B,pizza_sales[[#This Row],[order_id]])</f>
        <v>0.33333333333333331</v>
      </c>
      <c r="D1720" t="s">
        <v>45</v>
      </c>
      <c r="E1720">
        <v>2</v>
      </c>
      <c r="F1720" s="1">
        <v>42220</v>
      </c>
      <c r="G1720" s="1" t="str">
        <f>TEXT(pizza_sales[[#This Row],[order_date]],"dddd")</f>
        <v>Tuesday</v>
      </c>
      <c r="H1720" s="2">
        <v>0.57758101851851851</v>
      </c>
      <c r="I1720">
        <v>10.5</v>
      </c>
      <c r="J1720">
        <v>21</v>
      </c>
      <c r="K1720" t="s">
        <v>60</v>
      </c>
      <c r="L1720" t="s">
        <v>13</v>
      </c>
      <c r="M1720" t="s">
        <v>14</v>
      </c>
      <c r="N1720" t="s">
        <v>15</v>
      </c>
    </row>
    <row r="1721" spans="1:14" x14ac:dyDescent="0.25">
      <c r="A1721">
        <v>13280</v>
      </c>
      <c r="B1721">
        <v>5820</v>
      </c>
      <c r="C1721">
        <f>1/COUNTIF(B:B,pizza_sales[[#This Row],[order_id]])</f>
        <v>0.33333333333333331</v>
      </c>
      <c r="D1721" t="s">
        <v>16</v>
      </c>
      <c r="E1721">
        <v>1</v>
      </c>
      <c r="F1721" s="1">
        <v>42220</v>
      </c>
      <c r="G1721" s="1" t="str">
        <f>TEXT(pizza_sales[[#This Row],[order_date]],"dddd")</f>
        <v>Tuesday</v>
      </c>
      <c r="H1721" s="2">
        <v>0.57758101851851851</v>
      </c>
      <c r="I1721">
        <v>16</v>
      </c>
      <c r="J1721">
        <v>16</v>
      </c>
      <c r="K1721" t="s">
        <v>59</v>
      </c>
      <c r="L1721" t="s">
        <v>17</v>
      </c>
      <c r="M1721" t="s">
        <v>18</v>
      </c>
      <c r="N1721" t="s">
        <v>19</v>
      </c>
    </row>
    <row r="1722" spans="1:14" x14ac:dyDescent="0.25">
      <c r="A1722">
        <v>13281</v>
      </c>
      <c r="B1722">
        <v>5820</v>
      </c>
      <c r="C1722">
        <f>1/COUNTIF(B:B,pizza_sales[[#This Row],[order_id]])</f>
        <v>0.33333333333333331</v>
      </c>
      <c r="D1722" t="s">
        <v>42</v>
      </c>
      <c r="E1722">
        <v>1</v>
      </c>
      <c r="F1722" s="1">
        <v>42220</v>
      </c>
      <c r="G1722" s="1" t="str">
        <f>TEXT(pizza_sales[[#This Row],[order_date]],"dddd")</f>
        <v>Tuesday</v>
      </c>
      <c r="H1722" s="2">
        <v>0.57758101851851851</v>
      </c>
      <c r="I1722">
        <v>12.5</v>
      </c>
      <c r="J1722">
        <v>12.5</v>
      </c>
      <c r="K1722" t="s">
        <v>59</v>
      </c>
      <c r="L1722" t="s">
        <v>13</v>
      </c>
      <c r="M1722" t="s">
        <v>26</v>
      </c>
      <c r="N1722" t="s">
        <v>27</v>
      </c>
    </row>
    <row r="1723" spans="1:14" x14ac:dyDescent="0.25">
      <c r="A1723">
        <v>13288</v>
      </c>
      <c r="B1723">
        <v>5823</v>
      </c>
      <c r="C1723">
        <f>1/COUNTIF(B:B,pizza_sales[[#This Row],[order_id]])</f>
        <v>1</v>
      </c>
      <c r="D1723" t="s">
        <v>45</v>
      </c>
      <c r="E1723">
        <v>1</v>
      </c>
      <c r="F1723" s="1">
        <v>42220</v>
      </c>
      <c r="G1723" s="1" t="str">
        <f>TEXT(pizza_sales[[#This Row],[order_date]],"dddd")</f>
        <v>Tuesday</v>
      </c>
      <c r="H1723" s="2">
        <v>0.62929398148148152</v>
      </c>
      <c r="I1723">
        <v>10.5</v>
      </c>
      <c r="J1723">
        <v>10.5</v>
      </c>
      <c r="K1723" t="s">
        <v>60</v>
      </c>
      <c r="L1723" t="s">
        <v>13</v>
      </c>
      <c r="M1723" t="s">
        <v>14</v>
      </c>
      <c r="N1723" t="s">
        <v>15</v>
      </c>
    </row>
    <row r="1724" spans="1:14" x14ac:dyDescent="0.25">
      <c r="A1724">
        <v>13289</v>
      </c>
      <c r="B1724">
        <v>5824</v>
      </c>
      <c r="C1724">
        <f>1/COUNTIF(B:B,pizza_sales[[#This Row],[order_id]])</f>
        <v>0.5</v>
      </c>
      <c r="D1724" t="s">
        <v>54</v>
      </c>
      <c r="E1724">
        <v>1</v>
      </c>
      <c r="F1724" s="1">
        <v>42220</v>
      </c>
      <c r="G1724" s="1" t="str">
        <f>TEXT(pizza_sales[[#This Row],[order_date]],"dddd")</f>
        <v>Tuesday</v>
      </c>
      <c r="H1724" s="2">
        <v>0.62991898148148151</v>
      </c>
      <c r="I1724">
        <v>12.25</v>
      </c>
      <c r="J1724">
        <v>12.25</v>
      </c>
      <c r="K1724" t="s">
        <v>60</v>
      </c>
      <c r="L1724" t="s">
        <v>35</v>
      </c>
      <c r="M1724" t="s">
        <v>36</v>
      </c>
      <c r="N1724" t="s">
        <v>37</v>
      </c>
    </row>
    <row r="1725" spans="1:14" x14ac:dyDescent="0.25">
      <c r="A1725">
        <v>13291</v>
      </c>
      <c r="B1725">
        <v>5824</v>
      </c>
      <c r="C1725">
        <f>1/COUNTIF(B:B,pizza_sales[[#This Row],[order_id]])</f>
        <v>0.5</v>
      </c>
      <c r="D1725" t="s">
        <v>38</v>
      </c>
      <c r="E1725">
        <v>1</v>
      </c>
      <c r="F1725" s="1">
        <v>42220</v>
      </c>
      <c r="G1725" s="1" t="str">
        <f>TEXT(pizza_sales[[#This Row],[order_date]],"dddd")</f>
        <v>Tuesday</v>
      </c>
      <c r="H1725" s="2">
        <v>0.62991898148148151</v>
      </c>
      <c r="I1725">
        <v>20.5</v>
      </c>
      <c r="J1725">
        <v>20.5</v>
      </c>
      <c r="K1725" t="s">
        <v>58</v>
      </c>
      <c r="L1725" t="s">
        <v>13</v>
      </c>
      <c r="M1725" t="s">
        <v>32</v>
      </c>
      <c r="N1725" t="s">
        <v>33</v>
      </c>
    </row>
    <row r="1726" spans="1:14" x14ac:dyDescent="0.25">
      <c r="A1726">
        <v>13299</v>
      </c>
      <c r="B1726">
        <v>5828</v>
      </c>
      <c r="C1726">
        <f>1/COUNTIF(B:B,pizza_sales[[#This Row],[order_id]])</f>
        <v>1</v>
      </c>
      <c r="D1726" t="s">
        <v>43</v>
      </c>
      <c r="E1726">
        <v>1</v>
      </c>
      <c r="F1726" s="1">
        <v>42220</v>
      </c>
      <c r="G1726" s="1" t="str">
        <f>TEXT(pizza_sales[[#This Row],[order_date]],"dddd")</f>
        <v>Tuesday</v>
      </c>
      <c r="H1726" s="2">
        <v>0.65844907407407405</v>
      </c>
      <c r="I1726">
        <v>16.25</v>
      </c>
      <c r="J1726">
        <v>16.25</v>
      </c>
      <c r="K1726" t="s">
        <v>59</v>
      </c>
      <c r="L1726" t="s">
        <v>35</v>
      </c>
      <c r="M1726" t="s">
        <v>40</v>
      </c>
      <c r="N1726" t="s">
        <v>41</v>
      </c>
    </row>
    <row r="1727" spans="1:14" x14ac:dyDescent="0.25">
      <c r="A1727">
        <v>13305</v>
      </c>
      <c r="B1727">
        <v>5831</v>
      </c>
      <c r="C1727">
        <f>1/COUNTIF(B:B,pizza_sales[[#This Row],[order_id]])</f>
        <v>1</v>
      </c>
      <c r="D1727" t="s">
        <v>24</v>
      </c>
      <c r="E1727">
        <v>1</v>
      </c>
      <c r="F1727" s="1">
        <v>42220</v>
      </c>
      <c r="G1727" s="1" t="str">
        <f>TEXT(pizza_sales[[#This Row],[order_date]],"dddd")</f>
        <v>Tuesday</v>
      </c>
      <c r="H1727" s="2">
        <v>0.68359953703703702</v>
      </c>
      <c r="I1727">
        <v>20.25</v>
      </c>
      <c r="J1727">
        <v>20.25</v>
      </c>
      <c r="K1727" t="s">
        <v>58</v>
      </c>
      <c r="L1727" t="s">
        <v>17</v>
      </c>
      <c r="M1727" t="s">
        <v>18</v>
      </c>
      <c r="N1727" t="s">
        <v>19</v>
      </c>
    </row>
    <row r="1728" spans="1:14" x14ac:dyDescent="0.25">
      <c r="A1728">
        <v>13310</v>
      </c>
      <c r="B1728">
        <v>5834</v>
      </c>
      <c r="C1728">
        <f>1/COUNTIF(B:B,pizza_sales[[#This Row],[order_id]])</f>
        <v>1</v>
      </c>
      <c r="D1728" t="s">
        <v>47</v>
      </c>
      <c r="E1728">
        <v>1</v>
      </c>
      <c r="F1728" s="1">
        <v>42220</v>
      </c>
      <c r="G1728" s="1" t="str">
        <f>TEXT(pizza_sales[[#This Row],[order_date]],"dddd")</f>
        <v>Tuesday</v>
      </c>
      <c r="H1728" s="2">
        <v>0.70998842592592593</v>
      </c>
      <c r="I1728">
        <v>16.5</v>
      </c>
      <c r="J1728">
        <v>16.5</v>
      </c>
      <c r="K1728" t="s">
        <v>58</v>
      </c>
      <c r="L1728" t="s">
        <v>13</v>
      </c>
      <c r="M1728" t="s">
        <v>14</v>
      </c>
      <c r="N1728" t="s">
        <v>15</v>
      </c>
    </row>
    <row r="1729" spans="1:14" x14ac:dyDescent="0.25">
      <c r="A1729">
        <v>13314</v>
      </c>
      <c r="B1729">
        <v>5835</v>
      </c>
      <c r="C1729">
        <f>1/COUNTIF(B:B,pizza_sales[[#This Row],[order_id]])</f>
        <v>1</v>
      </c>
      <c r="D1729" t="s">
        <v>42</v>
      </c>
      <c r="E1729">
        <v>1</v>
      </c>
      <c r="F1729" s="1">
        <v>42220</v>
      </c>
      <c r="G1729" s="1" t="str">
        <f>TEXT(pizza_sales[[#This Row],[order_date]],"dddd")</f>
        <v>Tuesday</v>
      </c>
      <c r="H1729" s="2">
        <v>0.71278935185185188</v>
      </c>
      <c r="I1729">
        <v>12.5</v>
      </c>
      <c r="J1729">
        <v>12.5</v>
      </c>
      <c r="K1729" t="s">
        <v>59</v>
      </c>
      <c r="L1729" t="s">
        <v>13</v>
      </c>
      <c r="M1729" t="s">
        <v>26</v>
      </c>
      <c r="N1729" t="s">
        <v>27</v>
      </c>
    </row>
    <row r="1730" spans="1:14" x14ac:dyDescent="0.25">
      <c r="A1730">
        <v>13318</v>
      </c>
      <c r="B1730">
        <v>5837</v>
      </c>
      <c r="C1730">
        <f>1/COUNTIF(B:B,pizza_sales[[#This Row],[order_id]])</f>
        <v>0.5</v>
      </c>
      <c r="D1730" t="s">
        <v>28</v>
      </c>
      <c r="E1730">
        <v>1</v>
      </c>
      <c r="F1730" s="1">
        <v>42220</v>
      </c>
      <c r="G1730" s="1" t="str">
        <f>TEXT(pizza_sales[[#This Row],[order_date]],"dddd")</f>
        <v>Tuesday</v>
      </c>
      <c r="H1730" s="2">
        <v>0.72253472222222226</v>
      </c>
      <c r="I1730">
        <v>12</v>
      </c>
      <c r="J1730">
        <v>12</v>
      </c>
      <c r="K1730" t="s">
        <v>60</v>
      </c>
      <c r="L1730" t="s">
        <v>13</v>
      </c>
      <c r="M1730" t="s">
        <v>29</v>
      </c>
      <c r="N1730" t="s">
        <v>30</v>
      </c>
    </row>
    <row r="1731" spans="1:14" x14ac:dyDescent="0.25">
      <c r="A1731">
        <v>13320</v>
      </c>
      <c r="B1731">
        <v>5837</v>
      </c>
      <c r="C1731">
        <f>1/COUNTIF(B:B,pizza_sales[[#This Row],[order_id]])</f>
        <v>0.5</v>
      </c>
      <c r="D1731" t="s">
        <v>24</v>
      </c>
      <c r="E1731">
        <v>1</v>
      </c>
      <c r="F1731" s="1">
        <v>42220</v>
      </c>
      <c r="G1731" s="1" t="str">
        <f>TEXT(pizza_sales[[#This Row],[order_date]],"dddd")</f>
        <v>Tuesday</v>
      </c>
      <c r="H1731" s="2">
        <v>0.72253472222222226</v>
      </c>
      <c r="I1731">
        <v>20.25</v>
      </c>
      <c r="J1731">
        <v>20.25</v>
      </c>
      <c r="K1731" t="s">
        <v>58</v>
      </c>
      <c r="L1731" t="s">
        <v>17</v>
      </c>
      <c r="M1731" t="s">
        <v>18</v>
      </c>
      <c r="N1731" t="s">
        <v>19</v>
      </c>
    </row>
    <row r="1732" spans="1:14" x14ac:dyDescent="0.25">
      <c r="A1732">
        <v>13322</v>
      </c>
      <c r="B1732">
        <v>5838</v>
      </c>
      <c r="C1732">
        <f>1/COUNTIF(B:B,pizza_sales[[#This Row],[order_id]])</f>
        <v>1</v>
      </c>
      <c r="D1732" t="s">
        <v>44</v>
      </c>
      <c r="E1732">
        <v>1</v>
      </c>
      <c r="F1732" s="1">
        <v>42220</v>
      </c>
      <c r="G1732" s="1" t="str">
        <f>TEXT(pizza_sales[[#This Row],[order_date]],"dddd")</f>
        <v>Tuesday</v>
      </c>
      <c r="H1732" s="2">
        <v>0.72693287037037035</v>
      </c>
      <c r="I1732">
        <v>9.75</v>
      </c>
      <c r="J1732">
        <v>9.75</v>
      </c>
      <c r="K1732" t="s">
        <v>60</v>
      </c>
      <c r="L1732" t="s">
        <v>13</v>
      </c>
      <c r="M1732" t="s">
        <v>26</v>
      </c>
      <c r="N1732" t="s">
        <v>27</v>
      </c>
    </row>
    <row r="1733" spans="1:14" x14ac:dyDescent="0.25">
      <c r="A1733">
        <v>13324</v>
      </c>
      <c r="B1733">
        <v>5839</v>
      </c>
      <c r="C1733">
        <f>1/COUNTIF(B:B,pizza_sales[[#This Row],[order_id]])</f>
        <v>1</v>
      </c>
      <c r="D1733" t="s">
        <v>28</v>
      </c>
      <c r="E1733">
        <v>1</v>
      </c>
      <c r="F1733" s="1">
        <v>42220</v>
      </c>
      <c r="G1733" s="1" t="str">
        <f>TEXT(pizza_sales[[#This Row],[order_date]],"dddd")</f>
        <v>Tuesday</v>
      </c>
      <c r="H1733" s="2">
        <v>0.72807870370370376</v>
      </c>
      <c r="I1733">
        <v>12</v>
      </c>
      <c r="J1733">
        <v>12</v>
      </c>
      <c r="K1733" t="s">
        <v>60</v>
      </c>
      <c r="L1733" t="s">
        <v>13</v>
      </c>
      <c r="M1733" t="s">
        <v>29</v>
      </c>
      <c r="N1733" t="s">
        <v>30</v>
      </c>
    </row>
    <row r="1734" spans="1:14" x14ac:dyDescent="0.25">
      <c r="A1734">
        <v>13326</v>
      </c>
      <c r="B1734">
        <v>5840</v>
      </c>
      <c r="C1734">
        <f>1/COUNTIF(B:B,pizza_sales[[#This Row],[order_id]])</f>
        <v>1</v>
      </c>
      <c r="D1734" t="s">
        <v>24</v>
      </c>
      <c r="E1734">
        <v>1</v>
      </c>
      <c r="F1734" s="1">
        <v>42220</v>
      </c>
      <c r="G1734" s="1" t="str">
        <f>TEXT(pizza_sales[[#This Row],[order_date]],"dddd")</f>
        <v>Tuesday</v>
      </c>
      <c r="H1734" s="2">
        <v>0.73223379629629626</v>
      </c>
      <c r="I1734">
        <v>20.25</v>
      </c>
      <c r="J1734">
        <v>20.25</v>
      </c>
      <c r="K1734" t="s">
        <v>58</v>
      </c>
      <c r="L1734" t="s">
        <v>17</v>
      </c>
      <c r="M1734" t="s">
        <v>18</v>
      </c>
      <c r="N1734" t="s">
        <v>19</v>
      </c>
    </row>
    <row r="1735" spans="1:14" x14ac:dyDescent="0.25">
      <c r="A1735">
        <v>13330</v>
      </c>
      <c r="B1735">
        <v>5842</v>
      </c>
      <c r="C1735">
        <f>1/COUNTIF(B:B,pizza_sales[[#This Row],[order_id]])</f>
        <v>1</v>
      </c>
      <c r="D1735" t="s">
        <v>38</v>
      </c>
      <c r="E1735">
        <v>1</v>
      </c>
      <c r="F1735" s="1">
        <v>42220</v>
      </c>
      <c r="G1735" s="1" t="str">
        <f>TEXT(pizza_sales[[#This Row],[order_date]],"dddd")</f>
        <v>Tuesday</v>
      </c>
      <c r="H1735" s="2">
        <v>0.74503472222222222</v>
      </c>
      <c r="I1735">
        <v>20.5</v>
      </c>
      <c r="J1735">
        <v>20.5</v>
      </c>
      <c r="K1735" t="s">
        <v>58</v>
      </c>
      <c r="L1735" t="s">
        <v>13</v>
      </c>
      <c r="M1735" t="s">
        <v>32</v>
      </c>
      <c r="N1735" t="s">
        <v>33</v>
      </c>
    </row>
    <row r="1736" spans="1:14" x14ac:dyDescent="0.25">
      <c r="A1736">
        <v>13333</v>
      </c>
      <c r="B1736">
        <v>5844</v>
      </c>
      <c r="C1736">
        <f>1/COUNTIF(B:B,pizza_sales[[#This Row],[order_id]])</f>
        <v>1</v>
      </c>
      <c r="D1736" t="s">
        <v>50</v>
      </c>
      <c r="E1736">
        <v>1</v>
      </c>
      <c r="F1736" s="1">
        <v>42220</v>
      </c>
      <c r="G1736" s="1" t="str">
        <f>TEXT(pizza_sales[[#This Row],[order_date]],"dddd")</f>
        <v>Tuesday</v>
      </c>
      <c r="H1736" s="2">
        <v>0.75357638888888889</v>
      </c>
      <c r="I1736">
        <v>16</v>
      </c>
      <c r="J1736">
        <v>16</v>
      </c>
      <c r="K1736" t="s">
        <v>59</v>
      </c>
      <c r="L1736" t="s">
        <v>13</v>
      </c>
      <c r="M1736" t="s">
        <v>32</v>
      </c>
      <c r="N1736" t="s">
        <v>33</v>
      </c>
    </row>
    <row r="1737" spans="1:14" x14ac:dyDescent="0.25">
      <c r="A1737">
        <v>13334</v>
      </c>
      <c r="B1737">
        <v>5845</v>
      </c>
      <c r="C1737">
        <f>1/COUNTIF(B:B,pizza_sales[[#This Row],[order_id]])</f>
        <v>1</v>
      </c>
      <c r="D1737" t="s">
        <v>47</v>
      </c>
      <c r="E1737">
        <v>1</v>
      </c>
      <c r="F1737" s="1">
        <v>42220</v>
      </c>
      <c r="G1737" s="1" t="str">
        <f>TEXT(pizza_sales[[#This Row],[order_date]],"dddd")</f>
        <v>Tuesday</v>
      </c>
      <c r="H1737" s="2">
        <v>0.75880787037037034</v>
      </c>
      <c r="I1737">
        <v>16.5</v>
      </c>
      <c r="J1737">
        <v>16.5</v>
      </c>
      <c r="K1737" t="s">
        <v>58</v>
      </c>
      <c r="L1737" t="s">
        <v>13</v>
      </c>
      <c r="M1737" t="s">
        <v>14</v>
      </c>
      <c r="N1737" t="s">
        <v>15</v>
      </c>
    </row>
    <row r="1738" spans="1:14" x14ac:dyDescent="0.25">
      <c r="A1738">
        <v>13336</v>
      </c>
      <c r="B1738">
        <v>5846</v>
      </c>
      <c r="C1738">
        <f>1/COUNTIF(B:B,pizza_sales[[#This Row],[order_id]])</f>
        <v>1</v>
      </c>
      <c r="D1738" t="s">
        <v>34</v>
      </c>
      <c r="E1738">
        <v>1</v>
      </c>
      <c r="F1738" s="1">
        <v>42220</v>
      </c>
      <c r="G1738" s="1" t="str">
        <f>TEXT(pizza_sales[[#This Row],[order_date]],"dddd")</f>
        <v>Tuesday</v>
      </c>
      <c r="H1738" s="2">
        <v>0.75923611111111111</v>
      </c>
      <c r="I1738">
        <v>16.25</v>
      </c>
      <c r="J1738">
        <v>16.25</v>
      </c>
      <c r="K1738" t="s">
        <v>59</v>
      </c>
      <c r="L1738" t="s">
        <v>35</v>
      </c>
      <c r="M1738" t="s">
        <v>36</v>
      </c>
      <c r="N1738" t="s">
        <v>37</v>
      </c>
    </row>
    <row r="1739" spans="1:14" x14ac:dyDescent="0.25">
      <c r="A1739">
        <v>13339</v>
      </c>
      <c r="B1739">
        <v>5847</v>
      </c>
      <c r="C1739">
        <f>1/COUNTIF(B:B,pizza_sales[[#This Row],[order_id]])</f>
        <v>1</v>
      </c>
      <c r="D1739" t="s">
        <v>28</v>
      </c>
      <c r="E1739">
        <v>1</v>
      </c>
      <c r="F1739" s="1">
        <v>42220</v>
      </c>
      <c r="G1739" s="1" t="str">
        <f>TEXT(pizza_sales[[#This Row],[order_date]],"dddd")</f>
        <v>Tuesday</v>
      </c>
      <c r="H1739" s="2">
        <v>0.76056712962962958</v>
      </c>
      <c r="I1739">
        <v>12</v>
      </c>
      <c r="J1739">
        <v>12</v>
      </c>
      <c r="K1739" t="s">
        <v>60</v>
      </c>
      <c r="L1739" t="s">
        <v>13</v>
      </c>
      <c r="M1739" t="s">
        <v>29</v>
      </c>
      <c r="N1739" t="s">
        <v>30</v>
      </c>
    </row>
    <row r="1740" spans="1:14" x14ac:dyDescent="0.25">
      <c r="A1740">
        <v>13340</v>
      </c>
      <c r="B1740">
        <v>5848</v>
      </c>
      <c r="C1740">
        <f>1/COUNTIF(B:B,pizza_sales[[#This Row],[order_id]])</f>
        <v>1</v>
      </c>
      <c r="D1740" t="s">
        <v>16</v>
      </c>
      <c r="E1740">
        <v>1</v>
      </c>
      <c r="F1740" s="1">
        <v>42220</v>
      </c>
      <c r="G1740" s="1" t="str">
        <f>TEXT(pizza_sales[[#This Row],[order_date]],"dddd")</f>
        <v>Tuesday</v>
      </c>
      <c r="H1740" s="2">
        <v>0.78957175925925926</v>
      </c>
      <c r="I1740">
        <v>16</v>
      </c>
      <c r="J1740">
        <v>16</v>
      </c>
      <c r="K1740" t="s">
        <v>59</v>
      </c>
      <c r="L1740" t="s">
        <v>17</v>
      </c>
      <c r="M1740" t="s">
        <v>18</v>
      </c>
      <c r="N1740" t="s">
        <v>19</v>
      </c>
    </row>
    <row r="1741" spans="1:14" x14ac:dyDescent="0.25">
      <c r="A1741">
        <v>13343</v>
      </c>
      <c r="B1741">
        <v>5850</v>
      </c>
      <c r="C1741">
        <f>1/COUNTIF(B:B,pizza_sales[[#This Row],[order_id]])</f>
        <v>0.5</v>
      </c>
      <c r="D1741" t="s">
        <v>45</v>
      </c>
      <c r="E1741">
        <v>1</v>
      </c>
      <c r="F1741" s="1">
        <v>42220</v>
      </c>
      <c r="G1741" s="1" t="str">
        <f>TEXT(pizza_sales[[#This Row],[order_date]],"dddd")</f>
        <v>Tuesday</v>
      </c>
      <c r="H1741" s="2">
        <v>0.80562500000000004</v>
      </c>
      <c r="I1741">
        <v>10.5</v>
      </c>
      <c r="J1741">
        <v>10.5</v>
      </c>
      <c r="K1741" t="s">
        <v>60</v>
      </c>
      <c r="L1741" t="s">
        <v>13</v>
      </c>
      <c r="M1741" t="s">
        <v>14</v>
      </c>
      <c r="N1741" t="s">
        <v>15</v>
      </c>
    </row>
    <row r="1742" spans="1:14" x14ac:dyDescent="0.25">
      <c r="A1742">
        <v>13344</v>
      </c>
      <c r="B1742">
        <v>5850</v>
      </c>
      <c r="C1742">
        <f>1/COUNTIF(B:B,pizza_sales[[#This Row],[order_id]])</f>
        <v>0.5</v>
      </c>
      <c r="D1742" t="s">
        <v>46</v>
      </c>
      <c r="E1742">
        <v>1</v>
      </c>
      <c r="F1742" s="1">
        <v>42220</v>
      </c>
      <c r="G1742" s="1" t="str">
        <f>TEXT(pizza_sales[[#This Row],[order_date]],"dddd")</f>
        <v>Tuesday</v>
      </c>
      <c r="H1742" s="2">
        <v>0.80562500000000004</v>
      </c>
      <c r="I1742">
        <v>25.5</v>
      </c>
      <c r="J1742">
        <v>25.5</v>
      </c>
      <c r="K1742" t="s">
        <v>61</v>
      </c>
      <c r="L1742" t="s">
        <v>13</v>
      </c>
      <c r="M1742" t="s">
        <v>21</v>
      </c>
      <c r="N1742" t="s">
        <v>22</v>
      </c>
    </row>
    <row r="1743" spans="1:14" x14ac:dyDescent="0.25">
      <c r="A1743">
        <v>13346</v>
      </c>
      <c r="B1743">
        <v>5851</v>
      </c>
      <c r="C1743">
        <f>1/COUNTIF(B:B,pizza_sales[[#This Row],[order_id]])</f>
        <v>0.5</v>
      </c>
      <c r="D1743" t="s">
        <v>42</v>
      </c>
      <c r="E1743">
        <v>1</v>
      </c>
      <c r="F1743" s="1">
        <v>42220</v>
      </c>
      <c r="G1743" s="1" t="str">
        <f>TEXT(pizza_sales[[#This Row],[order_date]],"dddd")</f>
        <v>Tuesday</v>
      </c>
      <c r="H1743" s="2">
        <v>0.80565972222222226</v>
      </c>
      <c r="I1743">
        <v>12.5</v>
      </c>
      <c r="J1743">
        <v>12.5</v>
      </c>
      <c r="K1743" t="s">
        <v>59</v>
      </c>
      <c r="L1743" t="s">
        <v>13</v>
      </c>
      <c r="M1743" t="s">
        <v>26</v>
      </c>
      <c r="N1743" t="s">
        <v>27</v>
      </c>
    </row>
    <row r="1744" spans="1:14" x14ac:dyDescent="0.25">
      <c r="A1744">
        <v>13347</v>
      </c>
      <c r="B1744">
        <v>5851</v>
      </c>
      <c r="C1744">
        <f>1/COUNTIF(B:B,pizza_sales[[#This Row],[order_id]])</f>
        <v>0.5</v>
      </c>
      <c r="D1744" t="s">
        <v>44</v>
      </c>
      <c r="E1744">
        <v>1</v>
      </c>
      <c r="F1744" s="1">
        <v>42220</v>
      </c>
      <c r="G1744" s="1" t="str">
        <f>TEXT(pizza_sales[[#This Row],[order_date]],"dddd")</f>
        <v>Tuesday</v>
      </c>
      <c r="H1744" s="2">
        <v>0.80565972222222226</v>
      </c>
      <c r="I1744">
        <v>9.75</v>
      </c>
      <c r="J1744">
        <v>9.75</v>
      </c>
      <c r="K1744" t="s">
        <v>60</v>
      </c>
      <c r="L1744" t="s">
        <v>13</v>
      </c>
      <c r="M1744" t="s">
        <v>26</v>
      </c>
      <c r="N1744" t="s">
        <v>27</v>
      </c>
    </row>
    <row r="1745" spans="1:14" x14ac:dyDescent="0.25">
      <c r="A1745">
        <v>13350</v>
      </c>
      <c r="B1745">
        <v>5852</v>
      </c>
      <c r="C1745">
        <f>1/COUNTIF(B:B,pizza_sales[[#This Row],[order_id]])</f>
        <v>1</v>
      </c>
      <c r="D1745" t="s">
        <v>56</v>
      </c>
      <c r="E1745">
        <v>1</v>
      </c>
      <c r="F1745" s="1">
        <v>42220</v>
      </c>
      <c r="G1745" s="1" t="str">
        <f>TEXT(pizza_sales[[#This Row],[order_date]],"dddd")</f>
        <v>Tuesday</v>
      </c>
      <c r="H1745" s="2">
        <v>0.82901620370370366</v>
      </c>
      <c r="I1745">
        <v>20.25</v>
      </c>
      <c r="J1745">
        <v>20.25</v>
      </c>
      <c r="K1745" t="s">
        <v>58</v>
      </c>
      <c r="L1745" t="s">
        <v>35</v>
      </c>
      <c r="M1745" t="s">
        <v>36</v>
      </c>
      <c r="N1745" t="s">
        <v>37</v>
      </c>
    </row>
    <row r="1746" spans="1:14" x14ac:dyDescent="0.25">
      <c r="A1746">
        <v>13351</v>
      </c>
      <c r="B1746">
        <v>5853</v>
      </c>
      <c r="C1746">
        <f>1/COUNTIF(B:B,pizza_sales[[#This Row],[order_id]])</f>
        <v>1</v>
      </c>
      <c r="D1746" t="s">
        <v>34</v>
      </c>
      <c r="E1746">
        <v>1</v>
      </c>
      <c r="F1746" s="1">
        <v>42220</v>
      </c>
      <c r="G1746" s="1" t="str">
        <f>TEXT(pizza_sales[[#This Row],[order_date]],"dddd")</f>
        <v>Tuesday</v>
      </c>
      <c r="H1746" s="2">
        <v>0.83060185185185187</v>
      </c>
      <c r="I1746">
        <v>16.25</v>
      </c>
      <c r="J1746">
        <v>16.25</v>
      </c>
      <c r="K1746" t="s">
        <v>59</v>
      </c>
      <c r="L1746" t="s">
        <v>35</v>
      </c>
      <c r="M1746" t="s">
        <v>36</v>
      </c>
      <c r="N1746" t="s">
        <v>37</v>
      </c>
    </row>
    <row r="1747" spans="1:14" x14ac:dyDescent="0.25">
      <c r="A1747">
        <v>13355</v>
      </c>
      <c r="B1747">
        <v>5855</v>
      </c>
      <c r="C1747">
        <f>1/COUNTIF(B:B,pizza_sales[[#This Row],[order_id]])</f>
        <v>1</v>
      </c>
      <c r="D1747" t="s">
        <v>47</v>
      </c>
      <c r="E1747">
        <v>1</v>
      </c>
      <c r="F1747" s="1">
        <v>42220</v>
      </c>
      <c r="G1747" s="1" t="str">
        <f>TEXT(pizza_sales[[#This Row],[order_date]],"dddd")</f>
        <v>Tuesday</v>
      </c>
      <c r="H1747" s="2">
        <v>0.87789351851851849</v>
      </c>
      <c r="I1747">
        <v>16.5</v>
      </c>
      <c r="J1747">
        <v>16.5</v>
      </c>
      <c r="K1747" t="s">
        <v>58</v>
      </c>
      <c r="L1747" t="s">
        <v>13</v>
      </c>
      <c r="M1747" t="s">
        <v>14</v>
      </c>
      <c r="N1747" t="s">
        <v>15</v>
      </c>
    </row>
    <row r="1748" spans="1:14" x14ac:dyDescent="0.25">
      <c r="A1748">
        <v>13356</v>
      </c>
      <c r="B1748">
        <v>5856</v>
      </c>
      <c r="C1748">
        <f>1/COUNTIF(B:B,pizza_sales[[#This Row],[order_id]])</f>
        <v>1</v>
      </c>
      <c r="D1748" t="s">
        <v>55</v>
      </c>
      <c r="E1748">
        <v>1</v>
      </c>
      <c r="F1748" s="1">
        <v>42220</v>
      </c>
      <c r="G1748" s="1" t="str">
        <f>TEXT(pizza_sales[[#This Row],[order_date]],"dddd")</f>
        <v>Tuesday</v>
      </c>
      <c r="H1748" s="2">
        <v>0.88218750000000001</v>
      </c>
      <c r="I1748">
        <v>20.5</v>
      </c>
      <c r="J1748">
        <v>20.5</v>
      </c>
      <c r="K1748" t="s">
        <v>58</v>
      </c>
      <c r="L1748" t="s">
        <v>13</v>
      </c>
      <c r="M1748" t="s">
        <v>21</v>
      </c>
      <c r="N1748" t="s">
        <v>22</v>
      </c>
    </row>
    <row r="1749" spans="1:14" x14ac:dyDescent="0.25">
      <c r="A1749">
        <v>13362</v>
      </c>
      <c r="B1749">
        <v>5860</v>
      </c>
      <c r="C1749">
        <f>1/COUNTIF(B:B,pizza_sales[[#This Row],[order_id]])</f>
        <v>1</v>
      </c>
      <c r="D1749" t="s">
        <v>50</v>
      </c>
      <c r="E1749">
        <v>1</v>
      </c>
      <c r="F1749" s="1">
        <v>42220</v>
      </c>
      <c r="G1749" s="1" t="str">
        <f>TEXT(pizza_sales[[#This Row],[order_date]],"dddd")</f>
        <v>Tuesday</v>
      </c>
      <c r="H1749" s="2">
        <v>0.9274189814814815</v>
      </c>
      <c r="I1749">
        <v>16</v>
      </c>
      <c r="J1749">
        <v>16</v>
      </c>
      <c r="K1749" t="s">
        <v>59</v>
      </c>
      <c r="L1749" t="s">
        <v>13</v>
      </c>
      <c r="M1749" t="s">
        <v>32</v>
      </c>
      <c r="N1749" t="s">
        <v>33</v>
      </c>
    </row>
    <row r="1750" spans="1:14" x14ac:dyDescent="0.25">
      <c r="A1750">
        <v>13368</v>
      </c>
      <c r="B1750">
        <v>5863</v>
      </c>
      <c r="C1750">
        <f>1/COUNTIF(B:B,pizza_sales[[#This Row],[order_id]])</f>
        <v>1</v>
      </c>
      <c r="D1750" t="s">
        <v>24</v>
      </c>
      <c r="E1750">
        <v>1</v>
      </c>
      <c r="F1750" s="1">
        <v>42251</v>
      </c>
      <c r="G1750" s="1" t="str">
        <f>TEXT(pizza_sales[[#This Row],[order_date]],"dddd")</f>
        <v>Friday</v>
      </c>
      <c r="H1750" s="2">
        <v>0.47839120370370369</v>
      </c>
      <c r="I1750">
        <v>20.25</v>
      </c>
      <c r="J1750">
        <v>20.25</v>
      </c>
      <c r="K1750" t="s">
        <v>58</v>
      </c>
      <c r="L1750" t="s">
        <v>17</v>
      </c>
      <c r="M1750" t="s">
        <v>18</v>
      </c>
      <c r="N1750" t="s">
        <v>19</v>
      </c>
    </row>
    <row r="1751" spans="1:14" x14ac:dyDescent="0.25">
      <c r="A1751">
        <v>13371</v>
      </c>
      <c r="B1751">
        <v>5864</v>
      </c>
      <c r="C1751">
        <f>1/COUNTIF(B:B,pizza_sales[[#This Row],[order_id]])</f>
        <v>0.33333333333333331</v>
      </c>
      <c r="D1751" t="s">
        <v>24</v>
      </c>
      <c r="E1751">
        <v>1</v>
      </c>
      <c r="F1751" s="1">
        <v>42251</v>
      </c>
      <c r="G1751" s="1" t="str">
        <f>TEXT(pizza_sales[[#This Row],[order_date]],"dddd")</f>
        <v>Friday</v>
      </c>
      <c r="H1751" s="2">
        <v>0.49037037037037035</v>
      </c>
      <c r="I1751">
        <v>20.25</v>
      </c>
      <c r="J1751">
        <v>20.25</v>
      </c>
      <c r="K1751" t="s">
        <v>58</v>
      </c>
      <c r="L1751" t="s">
        <v>17</v>
      </c>
      <c r="M1751" t="s">
        <v>18</v>
      </c>
      <c r="N1751" t="s">
        <v>19</v>
      </c>
    </row>
    <row r="1752" spans="1:14" x14ac:dyDescent="0.25">
      <c r="A1752">
        <v>13372</v>
      </c>
      <c r="B1752">
        <v>5864</v>
      </c>
      <c r="C1752">
        <f>1/COUNTIF(B:B,pizza_sales[[#This Row],[order_id]])</f>
        <v>0.33333333333333331</v>
      </c>
      <c r="D1752" t="s">
        <v>42</v>
      </c>
      <c r="E1752">
        <v>1</v>
      </c>
      <c r="F1752" s="1">
        <v>42251</v>
      </c>
      <c r="G1752" s="1" t="str">
        <f>TEXT(pizza_sales[[#This Row],[order_date]],"dddd")</f>
        <v>Friday</v>
      </c>
      <c r="H1752" s="2">
        <v>0.49037037037037035</v>
      </c>
      <c r="I1752">
        <v>12.5</v>
      </c>
      <c r="J1752">
        <v>12.5</v>
      </c>
      <c r="K1752" t="s">
        <v>59</v>
      </c>
      <c r="L1752" t="s">
        <v>13</v>
      </c>
      <c r="M1752" t="s">
        <v>26</v>
      </c>
      <c r="N1752" t="s">
        <v>27</v>
      </c>
    </row>
    <row r="1753" spans="1:14" x14ac:dyDescent="0.25">
      <c r="A1753">
        <v>13373</v>
      </c>
      <c r="B1753">
        <v>5864</v>
      </c>
      <c r="C1753">
        <f>1/COUNTIF(B:B,pizza_sales[[#This Row],[order_id]])</f>
        <v>0.33333333333333331</v>
      </c>
      <c r="D1753" t="s">
        <v>43</v>
      </c>
      <c r="E1753">
        <v>1</v>
      </c>
      <c r="F1753" s="1">
        <v>42251</v>
      </c>
      <c r="G1753" s="1" t="str">
        <f>TEXT(pizza_sales[[#This Row],[order_date]],"dddd")</f>
        <v>Friday</v>
      </c>
      <c r="H1753" s="2">
        <v>0.49037037037037035</v>
      </c>
      <c r="I1753">
        <v>16.25</v>
      </c>
      <c r="J1753">
        <v>16.25</v>
      </c>
      <c r="K1753" t="s">
        <v>59</v>
      </c>
      <c r="L1753" t="s">
        <v>35</v>
      </c>
      <c r="M1753" t="s">
        <v>40</v>
      </c>
      <c r="N1753" t="s">
        <v>41</v>
      </c>
    </row>
    <row r="1754" spans="1:14" x14ac:dyDescent="0.25">
      <c r="A1754">
        <v>13386</v>
      </c>
      <c r="B1754">
        <v>5869</v>
      </c>
      <c r="C1754">
        <f>1/COUNTIF(B:B,pizza_sales[[#This Row],[order_id]])</f>
        <v>0.5</v>
      </c>
      <c r="D1754" t="s">
        <v>50</v>
      </c>
      <c r="E1754">
        <v>1</v>
      </c>
      <c r="F1754" s="1">
        <v>42251</v>
      </c>
      <c r="G1754" s="1" t="str">
        <f>TEXT(pizza_sales[[#This Row],[order_date]],"dddd")</f>
        <v>Friday</v>
      </c>
      <c r="H1754" s="2">
        <v>0.52464120370370371</v>
      </c>
      <c r="I1754">
        <v>16</v>
      </c>
      <c r="J1754">
        <v>16</v>
      </c>
      <c r="K1754" t="s">
        <v>59</v>
      </c>
      <c r="L1754" t="s">
        <v>13</v>
      </c>
      <c r="M1754" t="s">
        <v>32</v>
      </c>
      <c r="N1754" t="s">
        <v>33</v>
      </c>
    </row>
    <row r="1755" spans="1:14" x14ac:dyDescent="0.25">
      <c r="A1755">
        <v>13387</v>
      </c>
      <c r="B1755">
        <v>5869</v>
      </c>
      <c r="C1755">
        <f>1/COUNTIF(B:B,pizza_sales[[#This Row],[order_id]])</f>
        <v>0.5</v>
      </c>
      <c r="D1755" t="s">
        <v>25</v>
      </c>
      <c r="E1755">
        <v>1</v>
      </c>
      <c r="F1755" s="1">
        <v>42251</v>
      </c>
      <c r="G1755" s="1" t="str">
        <f>TEXT(pizza_sales[[#This Row],[order_date]],"dddd")</f>
        <v>Friday</v>
      </c>
      <c r="H1755" s="2">
        <v>0.52464120370370371</v>
      </c>
      <c r="I1755">
        <v>15.25</v>
      </c>
      <c r="J1755">
        <v>15.25</v>
      </c>
      <c r="K1755" t="s">
        <v>58</v>
      </c>
      <c r="L1755" t="s">
        <v>13</v>
      </c>
      <c r="M1755" t="s">
        <v>26</v>
      </c>
      <c r="N1755" t="s">
        <v>27</v>
      </c>
    </row>
    <row r="1756" spans="1:14" x14ac:dyDescent="0.25">
      <c r="A1756">
        <v>13389</v>
      </c>
      <c r="B1756">
        <v>5870</v>
      </c>
      <c r="C1756">
        <f>1/COUNTIF(B:B,pizza_sales[[#This Row],[order_id]])</f>
        <v>1</v>
      </c>
      <c r="D1756" t="s">
        <v>38</v>
      </c>
      <c r="E1756">
        <v>1</v>
      </c>
      <c r="F1756" s="1">
        <v>42251</v>
      </c>
      <c r="G1756" s="1" t="str">
        <f>TEXT(pizza_sales[[#This Row],[order_date]],"dddd")</f>
        <v>Friday</v>
      </c>
      <c r="H1756" s="2">
        <v>0.53027777777777774</v>
      </c>
      <c r="I1756">
        <v>20.5</v>
      </c>
      <c r="J1756">
        <v>20.5</v>
      </c>
      <c r="K1756" t="s">
        <v>58</v>
      </c>
      <c r="L1756" t="s">
        <v>13</v>
      </c>
      <c r="M1756" t="s">
        <v>32</v>
      </c>
      <c r="N1756" t="s">
        <v>33</v>
      </c>
    </row>
    <row r="1757" spans="1:14" x14ac:dyDescent="0.25">
      <c r="A1757">
        <v>13394</v>
      </c>
      <c r="B1757">
        <v>5875</v>
      </c>
      <c r="C1757">
        <f>1/COUNTIF(B:B,pizza_sales[[#This Row],[order_id]])</f>
        <v>1</v>
      </c>
      <c r="D1757" t="s">
        <v>45</v>
      </c>
      <c r="E1757">
        <v>1</v>
      </c>
      <c r="F1757" s="1">
        <v>42251</v>
      </c>
      <c r="G1757" s="1" t="str">
        <f>TEXT(pizza_sales[[#This Row],[order_date]],"dddd")</f>
        <v>Friday</v>
      </c>
      <c r="H1757" s="2">
        <v>0.57215277777777773</v>
      </c>
      <c r="I1757">
        <v>10.5</v>
      </c>
      <c r="J1757">
        <v>10.5</v>
      </c>
      <c r="K1757" t="s">
        <v>60</v>
      </c>
      <c r="L1757" t="s">
        <v>13</v>
      </c>
      <c r="M1757" t="s">
        <v>14</v>
      </c>
      <c r="N1757" t="s">
        <v>15</v>
      </c>
    </row>
    <row r="1758" spans="1:14" x14ac:dyDescent="0.25">
      <c r="A1758">
        <v>13398</v>
      </c>
      <c r="B1758">
        <v>5878</v>
      </c>
      <c r="C1758">
        <f>1/COUNTIF(B:B,pizza_sales[[#This Row],[order_id]])</f>
        <v>0.5</v>
      </c>
      <c r="D1758" t="s">
        <v>24</v>
      </c>
      <c r="E1758">
        <v>1</v>
      </c>
      <c r="F1758" s="1">
        <v>42251</v>
      </c>
      <c r="G1758" s="1" t="str">
        <f>TEXT(pizza_sales[[#This Row],[order_date]],"dddd")</f>
        <v>Friday</v>
      </c>
      <c r="H1758" s="2">
        <v>0.58954861111111112</v>
      </c>
      <c r="I1758">
        <v>20.25</v>
      </c>
      <c r="J1758">
        <v>20.25</v>
      </c>
      <c r="K1758" t="s">
        <v>58</v>
      </c>
      <c r="L1758" t="s">
        <v>17</v>
      </c>
      <c r="M1758" t="s">
        <v>18</v>
      </c>
      <c r="N1758" t="s">
        <v>19</v>
      </c>
    </row>
    <row r="1759" spans="1:14" x14ac:dyDescent="0.25">
      <c r="A1759">
        <v>13399</v>
      </c>
      <c r="B1759">
        <v>5878</v>
      </c>
      <c r="C1759">
        <f>1/COUNTIF(B:B,pizza_sales[[#This Row],[order_id]])</f>
        <v>0.5</v>
      </c>
      <c r="D1759" t="s">
        <v>38</v>
      </c>
      <c r="E1759">
        <v>1</v>
      </c>
      <c r="F1759" s="1">
        <v>42251</v>
      </c>
      <c r="G1759" s="1" t="str">
        <f>TEXT(pizza_sales[[#This Row],[order_date]],"dddd")</f>
        <v>Friday</v>
      </c>
      <c r="H1759" s="2">
        <v>0.58954861111111112</v>
      </c>
      <c r="I1759">
        <v>20.5</v>
      </c>
      <c r="J1759">
        <v>20.5</v>
      </c>
      <c r="K1759" t="s">
        <v>58</v>
      </c>
      <c r="L1759" t="s">
        <v>13</v>
      </c>
      <c r="M1759" t="s">
        <v>32</v>
      </c>
      <c r="N1759" t="s">
        <v>33</v>
      </c>
    </row>
    <row r="1760" spans="1:14" x14ac:dyDescent="0.25">
      <c r="A1760">
        <v>13401</v>
      </c>
      <c r="B1760">
        <v>5880</v>
      </c>
      <c r="C1760">
        <f>1/COUNTIF(B:B,pizza_sales[[#This Row],[order_id]])</f>
        <v>0.25</v>
      </c>
      <c r="D1760" t="s">
        <v>56</v>
      </c>
      <c r="E1760">
        <v>1</v>
      </c>
      <c r="F1760" s="1">
        <v>42251</v>
      </c>
      <c r="G1760" s="1" t="str">
        <f>TEXT(pizza_sales[[#This Row],[order_date]],"dddd")</f>
        <v>Friday</v>
      </c>
      <c r="H1760" s="2">
        <v>0.6051157407407407</v>
      </c>
      <c r="I1760">
        <v>20.25</v>
      </c>
      <c r="J1760">
        <v>20.25</v>
      </c>
      <c r="K1760" t="s">
        <v>58</v>
      </c>
      <c r="L1760" t="s">
        <v>35</v>
      </c>
      <c r="M1760" t="s">
        <v>36</v>
      </c>
      <c r="N1760" t="s">
        <v>37</v>
      </c>
    </row>
    <row r="1761" spans="1:14" x14ac:dyDescent="0.25">
      <c r="A1761">
        <v>13402</v>
      </c>
      <c r="B1761">
        <v>5880</v>
      </c>
      <c r="C1761">
        <f>1/COUNTIF(B:B,pizza_sales[[#This Row],[order_id]])</f>
        <v>0.25</v>
      </c>
      <c r="D1761" t="s">
        <v>34</v>
      </c>
      <c r="E1761">
        <v>1</v>
      </c>
      <c r="F1761" s="1">
        <v>42251</v>
      </c>
      <c r="G1761" s="1" t="str">
        <f>TEXT(pizza_sales[[#This Row],[order_date]],"dddd")</f>
        <v>Friday</v>
      </c>
      <c r="H1761" s="2">
        <v>0.6051157407407407</v>
      </c>
      <c r="I1761">
        <v>16.25</v>
      </c>
      <c r="J1761">
        <v>16.25</v>
      </c>
      <c r="K1761" t="s">
        <v>59</v>
      </c>
      <c r="L1761" t="s">
        <v>35</v>
      </c>
      <c r="M1761" t="s">
        <v>36</v>
      </c>
      <c r="N1761" t="s">
        <v>37</v>
      </c>
    </row>
    <row r="1762" spans="1:14" x14ac:dyDescent="0.25">
      <c r="A1762">
        <v>13403</v>
      </c>
      <c r="B1762">
        <v>5880</v>
      </c>
      <c r="C1762">
        <f>1/COUNTIF(B:B,pizza_sales[[#This Row],[order_id]])</f>
        <v>0.25</v>
      </c>
      <c r="D1762" t="s">
        <v>48</v>
      </c>
      <c r="E1762">
        <v>1</v>
      </c>
      <c r="F1762" s="1">
        <v>42251</v>
      </c>
      <c r="G1762" s="1" t="str">
        <f>TEXT(pizza_sales[[#This Row],[order_date]],"dddd")</f>
        <v>Friday</v>
      </c>
      <c r="H1762" s="2">
        <v>0.6051157407407407</v>
      </c>
      <c r="I1762">
        <v>12.25</v>
      </c>
      <c r="J1762">
        <v>12.25</v>
      </c>
      <c r="K1762" t="s">
        <v>60</v>
      </c>
      <c r="L1762" t="s">
        <v>35</v>
      </c>
      <c r="M1762" t="s">
        <v>40</v>
      </c>
      <c r="N1762" t="s">
        <v>41</v>
      </c>
    </row>
    <row r="1763" spans="1:14" x14ac:dyDescent="0.25">
      <c r="A1763">
        <v>13405</v>
      </c>
      <c r="B1763">
        <v>5880</v>
      </c>
      <c r="C1763">
        <f>1/COUNTIF(B:B,pizza_sales[[#This Row],[order_id]])</f>
        <v>0.25</v>
      </c>
      <c r="D1763" t="s">
        <v>46</v>
      </c>
      <c r="E1763">
        <v>1</v>
      </c>
      <c r="F1763" s="1">
        <v>42251</v>
      </c>
      <c r="G1763" s="1" t="str">
        <f>TEXT(pizza_sales[[#This Row],[order_date]],"dddd")</f>
        <v>Friday</v>
      </c>
      <c r="H1763" s="2">
        <v>0.6051157407407407</v>
      </c>
      <c r="I1763">
        <v>25.5</v>
      </c>
      <c r="J1763">
        <v>25.5</v>
      </c>
      <c r="K1763" t="s">
        <v>61</v>
      </c>
      <c r="L1763" t="s">
        <v>13</v>
      </c>
      <c r="M1763" t="s">
        <v>21</v>
      </c>
      <c r="N1763" t="s">
        <v>22</v>
      </c>
    </row>
    <row r="1764" spans="1:14" x14ac:dyDescent="0.25">
      <c r="A1764">
        <v>13406</v>
      </c>
      <c r="B1764">
        <v>5881</v>
      </c>
      <c r="C1764">
        <f>1/COUNTIF(B:B,pizza_sales[[#This Row],[order_id]])</f>
        <v>1</v>
      </c>
      <c r="D1764" t="s">
        <v>24</v>
      </c>
      <c r="E1764">
        <v>2</v>
      </c>
      <c r="F1764" s="1">
        <v>42251</v>
      </c>
      <c r="G1764" s="1" t="str">
        <f>TEXT(pizza_sales[[#This Row],[order_date]],"dddd")</f>
        <v>Friday</v>
      </c>
      <c r="H1764" s="2">
        <v>0.63567129629629626</v>
      </c>
      <c r="I1764">
        <v>20.25</v>
      </c>
      <c r="J1764">
        <v>40.5</v>
      </c>
      <c r="K1764" t="s">
        <v>58</v>
      </c>
      <c r="L1764" t="s">
        <v>17</v>
      </c>
      <c r="M1764" t="s">
        <v>18</v>
      </c>
      <c r="N1764" t="s">
        <v>19</v>
      </c>
    </row>
    <row r="1765" spans="1:14" x14ac:dyDescent="0.25">
      <c r="A1765">
        <v>13412</v>
      </c>
      <c r="B1765">
        <v>5884</v>
      </c>
      <c r="C1765">
        <f>1/COUNTIF(B:B,pizza_sales[[#This Row],[order_id]])</f>
        <v>0.5</v>
      </c>
      <c r="D1765" t="s">
        <v>24</v>
      </c>
      <c r="E1765">
        <v>1</v>
      </c>
      <c r="F1765" s="1">
        <v>42251</v>
      </c>
      <c r="G1765" s="1" t="str">
        <f>TEXT(pizza_sales[[#This Row],[order_date]],"dddd")</f>
        <v>Friday</v>
      </c>
      <c r="H1765" s="2">
        <v>0.67991898148148144</v>
      </c>
      <c r="I1765">
        <v>20.25</v>
      </c>
      <c r="J1765">
        <v>20.25</v>
      </c>
      <c r="K1765" t="s">
        <v>58</v>
      </c>
      <c r="L1765" t="s">
        <v>17</v>
      </c>
      <c r="M1765" t="s">
        <v>18</v>
      </c>
      <c r="N1765" t="s">
        <v>19</v>
      </c>
    </row>
    <row r="1766" spans="1:14" x14ac:dyDescent="0.25">
      <c r="A1766">
        <v>13413</v>
      </c>
      <c r="B1766">
        <v>5884</v>
      </c>
      <c r="C1766">
        <f>1/COUNTIF(B:B,pizza_sales[[#This Row],[order_id]])</f>
        <v>0.5</v>
      </c>
      <c r="D1766" t="s">
        <v>44</v>
      </c>
      <c r="E1766">
        <v>1</v>
      </c>
      <c r="F1766" s="1">
        <v>42251</v>
      </c>
      <c r="G1766" s="1" t="str">
        <f>TEXT(pizza_sales[[#This Row],[order_date]],"dddd")</f>
        <v>Friday</v>
      </c>
      <c r="H1766" s="2">
        <v>0.67991898148148144</v>
      </c>
      <c r="I1766">
        <v>9.75</v>
      </c>
      <c r="J1766">
        <v>9.75</v>
      </c>
      <c r="K1766" t="s">
        <v>60</v>
      </c>
      <c r="L1766" t="s">
        <v>13</v>
      </c>
      <c r="M1766" t="s">
        <v>26</v>
      </c>
      <c r="N1766" t="s">
        <v>27</v>
      </c>
    </row>
    <row r="1767" spans="1:14" x14ac:dyDescent="0.25">
      <c r="A1767">
        <v>13420</v>
      </c>
      <c r="B1767">
        <v>5886</v>
      </c>
      <c r="C1767">
        <f>1/COUNTIF(B:B,pizza_sales[[#This Row],[order_id]])</f>
        <v>1</v>
      </c>
      <c r="D1767" t="s">
        <v>50</v>
      </c>
      <c r="E1767">
        <v>1</v>
      </c>
      <c r="F1767" s="1">
        <v>42251</v>
      </c>
      <c r="G1767" s="1" t="str">
        <f>TEXT(pizza_sales[[#This Row],[order_date]],"dddd")</f>
        <v>Friday</v>
      </c>
      <c r="H1767" s="2">
        <v>0.68586805555555552</v>
      </c>
      <c r="I1767">
        <v>16</v>
      </c>
      <c r="J1767">
        <v>16</v>
      </c>
      <c r="K1767" t="s">
        <v>59</v>
      </c>
      <c r="L1767" t="s">
        <v>13</v>
      </c>
      <c r="M1767" t="s">
        <v>32</v>
      </c>
      <c r="N1767" t="s">
        <v>33</v>
      </c>
    </row>
    <row r="1768" spans="1:14" x14ac:dyDescent="0.25">
      <c r="A1768">
        <v>13423</v>
      </c>
      <c r="B1768">
        <v>5887</v>
      </c>
      <c r="C1768">
        <f>1/COUNTIF(B:B,pizza_sales[[#This Row],[order_id]])</f>
        <v>1</v>
      </c>
      <c r="D1768" t="s">
        <v>46</v>
      </c>
      <c r="E1768">
        <v>1</v>
      </c>
      <c r="F1768" s="1">
        <v>42251</v>
      </c>
      <c r="G1768" s="1" t="str">
        <f>TEXT(pizza_sales[[#This Row],[order_date]],"dddd")</f>
        <v>Friday</v>
      </c>
      <c r="H1768" s="2">
        <v>0.69997685185185188</v>
      </c>
      <c r="I1768">
        <v>25.5</v>
      </c>
      <c r="J1768">
        <v>25.5</v>
      </c>
      <c r="K1768" t="s">
        <v>61</v>
      </c>
      <c r="L1768" t="s">
        <v>13</v>
      </c>
      <c r="M1768" t="s">
        <v>21</v>
      </c>
      <c r="N1768" t="s">
        <v>22</v>
      </c>
    </row>
    <row r="1769" spans="1:14" x14ac:dyDescent="0.25">
      <c r="A1769">
        <v>13425</v>
      </c>
      <c r="B1769">
        <v>5888</v>
      </c>
      <c r="C1769">
        <f>1/COUNTIF(B:B,pizza_sales[[#This Row],[order_id]])</f>
        <v>1</v>
      </c>
      <c r="D1769" t="s">
        <v>49</v>
      </c>
      <c r="E1769">
        <v>1</v>
      </c>
      <c r="F1769" s="1">
        <v>42251</v>
      </c>
      <c r="G1769" s="1" t="str">
        <f>TEXT(pizza_sales[[#This Row],[order_date]],"dddd")</f>
        <v>Friday</v>
      </c>
      <c r="H1769" s="2">
        <v>0.70295138888888886</v>
      </c>
      <c r="I1769">
        <v>16</v>
      </c>
      <c r="J1769">
        <v>16</v>
      </c>
      <c r="K1769" t="s">
        <v>59</v>
      </c>
      <c r="L1769" t="s">
        <v>13</v>
      </c>
      <c r="M1769" t="s">
        <v>21</v>
      </c>
      <c r="N1769" t="s">
        <v>22</v>
      </c>
    </row>
    <row r="1770" spans="1:14" x14ac:dyDescent="0.25">
      <c r="A1770">
        <v>13426</v>
      </c>
      <c r="B1770">
        <v>5889</v>
      </c>
      <c r="C1770">
        <f>1/COUNTIF(B:B,pizza_sales[[#This Row],[order_id]])</f>
        <v>1</v>
      </c>
      <c r="D1770" t="s">
        <v>42</v>
      </c>
      <c r="E1770">
        <v>1</v>
      </c>
      <c r="F1770" s="1">
        <v>42251</v>
      </c>
      <c r="G1770" s="1" t="str">
        <f>TEXT(pizza_sales[[#This Row],[order_date]],"dddd")</f>
        <v>Friday</v>
      </c>
      <c r="H1770" s="2">
        <v>0.70494212962962965</v>
      </c>
      <c r="I1770">
        <v>12.5</v>
      </c>
      <c r="J1770">
        <v>12.5</v>
      </c>
      <c r="K1770" t="s">
        <v>59</v>
      </c>
      <c r="L1770" t="s">
        <v>13</v>
      </c>
      <c r="M1770" t="s">
        <v>26</v>
      </c>
      <c r="N1770" t="s">
        <v>27</v>
      </c>
    </row>
    <row r="1771" spans="1:14" x14ac:dyDescent="0.25">
      <c r="A1771">
        <v>13428</v>
      </c>
      <c r="B1771">
        <v>5890</v>
      </c>
      <c r="C1771">
        <f>1/COUNTIF(B:B,pizza_sales[[#This Row],[order_id]])</f>
        <v>1</v>
      </c>
      <c r="D1771" t="s">
        <v>38</v>
      </c>
      <c r="E1771">
        <v>1</v>
      </c>
      <c r="F1771" s="1">
        <v>42251</v>
      </c>
      <c r="G1771" s="1" t="str">
        <f>TEXT(pizza_sales[[#This Row],[order_date]],"dddd")</f>
        <v>Friday</v>
      </c>
      <c r="H1771" s="2">
        <v>0.71096064814814819</v>
      </c>
      <c r="I1771">
        <v>20.5</v>
      </c>
      <c r="J1771">
        <v>20.5</v>
      </c>
      <c r="K1771" t="s">
        <v>58</v>
      </c>
      <c r="L1771" t="s">
        <v>13</v>
      </c>
      <c r="M1771" t="s">
        <v>32</v>
      </c>
      <c r="N1771" t="s">
        <v>33</v>
      </c>
    </row>
    <row r="1772" spans="1:14" x14ac:dyDescent="0.25">
      <c r="A1772">
        <v>13432</v>
      </c>
      <c r="B1772">
        <v>5892</v>
      </c>
      <c r="C1772">
        <f>1/COUNTIF(B:B,pizza_sales[[#This Row],[order_id]])</f>
        <v>1</v>
      </c>
      <c r="D1772" t="s">
        <v>28</v>
      </c>
      <c r="E1772">
        <v>1</v>
      </c>
      <c r="F1772" s="1">
        <v>42251</v>
      </c>
      <c r="G1772" s="1" t="str">
        <f>TEXT(pizza_sales[[#This Row],[order_date]],"dddd")</f>
        <v>Friday</v>
      </c>
      <c r="H1772" s="2">
        <v>0.7330092592592593</v>
      </c>
      <c r="I1772">
        <v>12</v>
      </c>
      <c r="J1772">
        <v>12</v>
      </c>
      <c r="K1772" t="s">
        <v>60</v>
      </c>
      <c r="L1772" t="s">
        <v>13</v>
      </c>
      <c r="M1772" t="s">
        <v>29</v>
      </c>
      <c r="N1772" t="s">
        <v>30</v>
      </c>
    </row>
    <row r="1773" spans="1:14" x14ac:dyDescent="0.25">
      <c r="A1773">
        <v>13438</v>
      </c>
      <c r="B1773">
        <v>5894</v>
      </c>
      <c r="C1773">
        <f>1/COUNTIF(B:B,pizza_sales[[#This Row],[order_id]])</f>
        <v>1</v>
      </c>
      <c r="D1773" t="s">
        <v>24</v>
      </c>
      <c r="E1773">
        <v>1</v>
      </c>
      <c r="F1773" s="1">
        <v>42251</v>
      </c>
      <c r="G1773" s="1" t="str">
        <f>TEXT(pizza_sales[[#This Row],[order_date]],"dddd")</f>
        <v>Friday</v>
      </c>
      <c r="H1773" s="2">
        <v>0.74747685185185186</v>
      </c>
      <c r="I1773">
        <v>20.25</v>
      </c>
      <c r="J1773">
        <v>20.25</v>
      </c>
      <c r="K1773" t="s">
        <v>58</v>
      </c>
      <c r="L1773" t="s">
        <v>17</v>
      </c>
      <c r="M1773" t="s">
        <v>18</v>
      </c>
      <c r="N1773" t="s">
        <v>19</v>
      </c>
    </row>
    <row r="1774" spans="1:14" x14ac:dyDescent="0.25">
      <c r="A1774">
        <v>13439</v>
      </c>
      <c r="B1774">
        <v>5895</v>
      </c>
      <c r="C1774">
        <f>1/COUNTIF(B:B,pizza_sales[[#This Row],[order_id]])</f>
        <v>0.5</v>
      </c>
      <c r="D1774" t="s">
        <v>39</v>
      </c>
      <c r="E1774">
        <v>1</v>
      </c>
      <c r="F1774" s="1">
        <v>42251</v>
      </c>
      <c r="G1774" s="1" t="str">
        <f>TEXT(pizza_sales[[#This Row],[order_date]],"dddd")</f>
        <v>Friday</v>
      </c>
      <c r="H1774" s="2">
        <v>0.74997685185185181</v>
      </c>
      <c r="I1774">
        <v>20.25</v>
      </c>
      <c r="J1774">
        <v>20.25</v>
      </c>
      <c r="K1774" t="s">
        <v>58</v>
      </c>
      <c r="L1774" t="s">
        <v>35</v>
      </c>
      <c r="M1774" t="s">
        <v>40</v>
      </c>
      <c r="N1774" t="s">
        <v>41</v>
      </c>
    </row>
    <row r="1775" spans="1:14" x14ac:dyDescent="0.25">
      <c r="A1775">
        <v>13440</v>
      </c>
      <c r="B1775">
        <v>5895</v>
      </c>
      <c r="C1775">
        <f>1/COUNTIF(B:B,pizza_sales[[#This Row],[order_id]])</f>
        <v>0.5</v>
      </c>
      <c r="D1775" t="s">
        <v>20</v>
      </c>
      <c r="E1775">
        <v>1</v>
      </c>
      <c r="F1775" s="1">
        <v>42251</v>
      </c>
      <c r="G1775" s="1" t="str">
        <f>TEXT(pizza_sales[[#This Row],[order_date]],"dddd")</f>
        <v>Friday</v>
      </c>
      <c r="H1775" s="2">
        <v>0.74997685185185181</v>
      </c>
      <c r="I1775">
        <v>12</v>
      </c>
      <c r="J1775">
        <v>12</v>
      </c>
      <c r="K1775" t="s">
        <v>60</v>
      </c>
      <c r="L1775" t="s">
        <v>13</v>
      </c>
      <c r="M1775" t="s">
        <v>21</v>
      </c>
      <c r="N1775" t="s">
        <v>22</v>
      </c>
    </row>
    <row r="1776" spans="1:14" x14ac:dyDescent="0.25">
      <c r="A1776">
        <v>13446</v>
      </c>
      <c r="B1776">
        <v>5897</v>
      </c>
      <c r="C1776">
        <f>1/COUNTIF(B:B,pizza_sales[[#This Row],[order_id]])</f>
        <v>1</v>
      </c>
      <c r="D1776" t="s">
        <v>49</v>
      </c>
      <c r="E1776">
        <v>1</v>
      </c>
      <c r="F1776" s="1">
        <v>42251</v>
      </c>
      <c r="G1776" s="1" t="str">
        <f>TEXT(pizza_sales[[#This Row],[order_date]],"dddd")</f>
        <v>Friday</v>
      </c>
      <c r="H1776" s="2">
        <v>0.7556018518518518</v>
      </c>
      <c r="I1776">
        <v>16</v>
      </c>
      <c r="J1776">
        <v>16</v>
      </c>
      <c r="K1776" t="s">
        <v>59</v>
      </c>
      <c r="L1776" t="s">
        <v>13</v>
      </c>
      <c r="M1776" t="s">
        <v>21</v>
      </c>
      <c r="N1776" t="s">
        <v>22</v>
      </c>
    </row>
    <row r="1777" spans="1:14" x14ac:dyDescent="0.25">
      <c r="A1777">
        <v>13447</v>
      </c>
      <c r="B1777">
        <v>5898</v>
      </c>
      <c r="C1777">
        <f>1/COUNTIF(B:B,pizza_sales[[#This Row],[order_id]])</f>
        <v>1</v>
      </c>
      <c r="D1777" t="s">
        <v>28</v>
      </c>
      <c r="E1777">
        <v>1</v>
      </c>
      <c r="F1777" s="1">
        <v>42251</v>
      </c>
      <c r="G1777" s="1" t="str">
        <f>TEXT(pizza_sales[[#This Row],[order_date]],"dddd")</f>
        <v>Friday</v>
      </c>
      <c r="H1777" s="2">
        <v>0.75634259259259262</v>
      </c>
      <c r="I1777">
        <v>12</v>
      </c>
      <c r="J1777">
        <v>12</v>
      </c>
      <c r="K1777" t="s">
        <v>60</v>
      </c>
      <c r="L1777" t="s">
        <v>13</v>
      </c>
      <c r="M1777" t="s">
        <v>29</v>
      </c>
      <c r="N1777" t="s">
        <v>30</v>
      </c>
    </row>
    <row r="1778" spans="1:14" x14ac:dyDescent="0.25">
      <c r="A1778">
        <v>13451</v>
      </c>
      <c r="B1778">
        <v>5900</v>
      </c>
      <c r="C1778">
        <f>1/COUNTIF(B:B,pizza_sales[[#This Row],[order_id]])</f>
        <v>0.5</v>
      </c>
      <c r="D1778" t="s">
        <v>51</v>
      </c>
      <c r="E1778">
        <v>1</v>
      </c>
      <c r="F1778" s="1">
        <v>42251</v>
      </c>
      <c r="G1778" s="1" t="str">
        <f>TEXT(pizza_sales[[#This Row],[order_date]],"dddd")</f>
        <v>Friday</v>
      </c>
      <c r="H1778" s="2">
        <v>0.75928240740740738</v>
      </c>
      <c r="I1778">
        <v>23.65</v>
      </c>
      <c r="J1778">
        <v>23.65</v>
      </c>
      <c r="K1778" t="s">
        <v>60</v>
      </c>
      <c r="L1778" t="s">
        <v>35</v>
      </c>
      <c r="M1778" t="s">
        <v>52</v>
      </c>
      <c r="N1778" t="s">
        <v>53</v>
      </c>
    </row>
    <row r="1779" spans="1:14" x14ac:dyDescent="0.25">
      <c r="A1779">
        <v>13453</v>
      </c>
      <c r="B1779">
        <v>5900</v>
      </c>
      <c r="C1779">
        <f>1/COUNTIF(B:B,pizza_sales[[#This Row],[order_id]])</f>
        <v>0.5</v>
      </c>
      <c r="D1779" t="s">
        <v>25</v>
      </c>
      <c r="E1779">
        <v>1</v>
      </c>
      <c r="F1779" s="1">
        <v>42251</v>
      </c>
      <c r="G1779" s="1" t="str">
        <f>TEXT(pizza_sales[[#This Row],[order_date]],"dddd")</f>
        <v>Friday</v>
      </c>
      <c r="H1779" s="2">
        <v>0.75928240740740738</v>
      </c>
      <c r="I1779">
        <v>15.25</v>
      </c>
      <c r="J1779">
        <v>15.25</v>
      </c>
      <c r="K1779" t="s">
        <v>58</v>
      </c>
      <c r="L1779" t="s">
        <v>13</v>
      </c>
      <c r="M1779" t="s">
        <v>26</v>
      </c>
      <c r="N1779" t="s">
        <v>27</v>
      </c>
    </row>
    <row r="1780" spans="1:14" x14ac:dyDescent="0.25">
      <c r="A1780">
        <v>13458</v>
      </c>
      <c r="B1780">
        <v>5903</v>
      </c>
      <c r="C1780">
        <f>1/COUNTIF(B:B,pizza_sales[[#This Row],[order_id]])</f>
        <v>0.5</v>
      </c>
      <c r="D1780" t="s">
        <v>28</v>
      </c>
      <c r="E1780">
        <v>1</v>
      </c>
      <c r="F1780" s="1">
        <v>42251</v>
      </c>
      <c r="G1780" s="1" t="str">
        <f>TEXT(pizza_sales[[#This Row],[order_date]],"dddd")</f>
        <v>Friday</v>
      </c>
      <c r="H1780" s="2">
        <v>0.78350694444444446</v>
      </c>
      <c r="I1780">
        <v>12</v>
      </c>
      <c r="J1780">
        <v>12</v>
      </c>
      <c r="K1780" t="s">
        <v>60</v>
      </c>
      <c r="L1780" t="s">
        <v>13</v>
      </c>
      <c r="M1780" t="s">
        <v>29</v>
      </c>
      <c r="N1780" t="s">
        <v>30</v>
      </c>
    </row>
    <row r="1781" spans="1:14" x14ac:dyDescent="0.25">
      <c r="A1781">
        <v>13459</v>
      </c>
      <c r="B1781">
        <v>5903</v>
      </c>
      <c r="C1781">
        <f>1/COUNTIF(B:B,pizza_sales[[#This Row],[order_id]])</f>
        <v>0.5</v>
      </c>
      <c r="D1781" t="s">
        <v>38</v>
      </c>
      <c r="E1781">
        <v>1</v>
      </c>
      <c r="F1781" s="1">
        <v>42251</v>
      </c>
      <c r="G1781" s="1" t="str">
        <f>TEXT(pizza_sales[[#This Row],[order_date]],"dddd")</f>
        <v>Friday</v>
      </c>
      <c r="H1781" s="2">
        <v>0.78350694444444446</v>
      </c>
      <c r="I1781">
        <v>20.5</v>
      </c>
      <c r="J1781">
        <v>20.5</v>
      </c>
      <c r="K1781" t="s">
        <v>58</v>
      </c>
      <c r="L1781" t="s">
        <v>13</v>
      </c>
      <c r="M1781" t="s">
        <v>32</v>
      </c>
      <c r="N1781" t="s">
        <v>33</v>
      </c>
    </row>
    <row r="1782" spans="1:14" x14ac:dyDescent="0.25">
      <c r="A1782">
        <v>13463</v>
      </c>
      <c r="B1782">
        <v>5904</v>
      </c>
      <c r="C1782">
        <f>1/COUNTIF(B:B,pizza_sales[[#This Row],[order_id]])</f>
        <v>1</v>
      </c>
      <c r="D1782" t="s">
        <v>42</v>
      </c>
      <c r="E1782">
        <v>1</v>
      </c>
      <c r="F1782" s="1">
        <v>42251</v>
      </c>
      <c r="G1782" s="1" t="str">
        <f>TEXT(pizza_sales[[#This Row],[order_date]],"dddd")</f>
        <v>Friday</v>
      </c>
      <c r="H1782" s="2">
        <v>0.8156944444444445</v>
      </c>
      <c r="I1782">
        <v>12.5</v>
      </c>
      <c r="J1782">
        <v>12.5</v>
      </c>
      <c r="K1782" t="s">
        <v>59</v>
      </c>
      <c r="L1782" t="s">
        <v>13</v>
      </c>
      <c r="M1782" t="s">
        <v>26</v>
      </c>
      <c r="N1782" t="s">
        <v>27</v>
      </c>
    </row>
    <row r="1783" spans="1:14" x14ac:dyDescent="0.25">
      <c r="A1783">
        <v>13468</v>
      </c>
      <c r="B1783">
        <v>5906</v>
      </c>
      <c r="C1783">
        <f>1/COUNTIF(B:B,pizza_sales[[#This Row],[order_id]])</f>
        <v>1</v>
      </c>
      <c r="D1783" t="s">
        <v>50</v>
      </c>
      <c r="E1783">
        <v>1</v>
      </c>
      <c r="F1783" s="1">
        <v>42251</v>
      </c>
      <c r="G1783" s="1" t="str">
        <f>TEXT(pizza_sales[[#This Row],[order_date]],"dddd")</f>
        <v>Friday</v>
      </c>
      <c r="H1783" s="2">
        <v>0.84137731481481481</v>
      </c>
      <c r="I1783">
        <v>16</v>
      </c>
      <c r="J1783">
        <v>16</v>
      </c>
      <c r="K1783" t="s">
        <v>59</v>
      </c>
      <c r="L1783" t="s">
        <v>13</v>
      </c>
      <c r="M1783" t="s">
        <v>32</v>
      </c>
      <c r="N1783" t="s">
        <v>33</v>
      </c>
    </row>
    <row r="1784" spans="1:14" x14ac:dyDescent="0.25">
      <c r="A1784">
        <v>13473</v>
      </c>
      <c r="B1784">
        <v>5907</v>
      </c>
      <c r="C1784">
        <f>1/COUNTIF(B:B,pizza_sales[[#This Row],[order_id]])</f>
        <v>1</v>
      </c>
      <c r="D1784" t="s">
        <v>44</v>
      </c>
      <c r="E1784">
        <v>1</v>
      </c>
      <c r="F1784" s="1">
        <v>42251</v>
      </c>
      <c r="G1784" s="1" t="str">
        <f>TEXT(pizza_sales[[#This Row],[order_date]],"dddd")</f>
        <v>Friday</v>
      </c>
      <c r="H1784" s="2">
        <v>0.84863425925925928</v>
      </c>
      <c r="I1784">
        <v>9.75</v>
      </c>
      <c r="J1784">
        <v>9.75</v>
      </c>
      <c r="K1784" t="s">
        <v>60</v>
      </c>
      <c r="L1784" t="s">
        <v>13</v>
      </c>
      <c r="M1784" t="s">
        <v>26</v>
      </c>
      <c r="N1784" t="s">
        <v>27</v>
      </c>
    </row>
    <row r="1785" spans="1:14" x14ac:dyDescent="0.25">
      <c r="A1785">
        <v>13477</v>
      </c>
      <c r="B1785">
        <v>5909</v>
      </c>
      <c r="C1785">
        <f>1/COUNTIF(B:B,pizza_sales[[#This Row],[order_id]])</f>
        <v>0.33333333333333331</v>
      </c>
      <c r="D1785" t="s">
        <v>28</v>
      </c>
      <c r="E1785">
        <v>1</v>
      </c>
      <c r="F1785" s="1">
        <v>42251</v>
      </c>
      <c r="G1785" s="1" t="str">
        <f>TEXT(pizza_sales[[#This Row],[order_date]],"dddd")</f>
        <v>Friday</v>
      </c>
      <c r="H1785" s="2">
        <v>0.85451388888888891</v>
      </c>
      <c r="I1785">
        <v>12</v>
      </c>
      <c r="J1785">
        <v>12</v>
      </c>
      <c r="K1785" t="s">
        <v>60</v>
      </c>
      <c r="L1785" t="s">
        <v>13</v>
      </c>
      <c r="M1785" t="s">
        <v>29</v>
      </c>
      <c r="N1785" t="s">
        <v>30</v>
      </c>
    </row>
    <row r="1786" spans="1:14" x14ac:dyDescent="0.25">
      <c r="A1786">
        <v>13478</v>
      </c>
      <c r="B1786">
        <v>5909</v>
      </c>
      <c r="C1786">
        <f>1/COUNTIF(B:B,pizza_sales[[#This Row],[order_id]])</f>
        <v>0.33333333333333331</v>
      </c>
      <c r="D1786" t="s">
        <v>45</v>
      </c>
      <c r="E1786">
        <v>1</v>
      </c>
      <c r="F1786" s="1">
        <v>42251</v>
      </c>
      <c r="G1786" s="1" t="str">
        <f>TEXT(pizza_sales[[#This Row],[order_date]],"dddd")</f>
        <v>Friday</v>
      </c>
      <c r="H1786" s="2">
        <v>0.85451388888888891</v>
      </c>
      <c r="I1786">
        <v>10.5</v>
      </c>
      <c r="J1786">
        <v>10.5</v>
      </c>
      <c r="K1786" t="s">
        <v>60</v>
      </c>
      <c r="L1786" t="s">
        <v>13</v>
      </c>
      <c r="M1786" t="s">
        <v>14</v>
      </c>
      <c r="N1786" t="s">
        <v>15</v>
      </c>
    </row>
    <row r="1787" spans="1:14" x14ac:dyDescent="0.25">
      <c r="A1787">
        <v>13479</v>
      </c>
      <c r="B1787">
        <v>5909</v>
      </c>
      <c r="C1787">
        <f>1/COUNTIF(B:B,pizza_sales[[#This Row],[order_id]])</f>
        <v>0.33333333333333331</v>
      </c>
      <c r="D1787" t="s">
        <v>48</v>
      </c>
      <c r="E1787">
        <v>1</v>
      </c>
      <c r="F1787" s="1">
        <v>42251</v>
      </c>
      <c r="G1787" s="1" t="str">
        <f>TEXT(pizza_sales[[#This Row],[order_date]],"dddd")</f>
        <v>Friday</v>
      </c>
      <c r="H1787" s="2">
        <v>0.85451388888888891</v>
      </c>
      <c r="I1787">
        <v>12.25</v>
      </c>
      <c r="J1787">
        <v>12.25</v>
      </c>
      <c r="K1787" t="s">
        <v>60</v>
      </c>
      <c r="L1787" t="s">
        <v>35</v>
      </c>
      <c r="M1787" t="s">
        <v>40</v>
      </c>
      <c r="N1787" t="s">
        <v>41</v>
      </c>
    </row>
    <row r="1788" spans="1:14" x14ac:dyDescent="0.25">
      <c r="A1788">
        <v>13483</v>
      </c>
      <c r="B1788">
        <v>5912</v>
      </c>
      <c r="C1788">
        <f>1/COUNTIF(B:B,pizza_sales[[#This Row],[order_id]])</f>
        <v>0.5</v>
      </c>
      <c r="D1788" t="s">
        <v>47</v>
      </c>
      <c r="E1788">
        <v>1</v>
      </c>
      <c r="F1788" s="1">
        <v>42251</v>
      </c>
      <c r="G1788" s="1" t="str">
        <f>TEXT(pizza_sales[[#This Row],[order_date]],"dddd")</f>
        <v>Friday</v>
      </c>
      <c r="H1788" s="2">
        <v>0.95223379629629634</v>
      </c>
      <c r="I1788">
        <v>16.5</v>
      </c>
      <c r="J1788">
        <v>16.5</v>
      </c>
      <c r="K1788" t="s">
        <v>58</v>
      </c>
      <c r="L1788" t="s">
        <v>13</v>
      </c>
      <c r="M1788" t="s">
        <v>14</v>
      </c>
      <c r="N1788" t="s">
        <v>15</v>
      </c>
    </row>
    <row r="1789" spans="1:14" x14ac:dyDescent="0.25">
      <c r="A1789">
        <v>13484</v>
      </c>
      <c r="B1789">
        <v>5912</v>
      </c>
      <c r="C1789">
        <f>1/COUNTIF(B:B,pizza_sales[[#This Row],[order_id]])</f>
        <v>0.5</v>
      </c>
      <c r="D1789" t="s">
        <v>20</v>
      </c>
      <c r="E1789">
        <v>1</v>
      </c>
      <c r="F1789" s="1">
        <v>42251</v>
      </c>
      <c r="G1789" s="1" t="str">
        <f>TEXT(pizza_sales[[#This Row],[order_date]],"dddd")</f>
        <v>Friday</v>
      </c>
      <c r="H1789" s="2">
        <v>0.95223379629629634</v>
      </c>
      <c r="I1789">
        <v>12</v>
      </c>
      <c r="J1789">
        <v>12</v>
      </c>
      <c r="K1789" t="s">
        <v>60</v>
      </c>
      <c r="L1789" t="s">
        <v>13</v>
      </c>
      <c r="M1789" t="s">
        <v>21</v>
      </c>
      <c r="N1789" t="s">
        <v>22</v>
      </c>
    </row>
    <row r="1790" spans="1:14" x14ac:dyDescent="0.25">
      <c r="A1790">
        <v>13485</v>
      </c>
      <c r="B1790">
        <v>5913</v>
      </c>
      <c r="C1790">
        <f>1/COUNTIF(B:B,pizza_sales[[#This Row],[order_id]])</f>
        <v>1</v>
      </c>
      <c r="D1790" t="s">
        <v>46</v>
      </c>
      <c r="E1790">
        <v>1</v>
      </c>
      <c r="F1790" s="1">
        <v>42281</v>
      </c>
      <c r="G1790" s="1" t="str">
        <f>TEXT(pizza_sales[[#This Row],[order_date]],"dddd")</f>
        <v>Sunday</v>
      </c>
      <c r="H1790" s="2">
        <v>0.46957175925925926</v>
      </c>
      <c r="I1790">
        <v>25.5</v>
      </c>
      <c r="J1790">
        <v>25.5</v>
      </c>
      <c r="K1790" t="s">
        <v>61</v>
      </c>
      <c r="L1790" t="s">
        <v>13</v>
      </c>
      <c r="M1790" t="s">
        <v>21</v>
      </c>
      <c r="N1790" t="s">
        <v>22</v>
      </c>
    </row>
    <row r="1791" spans="1:14" x14ac:dyDescent="0.25">
      <c r="A1791">
        <v>13489</v>
      </c>
      <c r="B1791">
        <v>5916</v>
      </c>
      <c r="C1791">
        <f>1/COUNTIF(B:B,pizza_sales[[#This Row],[order_id]])</f>
        <v>1</v>
      </c>
      <c r="D1791" t="s">
        <v>28</v>
      </c>
      <c r="E1791">
        <v>1</v>
      </c>
      <c r="F1791" s="1">
        <v>42281</v>
      </c>
      <c r="G1791" s="1" t="str">
        <f>TEXT(pizza_sales[[#This Row],[order_date]],"dddd")</f>
        <v>Sunday</v>
      </c>
      <c r="H1791" s="2">
        <v>0.49965277777777778</v>
      </c>
      <c r="I1791">
        <v>12</v>
      </c>
      <c r="J1791">
        <v>12</v>
      </c>
      <c r="K1791" t="s">
        <v>60</v>
      </c>
      <c r="L1791" t="s">
        <v>13</v>
      </c>
      <c r="M1791" t="s">
        <v>29</v>
      </c>
      <c r="N1791" t="s">
        <v>30</v>
      </c>
    </row>
    <row r="1792" spans="1:14" x14ac:dyDescent="0.25">
      <c r="A1792">
        <v>13495</v>
      </c>
      <c r="B1792">
        <v>5921</v>
      </c>
      <c r="C1792">
        <f>1/COUNTIF(B:B,pizza_sales[[#This Row],[order_id]])</f>
        <v>1</v>
      </c>
      <c r="D1792" t="s">
        <v>44</v>
      </c>
      <c r="E1792">
        <v>1</v>
      </c>
      <c r="F1792" s="1">
        <v>42281</v>
      </c>
      <c r="G1792" s="1" t="str">
        <f>TEXT(pizza_sales[[#This Row],[order_date]],"dddd")</f>
        <v>Sunday</v>
      </c>
      <c r="H1792" s="2">
        <v>0.52937500000000004</v>
      </c>
      <c r="I1792">
        <v>9.75</v>
      </c>
      <c r="J1792">
        <v>9.75</v>
      </c>
      <c r="K1792" t="s">
        <v>60</v>
      </c>
      <c r="L1792" t="s">
        <v>13</v>
      </c>
      <c r="M1792" t="s">
        <v>26</v>
      </c>
      <c r="N1792" t="s">
        <v>27</v>
      </c>
    </row>
    <row r="1793" spans="1:14" x14ac:dyDescent="0.25">
      <c r="A1793">
        <v>13504</v>
      </c>
      <c r="B1793">
        <v>5926</v>
      </c>
      <c r="C1793">
        <f>1/COUNTIF(B:B,pizza_sales[[#This Row],[order_id]])</f>
        <v>0.33333333333333331</v>
      </c>
      <c r="D1793" t="s">
        <v>47</v>
      </c>
      <c r="E1793">
        <v>1</v>
      </c>
      <c r="F1793" s="1">
        <v>42281</v>
      </c>
      <c r="G1793" s="1" t="str">
        <f>TEXT(pizza_sales[[#This Row],[order_date]],"dddd")</f>
        <v>Sunday</v>
      </c>
      <c r="H1793" s="2">
        <v>0.56475694444444446</v>
      </c>
      <c r="I1793">
        <v>16.5</v>
      </c>
      <c r="J1793">
        <v>16.5</v>
      </c>
      <c r="K1793" t="s">
        <v>58</v>
      </c>
      <c r="L1793" t="s">
        <v>13</v>
      </c>
      <c r="M1793" t="s">
        <v>14</v>
      </c>
      <c r="N1793" t="s">
        <v>15</v>
      </c>
    </row>
    <row r="1794" spans="1:14" x14ac:dyDescent="0.25">
      <c r="A1794">
        <v>13509</v>
      </c>
      <c r="B1794">
        <v>5926</v>
      </c>
      <c r="C1794">
        <f>1/COUNTIF(B:B,pizza_sales[[#This Row],[order_id]])</f>
        <v>0.33333333333333331</v>
      </c>
      <c r="D1794" t="s">
        <v>49</v>
      </c>
      <c r="E1794">
        <v>1</v>
      </c>
      <c r="F1794" s="1">
        <v>42281</v>
      </c>
      <c r="G1794" s="1" t="str">
        <f>TEXT(pizza_sales[[#This Row],[order_date]],"dddd")</f>
        <v>Sunday</v>
      </c>
      <c r="H1794" s="2">
        <v>0.56475694444444446</v>
      </c>
      <c r="I1794">
        <v>16</v>
      </c>
      <c r="J1794">
        <v>16</v>
      </c>
      <c r="K1794" t="s">
        <v>59</v>
      </c>
      <c r="L1794" t="s">
        <v>13</v>
      </c>
      <c r="M1794" t="s">
        <v>21</v>
      </c>
      <c r="N1794" t="s">
        <v>22</v>
      </c>
    </row>
    <row r="1795" spans="1:14" x14ac:dyDescent="0.25">
      <c r="A1795">
        <v>13510</v>
      </c>
      <c r="B1795">
        <v>5926</v>
      </c>
      <c r="C1795">
        <f>1/COUNTIF(B:B,pizza_sales[[#This Row],[order_id]])</f>
        <v>0.33333333333333331</v>
      </c>
      <c r="D1795" t="s">
        <v>46</v>
      </c>
      <c r="E1795">
        <v>1</v>
      </c>
      <c r="F1795" s="1">
        <v>42281</v>
      </c>
      <c r="G1795" s="1" t="str">
        <f>TEXT(pizza_sales[[#This Row],[order_date]],"dddd")</f>
        <v>Sunday</v>
      </c>
      <c r="H1795" s="2">
        <v>0.56475694444444446</v>
      </c>
      <c r="I1795">
        <v>25.5</v>
      </c>
      <c r="J1795">
        <v>25.5</v>
      </c>
      <c r="K1795" t="s">
        <v>61</v>
      </c>
      <c r="L1795" t="s">
        <v>13</v>
      </c>
      <c r="M1795" t="s">
        <v>21</v>
      </c>
      <c r="N1795" t="s">
        <v>22</v>
      </c>
    </row>
    <row r="1796" spans="1:14" x14ac:dyDescent="0.25">
      <c r="A1796">
        <v>13511</v>
      </c>
      <c r="B1796">
        <v>5927</v>
      </c>
      <c r="C1796">
        <f>1/COUNTIF(B:B,pizza_sales[[#This Row],[order_id]])</f>
        <v>0.5</v>
      </c>
      <c r="D1796" t="s">
        <v>24</v>
      </c>
      <c r="E1796">
        <v>1</v>
      </c>
      <c r="F1796" s="1">
        <v>42281</v>
      </c>
      <c r="G1796" s="1" t="str">
        <f>TEXT(pizza_sales[[#This Row],[order_date]],"dddd")</f>
        <v>Sunday</v>
      </c>
      <c r="H1796" s="2">
        <v>0.58481481481481479</v>
      </c>
      <c r="I1796">
        <v>20.25</v>
      </c>
      <c r="J1796">
        <v>20.25</v>
      </c>
      <c r="K1796" t="s">
        <v>58</v>
      </c>
      <c r="L1796" t="s">
        <v>17</v>
      </c>
      <c r="M1796" t="s">
        <v>18</v>
      </c>
      <c r="N1796" t="s">
        <v>19</v>
      </c>
    </row>
    <row r="1797" spans="1:14" x14ac:dyDescent="0.25">
      <c r="A1797">
        <v>13512</v>
      </c>
      <c r="B1797">
        <v>5927</v>
      </c>
      <c r="C1797">
        <f>1/COUNTIF(B:B,pizza_sales[[#This Row],[order_id]])</f>
        <v>0.5</v>
      </c>
      <c r="D1797" t="s">
        <v>57</v>
      </c>
      <c r="E1797">
        <v>1</v>
      </c>
      <c r="F1797" s="1">
        <v>42281</v>
      </c>
      <c r="G1797" s="1" t="str">
        <f>TEXT(pizza_sales[[#This Row],[order_date]],"dddd")</f>
        <v>Sunday</v>
      </c>
      <c r="H1797" s="2">
        <v>0.58481481481481479</v>
      </c>
      <c r="I1797">
        <v>35.950000000000003</v>
      </c>
      <c r="J1797">
        <v>35.950000000000003</v>
      </c>
      <c r="K1797" t="s">
        <v>62</v>
      </c>
      <c r="L1797" t="s">
        <v>13</v>
      </c>
      <c r="M1797" t="s">
        <v>21</v>
      </c>
      <c r="N1797" t="s">
        <v>22</v>
      </c>
    </row>
    <row r="1798" spans="1:14" x14ac:dyDescent="0.25">
      <c r="A1798">
        <v>13513</v>
      </c>
      <c r="B1798">
        <v>5928</v>
      </c>
      <c r="C1798">
        <f>1/COUNTIF(B:B,pizza_sales[[#This Row],[order_id]])</f>
        <v>1</v>
      </c>
      <c r="D1798" t="s">
        <v>46</v>
      </c>
      <c r="E1798">
        <v>1</v>
      </c>
      <c r="F1798" s="1">
        <v>42281</v>
      </c>
      <c r="G1798" s="1" t="str">
        <f>TEXT(pizza_sales[[#This Row],[order_date]],"dddd")</f>
        <v>Sunday</v>
      </c>
      <c r="H1798" s="2">
        <v>0.58840277777777783</v>
      </c>
      <c r="I1798">
        <v>25.5</v>
      </c>
      <c r="J1798">
        <v>25.5</v>
      </c>
      <c r="K1798" t="s">
        <v>61</v>
      </c>
      <c r="L1798" t="s">
        <v>13</v>
      </c>
      <c r="M1798" t="s">
        <v>21</v>
      </c>
      <c r="N1798" t="s">
        <v>22</v>
      </c>
    </row>
    <row r="1799" spans="1:14" x14ac:dyDescent="0.25">
      <c r="A1799">
        <v>13518</v>
      </c>
      <c r="B1799">
        <v>5930</v>
      </c>
      <c r="C1799">
        <f>1/COUNTIF(B:B,pizza_sales[[#This Row],[order_id]])</f>
        <v>0.5</v>
      </c>
      <c r="D1799" t="s">
        <v>42</v>
      </c>
      <c r="E1799">
        <v>1</v>
      </c>
      <c r="F1799" s="1">
        <v>42281</v>
      </c>
      <c r="G1799" s="1" t="str">
        <f>TEXT(pizza_sales[[#This Row],[order_date]],"dddd")</f>
        <v>Sunday</v>
      </c>
      <c r="H1799" s="2">
        <v>0.61439814814814819</v>
      </c>
      <c r="I1799">
        <v>12.5</v>
      </c>
      <c r="J1799">
        <v>12.5</v>
      </c>
      <c r="K1799" t="s">
        <v>59</v>
      </c>
      <c r="L1799" t="s">
        <v>13</v>
      </c>
      <c r="M1799" t="s">
        <v>26</v>
      </c>
      <c r="N1799" t="s">
        <v>27</v>
      </c>
    </row>
    <row r="1800" spans="1:14" x14ac:dyDescent="0.25">
      <c r="A1800">
        <v>13520</v>
      </c>
      <c r="B1800">
        <v>5930</v>
      </c>
      <c r="C1800">
        <f>1/COUNTIF(B:B,pizza_sales[[#This Row],[order_id]])</f>
        <v>0.5</v>
      </c>
      <c r="D1800" t="s">
        <v>55</v>
      </c>
      <c r="E1800">
        <v>1</v>
      </c>
      <c r="F1800" s="1">
        <v>42281</v>
      </c>
      <c r="G1800" s="1" t="str">
        <f>TEXT(pizza_sales[[#This Row],[order_date]],"dddd")</f>
        <v>Sunday</v>
      </c>
      <c r="H1800" s="2">
        <v>0.61439814814814819</v>
      </c>
      <c r="I1800">
        <v>20.5</v>
      </c>
      <c r="J1800">
        <v>20.5</v>
      </c>
      <c r="K1800" t="s">
        <v>58</v>
      </c>
      <c r="L1800" t="s">
        <v>13</v>
      </c>
      <c r="M1800" t="s">
        <v>21</v>
      </c>
      <c r="N1800" t="s">
        <v>22</v>
      </c>
    </row>
    <row r="1801" spans="1:14" x14ac:dyDescent="0.25">
      <c r="A1801">
        <v>13526</v>
      </c>
      <c r="B1801">
        <v>5934</v>
      </c>
      <c r="C1801">
        <f>1/COUNTIF(B:B,pizza_sales[[#This Row],[order_id]])</f>
        <v>0.5</v>
      </c>
      <c r="D1801" t="s">
        <v>48</v>
      </c>
      <c r="E1801">
        <v>1</v>
      </c>
      <c r="F1801" s="1">
        <v>42281</v>
      </c>
      <c r="G1801" s="1" t="str">
        <f>TEXT(pizza_sales[[#This Row],[order_date]],"dddd")</f>
        <v>Sunday</v>
      </c>
      <c r="H1801" s="2">
        <v>0.66122685185185182</v>
      </c>
      <c r="I1801">
        <v>12.25</v>
      </c>
      <c r="J1801">
        <v>12.25</v>
      </c>
      <c r="K1801" t="s">
        <v>60</v>
      </c>
      <c r="L1801" t="s">
        <v>35</v>
      </c>
      <c r="M1801" t="s">
        <v>40</v>
      </c>
      <c r="N1801" t="s">
        <v>41</v>
      </c>
    </row>
    <row r="1802" spans="1:14" x14ac:dyDescent="0.25">
      <c r="A1802">
        <v>13528</v>
      </c>
      <c r="B1802">
        <v>5934</v>
      </c>
      <c r="C1802">
        <f>1/COUNTIF(B:B,pizza_sales[[#This Row],[order_id]])</f>
        <v>0.5</v>
      </c>
      <c r="D1802" t="s">
        <v>46</v>
      </c>
      <c r="E1802">
        <v>1</v>
      </c>
      <c r="F1802" s="1">
        <v>42281</v>
      </c>
      <c r="G1802" s="1" t="str">
        <f>TEXT(pizza_sales[[#This Row],[order_date]],"dddd")</f>
        <v>Sunday</v>
      </c>
      <c r="H1802" s="2">
        <v>0.66122685185185182</v>
      </c>
      <c r="I1802">
        <v>25.5</v>
      </c>
      <c r="J1802">
        <v>25.5</v>
      </c>
      <c r="K1802" t="s">
        <v>61</v>
      </c>
      <c r="L1802" t="s">
        <v>13</v>
      </c>
      <c r="M1802" t="s">
        <v>21</v>
      </c>
      <c r="N1802" t="s">
        <v>22</v>
      </c>
    </row>
    <row r="1803" spans="1:14" x14ac:dyDescent="0.25">
      <c r="A1803">
        <v>13530</v>
      </c>
      <c r="B1803">
        <v>5935</v>
      </c>
      <c r="C1803">
        <f>1/COUNTIF(B:B,pizza_sales[[#This Row],[order_id]])</f>
        <v>1</v>
      </c>
      <c r="D1803" t="s">
        <v>47</v>
      </c>
      <c r="E1803">
        <v>1</v>
      </c>
      <c r="F1803" s="1">
        <v>42281</v>
      </c>
      <c r="G1803" s="1" t="str">
        <f>TEXT(pizza_sales[[#This Row],[order_date]],"dddd")</f>
        <v>Sunday</v>
      </c>
      <c r="H1803" s="2">
        <v>0.66920138888888892</v>
      </c>
      <c r="I1803">
        <v>16.5</v>
      </c>
      <c r="J1803">
        <v>16.5</v>
      </c>
      <c r="K1803" t="s">
        <v>58</v>
      </c>
      <c r="L1803" t="s">
        <v>13</v>
      </c>
      <c r="M1803" t="s">
        <v>14</v>
      </c>
      <c r="N1803" t="s">
        <v>15</v>
      </c>
    </row>
    <row r="1804" spans="1:14" x14ac:dyDescent="0.25">
      <c r="A1804">
        <v>13548</v>
      </c>
      <c r="B1804">
        <v>5944</v>
      </c>
      <c r="C1804">
        <f>1/COUNTIF(B:B,pizza_sales[[#This Row],[order_id]])</f>
        <v>1</v>
      </c>
      <c r="D1804" t="s">
        <v>45</v>
      </c>
      <c r="E1804">
        <v>1</v>
      </c>
      <c r="F1804" s="1">
        <v>42281</v>
      </c>
      <c r="G1804" s="1" t="str">
        <f>TEXT(pizza_sales[[#This Row],[order_date]],"dddd")</f>
        <v>Sunday</v>
      </c>
      <c r="H1804" s="2">
        <v>0.73599537037037033</v>
      </c>
      <c r="I1804">
        <v>10.5</v>
      </c>
      <c r="J1804">
        <v>10.5</v>
      </c>
      <c r="K1804" t="s">
        <v>60</v>
      </c>
      <c r="L1804" t="s">
        <v>13</v>
      </c>
      <c r="M1804" t="s">
        <v>14</v>
      </c>
      <c r="N1804" t="s">
        <v>15</v>
      </c>
    </row>
    <row r="1805" spans="1:14" x14ac:dyDescent="0.25">
      <c r="A1805">
        <v>13551</v>
      </c>
      <c r="B1805">
        <v>5945</v>
      </c>
      <c r="C1805">
        <f>1/COUNTIF(B:B,pizza_sales[[#This Row],[order_id]])</f>
        <v>1</v>
      </c>
      <c r="D1805" t="s">
        <v>12</v>
      </c>
      <c r="E1805">
        <v>1</v>
      </c>
      <c r="F1805" s="1">
        <v>42281</v>
      </c>
      <c r="G1805" s="1" t="str">
        <f>TEXT(pizza_sales[[#This Row],[order_date]],"dddd")</f>
        <v>Sunday</v>
      </c>
      <c r="H1805" s="2">
        <v>0.73631944444444442</v>
      </c>
      <c r="I1805">
        <v>13.25</v>
      </c>
      <c r="J1805">
        <v>13.25</v>
      </c>
      <c r="K1805" t="s">
        <v>59</v>
      </c>
      <c r="L1805" t="s">
        <v>13</v>
      </c>
      <c r="M1805" t="s">
        <v>14</v>
      </c>
      <c r="N1805" t="s">
        <v>15</v>
      </c>
    </row>
    <row r="1806" spans="1:14" x14ac:dyDescent="0.25">
      <c r="A1806">
        <v>13554</v>
      </c>
      <c r="B1806">
        <v>5946</v>
      </c>
      <c r="C1806">
        <f>1/COUNTIF(B:B,pizza_sales[[#This Row],[order_id]])</f>
        <v>0.5</v>
      </c>
      <c r="D1806" t="s">
        <v>45</v>
      </c>
      <c r="E1806">
        <v>1</v>
      </c>
      <c r="F1806" s="1">
        <v>42281</v>
      </c>
      <c r="G1806" s="1" t="str">
        <f>TEXT(pizza_sales[[#This Row],[order_date]],"dddd")</f>
        <v>Sunday</v>
      </c>
      <c r="H1806" s="2">
        <v>0.73640046296296291</v>
      </c>
      <c r="I1806">
        <v>10.5</v>
      </c>
      <c r="J1806">
        <v>10.5</v>
      </c>
      <c r="K1806" t="s">
        <v>60</v>
      </c>
      <c r="L1806" t="s">
        <v>13</v>
      </c>
      <c r="M1806" t="s">
        <v>14</v>
      </c>
      <c r="N1806" t="s">
        <v>15</v>
      </c>
    </row>
    <row r="1807" spans="1:14" x14ac:dyDescent="0.25">
      <c r="A1807">
        <v>13555</v>
      </c>
      <c r="B1807">
        <v>5946</v>
      </c>
      <c r="C1807">
        <f>1/COUNTIF(B:B,pizza_sales[[#This Row],[order_id]])</f>
        <v>0.5</v>
      </c>
      <c r="D1807" t="s">
        <v>39</v>
      </c>
      <c r="E1807">
        <v>1</v>
      </c>
      <c r="F1807" s="1">
        <v>42281</v>
      </c>
      <c r="G1807" s="1" t="str">
        <f>TEXT(pizza_sales[[#This Row],[order_date]],"dddd")</f>
        <v>Sunday</v>
      </c>
      <c r="H1807" s="2">
        <v>0.73640046296296291</v>
      </c>
      <c r="I1807">
        <v>20.25</v>
      </c>
      <c r="J1807">
        <v>20.25</v>
      </c>
      <c r="K1807" t="s">
        <v>58</v>
      </c>
      <c r="L1807" t="s">
        <v>35</v>
      </c>
      <c r="M1807" t="s">
        <v>40</v>
      </c>
      <c r="N1807" t="s">
        <v>41</v>
      </c>
    </row>
    <row r="1808" spans="1:14" x14ac:dyDescent="0.25">
      <c r="A1808">
        <v>13559</v>
      </c>
      <c r="B1808">
        <v>5948</v>
      </c>
      <c r="C1808">
        <f>1/COUNTIF(B:B,pizza_sales[[#This Row],[order_id]])</f>
        <v>1</v>
      </c>
      <c r="D1808" t="s">
        <v>24</v>
      </c>
      <c r="E1808">
        <v>1</v>
      </c>
      <c r="F1808" s="1">
        <v>42281</v>
      </c>
      <c r="G1808" s="1" t="str">
        <f>TEXT(pizza_sales[[#This Row],[order_date]],"dddd")</f>
        <v>Sunday</v>
      </c>
      <c r="H1808" s="2">
        <v>0.74146990740740737</v>
      </c>
      <c r="I1808">
        <v>20.25</v>
      </c>
      <c r="J1808">
        <v>20.25</v>
      </c>
      <c r="K1808" t="s">
        <v>58</v>
      </c>
      <c r="L1808" t="s">
        <v>17</v>
      </c>
      <c r="M1808" t="s">
        <v>18</v>
      </c>
      <c r="N1808" t="s">
        <v>19</v>
      </c>
    </row>
    <row r="1809" spans="1:14" x14ac:dyDescent="0.25">
      <c r="A1809">
        <v>13561</v>
      </c>
      <c r="B1809">
        <v>5949</v>
      </c>
      <c r="C1809">
        <f>1/COUNTIF(B:B,pizza_sales[[#This Row],[order_id]])</f>
        <v>1</v>
      </c>
      <c r="D1809" t="s">
        <v>45</v>
      </c>
      <c r="E1809">
        <v>1</v>
      </c>
      <c r="F1809" s="1">
        <v>42281</v>
      </c>
      <c r="G1809" s="1" t="str">
        <f>TEXT(pizza_sales[[#This Row],[order_date]],"dddd")</f>
        <v>Sunday</v>
      </c>
      <c r="H1809" s="2">
        <v>0.74734953703703699</v>
      </c>
      <c r="I1809">
        <v>10.5</v>
      </c>
      <c r="J1809">
        <v>10.5</v>
      </c>
      <c r="K1809" t="s">
        <v>60</v>
      </c>
      <c r="L1809" t="s">
        <v>13</v>
      </c>
      <c r="M1809" t="s">
        <v>14</v>
      </c>
      <c r="N1809" t="s">
        <v>15</v>
      </c>
    </row>
    <row r="1810" spans="1:14" x14ac:dyDescent="0.25">
      <c r="A1810">
        <v>13565</v>
      </c>
      <c r="B1810">
        <v>5950</v>
      </c>
      <c r="C1810">
        <f>1/COUNTIF(B:B,pizza_sales[[#This Row],[order_id]])</f>
        <v>0.5</v>
      </c>
      <c r="D1810" t="s">
        <v>16</v>
      </c>
      <c r="E1810">
        <v>1</v>
      </c>
      <c r="F1810" s="1">
        <v>42281</v>
      </c>
      <c r="G1810" s="1" t="str">
        <f>TEXT(pizza_sales[[#This Row],[order_date]],"dddd")</f>
        <v>Sunday</v>
      </c>
      <c r="H1810" s="2">
        <v>0.77172453703703703</v>
      </c>
      <c r="I1810">
        <v>16</v>
      </c>
      <c r="J1810">
        <v>16</v>
      </c>
      <c r="K1810" t="s">
        <v>59</v>
      </c>
      <c r="L1810" t="s">
        <v>17</v>
      </c>
      <c r="M1810" t="s">
        <v>18</v>
      </c>
      <c r="N1810" t="s">
        <v>19</v>
      </c>
    </row>
    <row r="1811" spans="1:14" x14ac:dyDescent="0.25">
      <c r="A1811">
        <v>13566</v>
      </c>
      <c r="B1811">
        <v>5950</v>
      </c>
      <c r="C1811">
        <f>1/COUNTIF(B:B,pizza_sales[[#This Row],[order_id]])</f>
        <v>0.5</v>
      </c>
      <c r="D1811" t="s">
        <v>43</v>
      </c>
      <c r="E1811">
        <v>1</v>
      </c>
      <c r="F1811" s="1">
        <v>42281</v>
      </c>
      <c r="G1811" s="1" t="str">
        <f>TEXT(pizza_sales[[#This Row],[order_date]],"dddd")</f>
        <v>Sunday</v>
      </c>
      <c r="H1811" s="2">
        <v>0.77172453703703703</v>
      </c>
      <c r="I1811">
        <v>16.25</v>
      </c>
      <c r="J1811">
        <v>16.25</v>
      </c>
      <c r="K1811" t="s">
        <v>59</v>
      </c>
      <c r="L1811" t="s">
        <v>35</v>
      </c>
      <c r="M1811" t="s">
        <v>40</v>
      </c>
      <c r="N1811" t="s">
        <v>41</v>
      </c>
    </row>
    <row r="1812" spans="1:14" x14ac:dyDescent="0.25">
      <c r="A1812">
        <v>13584</v>
      </c>
      <c r="B1812">
        <v>5956</v>
      </c>
      <c r="C1812">
        <f>1/COUNTIF(B:B,pizza_sales[[#This Row],[order_id]])</f>
        <v>1</v>
      </c>
      <c r="D1812" t="s">
        <v>24</v>
      </c>
      <c r="E1812">
        <v>1</v>
      </c>
      <c r="F1812" s="1">
        <v>42281</v>
      </c>
      <c r="G1812" s="1" t="str">
        <f>TEXT(pizza_sales[[#This Row],[order_date]],"dddd")</f>
        <v>Sunday</v>
      </c>
      <c r="H1812" s="2">
        <v>0.83530092592592597</v>
      </c>
      <c r="I1812">
        <v>20.25</v>
      </c>
      <c r="J1812">
        <v>20.25</v>
      </c>
      <c r="K1812" t="s">
        <v>58</v>
      </c>
      <c r="L1812" t="s">
        <v>17</v>
      </c>
      <c r="M1812" t="s">
        <v>18</v>
      </c>
      <c r="N1812" t="s">
        <v>19</v>
      </c>
    </row>
    <row r="1813" spans="1:14" x14ac:dyDescent="0.25">
      <c r="A1813">
        <v>13593</v>
      </c>
      <c r="B1813">
        <v>5960</v>
      </c>
      <c r="C1813">
        <f>1/COUNTIF(B:B,pizza_sales[[#This Row],[order_id]])</f>
        <v>0.5</v>
      </c>
      <c r="D1813" t="s">
        <v>45</v>
      </c>
      <c r="E1813">
        <v>1</v>
      </c>
      <c r="F1813" s="1">
        <v>42281</v>
      </c>
      <c r="G1813" s="1" t="str">
        <f>TEXT(pizza_sales[[#This Row],[order_date]],"dddd")</f>
        <v>Sunday</v>
      </c>
      <c r="H1813" s="2">
        <v>0.86423611111111109</v>
      </c>
      <c r="I1813">
        <v>10.5</v>
      </c>
      <c r="J1813">
        <v>10.5</v>
      </c>
      <c r="K1813" t="s">
        <v>60</v>
      </c>
      <c r="L1813" t="s">
        <v>13</v>
      </c>
      <c r="M1813" t="s">
        <v>14</v>
      </c>
      <c r="N1813" t="s">
        <v>15</v>
      </c>
    </row>
    <row r="1814" spans="1:14" x14ac:dyDescent="0.25">
      <c r="A1814">
        <v>13595</v>
      </c>
      <c r="B1814">
        <v>5960</v>
      </c>
      <c r="C1814">
        <f>1/COUNTIF(B:B,pizza_sales[[#This Row],[order_id]])</f>
        <v>0.5</v>
      </c>
      <c r="D1814" t="s">
        <v>46</v>
      </c>
      <c r="E1814">
        <v>1</v>
      </c>
      <c r="F1814" s="1">
        <v>42281</v>
      </c>
      <c r="G1814" s="1" t="str">
        <f>TEXT(pizza_sales[[#This Row],[order_date]],"dddd")</f>
        <v>Sunday</v>
      </c>
      <c r="H1814" s="2">
        <v>0.86423611111111109</v>
      </c>
      <c r="I1814">
        <v>25.5</v>
      </c>
      <c r="J1814">
        <v>25.5</v>
      </c>
      <c r="K1814" t="s">
        <v>61</v>
      </c>
      <c r="L1814" t="s">
        <v>13</v>
      </c>
      <c r="M1814" t="s">
        <v>21</v>
      </c>
      <c r="N1814" t="s">
        <v>22</v>
      </c>
    </row>
    <row r="1815" spans="1:14" x14ac:dyDescent="0.25">
      <c r="A1815">
        <v>13597</v>
      </c>
      <c r="B1815">
        <v>5961</v>
      </c>
      <c r="C1815">
        <f>1/COUNTIF(B:B,pizza_sales[[#This Row],[order_id]])</f>
        <v>1</v>
      </c>
      <c r="D1815" t="s">
        <v>55</v>
      </c>
      <c r="E1815">
        <v>1</v>
      </c>
      <c r="F1815" s="1">
        <v>42281</v>
      </c>
      <c r="G1815" s="1" t="str">
        <f>TEXT(pizza_sales[[#This Row],[order_date]],"dddd")</f>
        <v>Sunday</v>
      </c>
      <c r="H1815" s="2">
        <v>0.86442129629629627</v>
      </c>
      <c r="I1815">
        <v>20.5</v>
      </c>
      <c r="J1815">
        <v>20.5</v>
      </c>
      <c r="K1815" t="s">
        <v>58</v>
      </c>
      <c r="L1815" t="s">
        <v>13</v>
      </c>
      <c r="M1815" t="s">
        <v>21</v>
      </c>
      <c r="N1815" t="s">
        <v>22</v>
      </c>
    </row>
    <row r="1816" spans="1:14" x14ac:dyDescent="0.25">
      <c r="A1816">
        <v>13598</v>
      </c>
      <c r="B1816">
        <v>5962</v>
      </c>
      <c r="C1816">
        <f>1/COUNTIF(B:B,pizza_sales[[#This Row],[order_id]])</f>
        <v>1</v>
      </c>
      <c r="D1816" t="s">
        <v>42</v>
      </c>
      <c r="E1816">
        <v>1</v>
      </c>
      <c r="F1816" s="1">
        <v>42281</v>
      </c>
      <c r="G1816" s="1" t="str">
        <f>TEXT(pizza_sales[[#This Row],[order_date]],"dddd")</f>
        <v>Sunday</v>
      </c>
      <c r="H1816" s="2">
        <v>0.86555555555555552</v>
      </c>
      <c r="I1816">
        <v>12.5</v>
      </c>
      <c r="J1816">
        <v>12.5</v>
      </c>
      <c r="K1816" t="s">
        <v>59</v>
      </c>
      <c r="L1816" t="s">
        <v>13</v>
      </c>
      <c r="M1816" t="s">
        <v>26</v>
      </c>
      <c r="N1816" t="s">
        <v>27</v>
      </c>
    </row>
    <row r="1817" spans="1:14" x14ac:dyDescent="0.25">
      <c r="A1817">
        <v>13599</v>
      </c>
      <c r="B1817">
        <v>5963</v>
      </c>
      <c r="C1817">
        <f>1/COUNTIF(B:B,pizza_sales[[#This Row],[order_id]])</f>
        <v>0.5</v>
      </c>
      <c r="D1817" t="s">
        <v>47</v>
      </c>
      <c r="E1817">
        <v>1</v>
      </c>
      <c r="F1817" s="1">
        <v>42281</v>
      </c>
      <c r="G1817" s="1" t="str">
        <f>TEXT(pizza_sales[[#This Row],[order_date]],"dddd")</f>
        <v>Sunday</v>
      </c>
      <c r="H1817" s="2">
        <v>0.86681712962962965</v>
      </c>
      <c r="I1817">
        <v>16.5</v>
      </c>
      <c r="J1817">
        <v>16.5</v>
      </c>
      <c r="K1817" t="s">
        <v>58</v>
      </c>
      <c r="L1817" t="s">
        <v>13</v>
      </c>
      <c r="M1817" t="s">
        <v>14</v>
      </c>
      <c r="N1817" t="s">
        <v>15</v>
      </c>
    </row>
    <row r="1818" spans="1:14" x14ac:dyDescent="0.25">
      <c r="A1818">
        <v>13601</v>
      </c>
      <c r="B1818">
        <v>5963</v>
      </c>
      <c r="C1818">
        <f>1/COUNTIF(B:B,pizza_sales[[#This Row],[order_id]])</f>
        <v>0.5</v>
      </c>
      <c r="D1818" t="s">
        <v>31</v>
      </c>
      <c r="E1818">
        <v>1</v>
      </c>
      <c r="F1818" s="1">
        <v>42281</v>
      </c>
      <c r="G1818" s="1" t="str">
        <f>TEXT(pizza_sales[[#This Row],[order_date]],"dddd")</f>
        <v>Sunday</v>
      </c>
      <c r="H1818" s="2">
        <v>0.86681712962962965</v>
      </c>
      <c r="I1818">
        <v>12</v>
      </c>
      <c r="J1818">
        <v>12</v>
      </c>
      <c r="K1818" t="s">
        <v>60</v>
      </c>
      <c r="L1818" t="s">
        <v>13</v>
      </c>
      <c r="M1818" t="s">
        <v>32</v>
      </c>
      <c r="N1818" t="s">
        <v>33</v>
      </c>
    </row>
    <row r="1819" spans="1:14" x14ac:dyDescent="0.25">
      <c r="A1819">
        <v>13604</v>
      </c>
      <c r="B1819">
        <v>5964</v>
      </c>
      <c r="C1819">
        <f>1/COUNTIF(B:B,pizza_sales[[#This Row],[order_id]])</f>
        <v>1</v>
      </c>
      <c r="D1819" t="s">
        <v>16</v>
      </c>
      <c r="E1819">
        <v>1</v>
      </c>
      <c r="F1819" s="1">
        <v>42281</v>
      </c>
      <c r="G1819" s="1" t="str">
        <f>TEXT(pizza_sales[[#This Row],[order_date]],"dddd")</f>
        <v>Sunday</v>
      </c>
      <c r="H1819" s="2">
        <v>0.87146990740740737</v>
      </c>
      <c r="I1819">
        <v>16</v>
      </c>
      <c r="J1819">
        <v>16</v>
      </c>
      <c r="K1819" t="s">
        <v>59</v>
      </c>
      <c r="L1819" t="s">
        <v>17</v>
      </c>
      <c r="M1819" t="s">
        <v>18</v>
      </c>
      <c r="N1819" t="s">
        <v>19</v>
      </c>
    </row>
    <row r="1820" spans="1:14" x14ac:dyDescent="0.25">
      <c r="A1820">
        <v>13609</v>
      </c>
      <c r="B1820">
        <v>5966</v>
      </c>
      <c r="C1820">
        <f>1/COUNTIF(B:B,pizza_sales[[#This Row],[order_id]])</f>
        <v>1</v>
      </c>
      <c r="D1820" t="s">
        <v>42</v>
      </c>
      <c r="E1820">
        <v>1</v>
      </c>
      <c r="F1820" s="1">
        <v>42281</v>
      </c>
      <c r="G1820" s="1" t="str">
        <f>TEXT(pizza_sales[[#This Row],[order_date]],"dddd")</f>
        <v>Sunday</v>
      </c>
      <c r="H1820" s="2">
        <v>0.89390046296296299</v>
      </c>
      <c r="I1820">
        <v>12.5</v>
      </c>
      <c r="J1820">
        <v>12.5</v>
      </c>
      <c r="K1820" t="s">
        <v>59</v>
      </c>
      <c r="L1820" t="s">
        <v>13</v>
      </c>
      <c r="M1820" t="s">
        <v>26</v>
      </c>
      <c r="N1820" t="s">
        <v>27</v>
      </c>
    </row>
    <row r="1821" spans="1:14" x14ac:dyDescent="0.25">
      <c r="A1821">
        <v>13617</v>
      </c>
      <c r="B1821">
        <v>5968</v>
      </c>
      <c r="C1821">
        <f>1/COUNTIF(B:B,pizza_sales[[#This Row],[order_id]])</f>
        <v>1</v>
      </c>
      <c r="D1821" t="s">
        <v>48</v>
      </c>
      <c r="E1821">
        <v>1</v>
      </c>
      <c r="F1821" s="1">
        <v>42281</v>
      </c>
      <c r="G1821" s="1" t="str">
        <f>TEXT(pizza_sales[[#This Row],[order_date]],"dddd")</f>
        <v>Sunday</v>
      </c>
      <c r="H1821" s="2">
        <v>0.92606481481481484</v>
      </c>
      <c r="I1821">
        <v>12.25</v>
      </c>
      <c r="J1821">
        <v>12.25</v>
      </c>
      <c r="K1821" t="s">
        <v>60</v>
      </c>
      <c r="L1821" t="s">
        <v>35</v>
      </c>
      <c r="M1821" t="s">
        <v>40</v>
      </c>
      <c r="N1821" t="s">
        <v>41</v>
      </c>
    </row>
    <row r="1822" spans="1:14" x14ac:dyDescent="0.25">
      <c r="A1822">
        <v>13627</v>
      </c>
      <c r="B1822">
        <v>5972</v>
      </c>
      <c r="C1822">
        <f>1/COUNTIF(B:B,pizza_sales[[#This Row],[order_id]])</f>
        <v>1</v>
      </c>
      <c r="D1822" t="s">
        <v>43</v>
      </c>
      <c r="E1822">
        <v>1</v>
      </c>
      <c r="F1822" s="1">
        <v>42312</v>
      </c>
      <c r="G1822" s="1" t="str">
        <f>TEXT(pizza_sales[[#This Row],[order_date]],"dddd")</f>
        <v>Wednesday</v>
      </c>
      <c r="H1822" s="2">
        <v>0.49862268518518521</v>
      </c>
      <c r="I1822">
        <v>16.25</v>
      </c>
      <c r="J1822">
        <v>16.25</v>
      </c>
      <c r="K1822" t="s">
        <v>59</v>
      </c>
      <c r="L1822" t="s">
        <v>35</v>
      </c>
      <c r="M1822" t="s">
        <v>40</v>
      </c>
      <c r="N1822" t="s">
        <v>41</v>
      </c>
    </row>
    <row r="1823" spans="1:14" x14ac:dyDescent="0.25">
      <c r="A1823">
        <v>13628</v>
      </c>
      <c r="B1823">
        <v>5973</v>
      </c>
      <c r="C1823">
        <f>1/COUNTIF(B:B,pizza_sales[[#This Row],[order_id]])</f>
        <v>1</v>
      </c>
      <c r="D1823" t="s">
        <v>24</v>
      </c>
      <c r="E1823">
        <v>1</v>
      </c>
      <c r="F1823" s="1">
        <v>42312</v>
      </c>
      <c r="G1823" s="1" t="str">
        <f>TEXT(pizza_sales[[#This Row],[order_date]],"dddd")</f>
        <v>Wednesday</v>
      </c>
      <c r="H1823" s="2">
        <v>0.5084953703703704</v>
      </c>
      <c r="I1823">
        <v>20.25</v>
      </c>
      <c r="J1823">
        <v>20.25</v>
      </c>
      <c r="K1823" t="s">
        <v>58</v>
      </c>
      <c r="L1823" t="s">
        <v>17</v>
      </c>
      <c r="M1823" t="s">
        <v>18</v>
      </c>
      <c r="N1823" t="s">
        <v>19</v>
      </c>
    </row>
    <row r="1824" spans="1:14" x14ac:dyDescent="0.25">
      <c r="A1824">
        <v>13630</v>
      </c>
      <c r="B1824">
        <v>5974</v>
      </c>
      <c r="C1824">
        <f>1/COUNTIF(B:B,pizza_sales[[#This Row],[order_id]])</f>
        <v>0.5</v>
      </c>
      <c r="D1824" t="s">
        <v>28</v>
      </c>
      <c r="E1824">
        <v>1</v>
      </c>
      <c r="F1824" s="1">
        <v>42312</v>
      </c>
      <c r="G1824" s="1" t="str">
        <f>TEXT(pizza_sales[[#This Row],[order_date]],"dddd")</f>
        <v>Wednesday</v>
      </c>
      <c r="H1824" s="2">
        <v>0.51376157407407408</v>
      </c>
      <c r="I1824">
        <v>12</v>
      </c>
      <c r="J1824">
        <v>12</v>
      </c>
      <c r="K1824" t="s">
        <v>60</v>
      </c>
      <c r="L1824" t="s">
        <v>13</v>
      </c>
      <c r="M1824" t="s">
        <v>29</v>
      </c>
      <c r="N1824" t="s">
        <v>30</v>
      </c>
    </row>
    <row r="1825" spans="1:14" x14ac:dyDescent="0.25">
      <c r="A1825">
        <v>13637</v>
      </c>
      <c r="B1825">
        <v>5974</v>
      </c>
      <c r="C1825">
        <f>1/COUNTIF(B:B,pizza_sales[[#This Row],[order_id]])</f>
        <v>0.5</v>
      </c>
      <c r="D1825" t="s">
        <v>48</v>
      </c>
      <c r="E1825">
        <v>1</v>
      </c>
      <c r="F1825" s="1">
        <v>42312</v>
      </c>
      <c r="G1825" s="1" t="str">
        <f>TEXT(pizza_sales[[#This Row],[order_date]],"dddd")</f>
        <v>Wednesday</v>
      </c>
      <c r="H1825" s="2">
        <v>0.51376157407407408</v>
      </c>
      <c r="I1825">
        <v>12.25</v>
      </c>
      <c r="J1825">
        <v>12.25</v>
      </c>
      <c r="K1825" t="s">
        <v>60</v>
      </c>
      <c r="L1825" t="s">
        <v>35</v>
      </c>
      <c r="M1825" t="s">
        <v>40</v>
      </c>
      <c r="N1825" t="s">
        <v>41</v>
      </c>
    </row>
    <row r="1826" spans="1:14" x14ac:dyDescent="0.25">
      <c r="A1826">
        <v>13641</v>
      </c>
      <c r="B1826">
        <v>5975</v>
      </c>
      <c r="C1826">
        <f>1/COUNTIF(B:B,pizza_sales[[#This Row],[order_id]])</f>
        <v>0.33333333333333331</v>
      </c>
      <c r="D1826" t="s">
        <v>34</v>
      </c>
      <c r="E1826">
        <v>1</v>
      </c>
      <c r="F1826" s="1">
        <v>42312</v>
      </c>
      <c r="G1826" s="1" t="str">
        <f>TEXT(pizza_sales[[#This Row],[order_date]],"dddd")</f>
        <v>Wednesday</v>
      </c>
      <c r="H1826" s="2">
        <v>0.54711805555555559</v>
      </c>
      <c r="I1826">
        <v>16.25</v>
      </c>
      <c r="J1826">
        <v>16.25</v>
      </c>
      <c r="K1826" t="s">
        <v>59</v>
      </c>
      <c r="L1826" t="s">
        <v>35</v>
      </c>
      <c r="M1826" t="s">
        <v>36</v>
      </c>
      <c r="N1826" t="s">
        <v>37</v>
      </c>
    </row>
    <row r="1827" spans="1:14" x14ac:dyDescent="0.25">
      <c r="A1827">
        <v>13642</v>
      </c>
      <c r="B1827">
        <v>5975</v>
      </c>
      <c r="C1827">
        <f>1/COUNTIF(B:B,pizza_sales[[#This Row],[order_id]])</f>
        <v>0.33333333333333331</v>
      </c>
      <c r="D1827" t="s">
        <v>12</v>
      </c>
      <c r="E1827">
        <v>1</v>
      </c>
      <c r="F1827" s="1">
        <v>42312</v>
      </c>
      <c r="G1827" s="1" t="str">
        <f>TEXT(pizza_sales[[#This Row],[order_date]],"dddd")</f>
        <v>Wednesday</v>
      </c>
      <c r="H1827" s="2">
        <v>0.54711805555555559</v>
      </c>
      <c r="I1827">
        <v>13.25</v>
      </c>
      <c r="J1827">
        <v>13.25</v>
      </c>
      <c r="K1827" t="s">
        <v>59</v>
      </c>
      <c r="L1827" t="s">
        <v>13</v>
      </c>
      <c r="M1827" t="s">
        <v>14</v>
      </c>
      <c r="N1827" t="s">
        <v>15</v>
      </c>
    </row>
    <row r="1828" spans="1:14" x14ac:dyDescent="0.25">
      <c r="A1828">
        <v>13643</v>
      </c>
      <c r="B1828">
        <v>5975</v>
      </c>
      <c r="C1828">
        <f>1/COUNTIF(B:B,pizza_sales[[#This Row],[order_id]])</f>
        <v>0.33333333333333331</v>
      </c>
      <c r="D1828" t="s">
        <v>43</v>
      </c>
      <c r="E1828">
        <v>1</v>
      </c>
      <c r="F1828" s="1">
        <v>42312</v>
      </c>
      <c r="G1828" s="1" t="str">
        <f>TEXT(pizza_sales[[#This Row],[order_date]],"dddd")</f>
        <v>Wednesday</v>
      </c>
      <c r="H1828" s="2">
        <v>0.54711805555555559</v>
      </c>
      <c r="I1828">
        <v>16.25</v>
      </c>
      <c r="J1828">
        <v>16.25</v>
      </c>
      <c r="K1828" t="s">
        <v>59</v>
      </c>
      <c r="L1828" t="s">
        <v>35</v>
      </c>
      <c r="M1828" t="s">
        <v>40</v>
      </c>
      <c r="N1828" t="s">
        <v>41</v>
      </c>
    </row>
    <row r="1829" spans="1:14" x14ac:dyDescent="0.25">
      <c r="A1829">
        <v>13645</v>
      </c>
      <c r="B1829">
        <v>5976</v>
      </c>
      <c r="C1829">
        <f>1/COUNTIF(B:B,pizza_sales[[#This Row],[order_id]])</f>
        <v>1</v>
      </c>
      <c r="D1829" t="s">
        <v>51</v>
      </c>
      <c r="E1829">
        <v>1</v>
      </c>
      <c r="F1829" s="1">
        <v>42312</v>
      </c>
      <c r="G1829" s="1" t="str">
        <f>TEXT(pizza_sales[[#This Row],[order_date]],"dddd")</f>
        <v>Wednesday</v>
      </c>
      <c r="H1829" s="2">
        <v>0.54771990740740739</v>
      </c>
      <c r="I1829">
        <v>23.65</v>
      </c>
      <c r="J1829">
        <v>23.65</v>
      </c>
      <c r="K1829" t="s">
        <v>60</v>
      </c>
      <c r="L1829" t="s">
        <v>35</v>
      </c>
      <c r="M1829" t="s">
        <v>52</v>
      </c>
      <c r="N1829" t="s">
        <v>53</v>
      </c>
    </row>
    <row r="1830" spans="1:14" x14ac:dyDescent="0.25">
      <c r="A1830">
        <v>13647</v>
      </c>
      <c r="B1830">
        <v>5978</v>
      </c>
      <c r="C1830">
        <f>1/COUNTIF(B:B,pizza_sales[[#This Row],[order_id]])</f>
        <v>1</v>
      </c>
      <c r="D1830" t="s">
        <v>34</v>
      </c>
      <c r="E1830">
        <v>1</v>
      </c>
      <c r="F1830" s="1">
        <v>42312</v>
      </c>
      <c r="G1830" s="1" t="str">
        <f>TEXT(pizza_sales[[#This Row],[order_date]],"dddd")</f>
        <v>Wednesday</v>
      </c>
      <c r="H1830" s="2">
        <v>0.56503472222222217</v>
      </c>
      <c r="I1830">
        <v>16.25</v>
      </c>
      <c r="J1830">
        <v>16.25</v>
      </c>
      <c r="K1830" t="s">
        <v>59</v>
      </c>
      <c r="L1830" t="s">
        <v>35</v>
      </c>
      <c r="M1830" t="s">
        <v>36</v>
      </c>
      <c r="N1830" t="s">
        <v>37</v>
      </c>
    </row>
    <row r="1831" spans="1:14" x14ac:dyDescent="0.25">
      <c r="A1831">
        <v>13651</v>
      </c>
      <c r="B1831">
        <v>5981</v>
      </c>
      <c r="C1831">
        <f>1/COUNTIF(B:B,pizza_sales[[#This Row],[order_id]])</f>
        <v>1</v>
      </c>
      <c r="D1831" t="s">
        <v>43</v>
      </c>
      <c r="E1831">
        <v>1</v>
      </c>
      <c r="F1831" s="1">
        <v>42312</v>
      </c>
      <c r="G1831" s="1" t="str">
        <f>TEXT(pizza_sales[[#This Row],[order_date]],"dddd")</f>
        <v>Wednesday</v>
      </c>
      <c r="H1831" s="2">
        <v>0.59061342592592592</v>
      </c>
      <c r="I1831">
        <v>16.25</v>
      </c>
      <c r="J1831">
        <v>16.25</v>
      </c>
      <c r="K1831" t="s">
        <v>59</v>
      </c>
      <c r="L1831" t="s">
        <v>35</v>
      </c>
      <c r="M1831" t="s">
        <v>40</v>
      </c>
      <c r="N1831" t="s">
        <v>41</v>
      </c>
    </row>
    <row r="1832" spans="1:14" x14ac:dyDescent="0.25">
      <c r="A1832">
        <v>13652</v>
      </c>
      <c r="B1832">
        <v>5982</v>
      </c>
      <c r="C1832">
        <f>1/COUNTIF(B:B,pizza_sales[[#This Row],[order_id]])</f>
        <v>1</v>
      </c>
      <c r="D1832" t="s">
        <v>56</v>
      </c>
      <c r="E1832">
        <v>1</v>
      </c>
      <c r="F1832" s="1">
        <v>42312</v>
      </c>
      <c r="G1832" s="1" t="str">
        <f>TEXT(pizza_sales[[#This Row],[order_date]],"dddd")</f>
        <v>Wednesday</v>
      </c>
      <c r="H1832" s="2">
        <v>0.59944444444444445</v>
      </c>
      <c r="I1832">
        <v>20.25</v>
      </c>
      <c r="J1832">
        <v>20.25</v>
      </c>
      <c r="K1832" t="s">
        <v>58</v>
      </c>
      <c r="L1832" t="s">
        <v>35</v>
      </c>
      <c r="M1832" t="s">
        <v>36</v>
      </c>
      <c r="N1832" t="s">
        <v>37</v>
      </c>
    </row>
    <row r="1833" spans="1:14" x14ac:dyDescent="0.25">
      <c r="A1833">
        <v>13654</v>
      </c>
      <c r="B1833">
        <v>5983</v>
      </c>
      <c r="C1833">
        <f>1/COUNTIF(B:B,pizza_sales[[#This Row],[order_id]])</f>
        <v>1</v>
      </c>
      <c r="D1833" t="s">
        <v>12</v>
      </c>
      <c r="E1833">
        <v>1</v>
      </c>
      <c r="F1833" s="1">
        <v>42312</v>
      </c>
      <c r="G1833" s="1" t="str">
        <f>TEXT(pizza_sales[[#This Row],[order_date]],"dddd")</f>
        <v>Wednesday</v>
      </c>
      <c r="H1833" s="2">
        <v>0.60401620370370368</v>
      </c>
      <c r="I1833">
        <v>13.25</v>
      </c>
      <c r="J1833">
        <v>13.25</v>
      </c>
      <c r="K1833" t="s">
        <v>59</v>
      </c>
      <c r="L1833" t="s">
        <v>13</v>
      </c>
      <c r="M1833" t="s">
        <v>14</v>
      </c>
      <c r="N1833" t="s">
        <v>15</v>
      </c>
    </row>
    <row r="1834" spans="1:14" x14ac:dyDescent="0.25">
      <c r="A1834">
        <v>13657</v>
      </c>
      <c r="B1834">
        <v>5985</v>
      </c>
      <c r="C1834">
        <f>1/COUNTIF(B:B,pizza_sales[[#This Row],[order_id]])</f>
        <v>1</v>
      </c>
      <c r="D1834" t="s">
        <v>46</v>
      </c>
      <c r="E1834">
        <v>1</v>
      </c>
      <c r="F1834" s="1">
        <v>42312</v>
      </c>
      <c r="G1834" s="1" t="str">
        <f>TEXT(pizza_sales[[#This Row],[order_date]],"dddd")</f>
        <v>Wednesday</v>
      </c>
      <c r="H1834" s="2">
        <v>0.62633101851851847</v>
      </c>
      <c r="I1834">
        <v>25.5</v>
      </c>
      <c r="J1834">
        <v>25.5</v>
      </c>
      <c r="K1834" t="s">
        <v>61</v>
      </c>
      <c r="L1834" t="s">
        <v>13</v>
      </c>
      <c r="M1834" t="s">
        <v>21</v>
      </c>
      <c r="N1834" t="s">
        <v>22</v>
      </c>
    </row>
    <row r="1835" spans="1:14" x14ac:dyDescent="0.25">
      <c r="A1835">
        <v>13663</v>
      </c>
      <c r="B1835">
        <v>5988</v>
      </c>
      <c r="C1835">
        <f>1/COUNTIF(B:B,pizza_sales[[#This Row],[order_id]])</f>
        <v>1</v>
      </c>
      <c r="D1835" t="s">
        <v>12</v>
      </c>
      <c r="E1835">
        <v>1</v>
      </c>
      <c r="F1835" s="1">
        <v>42312</v>
      </c>
      <c r="G1835" s="1" t="str">
        <f>TEXT(pizza_sales[[#This Row],[order_date]],"dddd")</f>
        <v>Wednesday</v>
      </c>
      <c r="H1835" s="2">
        <v>0.6514699074074074</v>
      </c>
      <c r="I1835">
        <v>13.25</v>
      </c>
      <c r="J1835">
        <v>13.25</v>
      </c>
      <c r="K1835" t="s">
        <v>59</v>
      </c>
      <c r="L1835" t="s">
        <v>13</v>
      </c>
      <c r="M1835" t="s">
        <v>14</v>
      </c>
      <c r="N1835" t="s">
        <v>15</v>
      </c>
    </row>
    <row r="1836" spans="1:14" x14ac:dyDescent="0.25">
      <c r="A1836">
        <v>13664</v>
      </c>
      <c r="B1836">
        <v>5989</v>
      </c>
      <c r="C1836">
        <f>1/COUNTIF(B:B,pizza_sales[[#This Row],[order_id]])</f>
        <v>1</v>
      </c>
      <c r="D1836" t="s">
        <v>16</v>
      </c>
      <c r="E1836">
        <v>1</v>
      </c>
      <c r="F1836" s="1">
        <v>42312</v>
      </c>
      <c r="G1836" s="1" t="str">
        <f>TEXT(pizza_sales[[#This Row],[order_date]],"dddd")</f>
        <v>Wednesday</v>
      </c>
      <c r="H1836" s="2">
        <v>0.6579976851851852</v>
      </c>
      <c r="I1836">
        <v>16</v>
      </c>
      <c r="J1836">
        <v>16</v>
      </c>
      <c r="K1836" t="s">
        <v>59</v>
      </c>
      <c r="L1836" t="s">
        <v>17</v>
      </c>
      <c r="M1836" t="s">
        <v>18</v>
      </c>
      <c r="N1836" t="s">
        <v>19</v>
      </c>
    </row>
    <row r="1837" spans="1:14" x14ac:dyDescent="0.25">
      <c r="A1837">
        <v>13667</v>
      </c>
      <c r="B1837">
        <v>5991</v>
      </c>
      <c r="C1837">
        <f>1/COUNTIF(B:B,pizza_sales[[#This Row],[order_id]])</f>
        <v>1</v>
      </c>
      <c r="D1837" t="s">
        <v>20</v>
      </c>
      <c r="E1837">
        <v>1</v>
      </c>
      <c r="F1837" s="1">
        <v>42312</v>
      </c>
      <c r="G1837" s="1" t="str">
        <f>TEXT(pizza_sales[[#This Row],[order_date]],"dddd")</f>
        <v>Wednesday</v>
      </c>
      <c r="H1837" s="2">
        <v>0.66381944444444441</v>
      </c>
      <c r="I1837">
        <v>12</v>
      </c>
      <c r="J1837">
        <v>12</v>
      </c>
      <c r="K1837" t="s">
        <v>60</v>
      </c>
      <c r="L1837" t="s">
        <v>13</v>
      </c>
      <c r="M1837" t="s">
        <v>21</v>
      </c>
      <c r="N1837" t="s">
        <v>22</v>
      </c>
    </row>
    <row r="1838" spans="1:14" x14ac:dyDescent="0.25">
      <c r="A1838">
        <v>13670</v>
      </c>
      <c r="B1838">
        <v>5992</v>
      </c>
      <c r="C1838">
        <f>1/COUNTIF(B:B,pizza_sales[[#This Row],[order_id]])</f>
        <v>1</v>
      </c>
      <c r="D1838" t="s">
        <v>24</v>
      </c>
      <c r="E1838">
        <v>1</v>
      </c>
      <c r="F1838" s="1">
        <v>42312</v>
      </c>
      <c r="G1838" s="1" t="str">
        <f>TEXT(pizza_sales[[#This Row],[order_date]],"dddd")</f>
        <v>Wednesday</v>
      </c>
      <c r="H1838" s="2">
        <v>0.66425925925925922</v>
      </c>
      <c r="I1838">
        <v>20.25</v>
      </c>
      <c r="J1838">
        <v>20.25</v>
      </c>
      <c r="K1838" t="s">
        <v>58</v>
      </c>
      <c r="L1838" t="s">
        <v>17</v>
      </c>
      <c r="M1838" t="s">
        <v>18</v>
      </c>
      <c r="N1838" t="s">
        <v>19</v>
      </c>
    </row>
    <row r="1839" spans="1:14" x14ac:dyDescent="0.25">
      <c r="A1839">
        <v>13672</v>
      </c>
      <c r="B1839">
        <v>5993</v>
      </c>
      <c r="C1839">
        <f>1/COUNTIF(B:B,pizza_sales[[#This Row],[order_id]])</f>
        <v>1</v>
      </c>
      <c r="D1839" t="s">
        <v>45</v>
      </c>
      <c r="E1839">
        <v>1</v>
      </c>
      <c r="F1839" s="1">
        <v>42312</v>
      </c>
      <c r="G1839" s="1" t="str">
        <f>TEXT(pizza_sales[[#This Row],[order_date]],"dddd")</f>
        <v>Wednesday</v>
      </c>
      <c r="H1839" s="2">
        <v>0.67446759259259259</v>
      </c>
      <c r="I1839">
        <v>10.5</v>
      </c>
      <c r="J1839">
        <v>10.5</v>
      </c>
      <c r="K1839" t="s">
        <v>60</v>
      </c>
      <c r="L1839" t="s">
        <v>13</v>
      </c>
      <c r="M1839" t="s">
        <v>14</v>
      </c>
      <c r="N1839" t="s">
        <v>15</v>
      </c>
    </row>
    <row r="1840" spans="1:14" x14ac:dyDescent="0.25">
      <c r="A1840">
        <v>13674</v>
      </c>
      <c r="B1840">
        <v>5994</v>
      </c>
      <c r="C1840">
        <f>1/COUNTIF(B:B,pizza_sales[[#This Row],[order_id]])</f>
        <v>0.5</v>
      </c>
      <c r="D1840" t="s">
        <v>24</v>
      </c>
      <c r="E1840">
        <v>1</v>
      </c>
      <c r="F1840" s="1">
        <v>42312</v>
      </c>
      <c r="G1840" s="1" t="str">
        <f>TEXT(pizza_sales[[#This Row],[order_date]],"dddd")</f>
        <v>Wednesday</v>
      </c>
      <c r="H1840" s="2">
        <v>0.67505787037037035</v>
      </c>
      <c r="I1840">
        <v>20.25</v>
      </c>
      <c r="J1840">
        <v>20.25</v>
      </c>
      <c r="K1840" t="s">
        <v>58</v>
      </c>
      <c r="L1840" t="s">
        <v>17</v>
      </c>
      <c r="M1840" t="s">
        <v>18</v>
      </c>
      <c r="N1840" t="s">
        <v>19</v>
      </c>
    </row>
    <row r="1841" spans="1:14" x14ac:dyDescent="0.25">
      <c r="A1841">
        <v>13675</v>
      </c>
      <c r="B1841">
        <v>5994</v>
      </c>
      <c r="C1841">
        <f>1/COUNTIF(B:B,pizza_sales[[#This Row],[order_id]])</f>
        <v>0.5</v>
      </c>
      <c r="D1841" t="s">
        <v>42</v>
      </c>
      <c r="E1841">
        <v>1</v>
      </c>
      <c r="F1841" s="1">
        <v>42312</v>
      </c>
      <c r="G1841" s="1" t="str">
        <f>TEXT(pizza_sales[[#This Row],[order_date]],"dddd")</f>
        <v>Wednesday</v>
      </c>
      <c r="H1841" s="2">
        <v>0.67505787037037035</v>
      </c>
      <c r="I1841">
        <v>12.5</v>
      </c>
      <c r="J1841">
        <v>12.5</v>
      </c>
      <c r="K1841" t="s">
        <v>59</v>
      </c>
      <c r="L1841" t="s">
        <v>13</v>
      </c>
      <c r="M1841" t="s">
        <v>26</v>
      </c>
      <c r="N1841" t="s">
        <v>27</v>
      </c>
    </row>
    <row r="1842" spans="1:14" x14ac:dyDescent="0.25">
      <c r="A1842">
        <v>13679</v>
      </c>
      <c r="B1842">
        <v>5995</v>
      </c>
      <c r="C1842">
        <f>1/COUNTIF(B:B,pizza_sales[[#This Row],[order_id]])</f>
        <v>1</v>
      </c>
      <c r="D1842" t="s">
        <v>46</v>
      </c>
      <c r="E1842">
        <v>1</v>
      </c>
      <c r="F1842" s="1">
        <v>42312</v>
      </c>
      <c r="G1842" s="1" t="str">
        <f>TEXT(pizza_sales[[#This Row],[order_date]],"dddd")</f>
        <v>Wednesday</v>
      </c>
      <c r="H1842" s="2">
        <v>0.67986111111111114</v>
      </c>
      <c r="I1842">
        <v>25.5</v>
      </c>
      <c r="J1842">
        <v>25.5</v>
      </c>
      <c r="K1842" t="s">
        <v>61</v>
      </c>
      <c r="L1842" t="s">
        <v>13</v>
      </c>
      <c r="M1842" t="s">
        <v>21</v>
      </c>
      <c r="N1842" t="s">
        <v>22</v>
      </c>
    </row>
    <row r="1843" spans="1:14" x14ac:dyDescent="0.25">
      <c r="A1843">
        <v>13680</v>
      </c>
      <c r="B1843">
        <v>5996</v>
      </c>
      <c r="C1843">
        <f>1/COUNTIF(B:B,pizza_sales[[#This Row],[order_id]])</f>
        <v>0.5</v>
      </c>
      <c r="D1843" t="s">
        <v>24</v>
      </c>
      <c r="E1843">
        <v>1</v>
      </c>
      <c r="F1843" s="1">
        <v>42312</v>
      </c>
      <c r="G1843" s="1" t="str">
        <f>TEXT(pizza_sales[[#This Row],[order_date]],"dddd")</f>
        <v>Wednesday</v>
      </c>
      <c r="H1843" s="2">
        <v>0.68403935185185183</v>
      </c>
      <c r="I1843">
        <v>20.25</v>
      </c>
      <c r="J1843">
        <v>20.25</v>
      </c>
      <c r="K1843" t="s">
        <v>58</v>
      </c>
      <c r="L1843" t="s">
        <v>17</v>
      </c>
      <c r="M1843" t="s">
        <v>18</v>
      </c>
      <c r="N1843" t="s">
        <v>19</v>
      </c>
    </row>
    <row r="1844" spans="1:14" x14ac:dyDescent="0.25">
      <c r="A1844">
        <v>13683</v>
      </c>
      <c r="B1844">
        <v>5996</v>
      </c>
      <c r="C1844">
        <f>1/COUNTIF(B:B,pizza_sales[[#This Row],[order_id]])</f>
        <v>0.5</v>
      </c>
      <c r="D1844" t="s">
        <v>46</v>
      </c>
      <c r="E1844">
        <v>1</v>
      </c>
      <c r="F1844" s="1">
        <v>42312</v>
      </c>
      <c r="G1844" s="1" t="str">
        <f>TEXT(pizza_sales[[#This Row],[order_date]],"dddd")</f>
        <v>Wednesday</v>
      </c>
      <c r="H1844" s="2">
        <v>0.68403935185185183</v>
      </c>
      <c r="I1844">
        <v>25.5</v>
      </c>
      <c r="J1844">
        <v>25.5</v>
      </c>
      <c r="K1844" t="s">
        <v>61</v>
      </c>
      <c r="L1844" t="s">
        <v>13</v>
      </c>
      <c r="M1844" t="s">
        <v>21</v>
      </c>
      <c r="N1844" t="s">
        <v>22</v>
      </c>
    </row>
    <row r="1845" spans="1:14" x14ac:dyDescent="0.25">
      <c r="A1845">
        <v>13684</v>
      </c>
      <c r="B1845">
        <v>5997</v>
      </c>
      <c r="C1845">
        <f>1/COUNTIF(B:B,pizza_sales[[#This Row],[order_id]])</f>
        <v>1</v>
      </c>
      <c r="D1845" t="s">
        <v>42</v>
      </c>
      <c r="E1845">
        <v>1</v>
      </c>
      <c r="F1845" s="1">
        <v>42312</v>
      </c>
      <c r="G1845" s="1" t="str">
        <f>TEXT(pizza_sales[[#This Row],[order_date]],"dddd")</f>
        <v>Wednesday</v>
      </c>
      <c r="H1845" s="2">
        <v>0.68724537037037037</v>
      </c>
      <c r="I1845">
        <v>12.5</v>
      </c>
      <c r="J1845">
        <v>12.5</v>
      </c>
      <c r="K1845" t="s">
        <v>59</v>
      </c>
      <c r="L1845" t="s">
        <v>13</v>
      </c>
      <c r="M1845" t="s">
        <v>26</v>
      </c>
      <c r="N1845" t="s">
        <v>27</v>
      </c>
    </row>
    <row r="1846" spans="1:14" x14ac:dyDescent="0.25">
      <c r="A1846">
        <v>13689</v>
      </c>
      <c r="B1846">
        <v>5998</v>
      </c>
      <c r="C1846">
        <f>1/COUNTIF(B:B,pizza_sales[[#This Row],[order_id]])</f>
        <v>0.5</v>
      </c>
      <c r="D1846" t="s">
        <v>24</v>
      </c>
      <c r="E1846">
        <v>1</v>
      </c>
      <c r="F1846" s="1">
        <v>42312</v>
      </c>
      <c r="G1846" s="1" t="str">
        <f>TEXT(pizza_sales[[#This Row],[order_date]],"dddd")</f>
        <v>Wednesday</v>
      </c>
      <c r="H1846" s="2">
        <v>0.6888657407407407</v>
      </c>
      <c r="I1846">
        <v>20.25</v>
      </c>
      <c r="J1846">
        <v>20.25</v>
      </c>
      <c r="K1846" t="s">
        <v>58</v>
      </c>
      <c r="L1846" t="s">
        <v>17</v>
      </c>
      <c r="M1846" t="s">
        <v>18</v>
      </c>
      <c r="N1846" t="s">
        <v>19</v>
      </c>
    </row>
    <row r="1847" spans="1:14" x14ac:dyDescent="0.25">
      <c r="A1847">
        <v>13690</v>
      </c>
      <c r="B1847">
        <v>5998</v>
      </c>
      <c r="C1847">
        <f>1/COUNTIF(B:B,pizza_sales[[#This Row],[order_id]])</f>
        <v>0.5</v>
      </c>
      <c r="D1847" t="s">
        <v>20</v>
      </c>
      <c r="E1847">
        <v>1</v>
      </c>
      <c r="F1847" s="1">
        <v>42312</v>
      </c>
      <c r="G1847" s="1" t="str">
        <f>TEXT(pizza_sales[[#This Row],[order_date]],"dddd")</f>
        <v>Wednesday</v>
      </c>
      <c r="H1847" s="2">
        <v>0.6888657407407407</v>
      </c>
      <c r="I1847">
        <v>12</v>
      </c>
      <c r="J1847">
        <v>12</v>
      </c>
      <c r="K1847" t="s">
        <v>60</v>
      </c>
      <c r="L1847" t="s">
        <v>13</v>
      </c>
      <c r="M1847" t="s">
        <v>21</v>
      </c>
      <c r="N1847" t="s">
        <v>22</v>
      </c>
    </row>
    <row r="1848" spans="1:14" x14ac:dyDescent="0.25">
      <c r="A1848">
        <v>13696</v>
      </c>
      <c r="B1848">
        <v>6000</v>
      </c>
      <c r="C1848">
        <f>1/COUNTIF(B:B,pizza_sales[[#This Row],[order_id]])</f>
        <v>0.5</v>
      </c>
      <c r="D1848" t="s">
        <v>47</v>
      </c>
      <c r="E1848">
        <v>1</v>
      </c>
      <c r="F1848" s="1">
        <v>42312</v>
      </c>
      <c r="G1848" s="1" t="str">
        <f>TEXT(pizza_sales[[#This Row],[order_date]],"dddd")</f>
        <v>Wednesday</v>
      </c>
      <c r="H1848" s="2">
        <v>0.71002314814814815</v>
      </c>
      <c r="I1848">
        <v>16.5</v>
      </c>
      <c r="J1848">
        <v>16.5</v>
      </c>
      <c r="K1848" t="s">
        <v>58</v>
      </c>
      <c r="L1848" t="s">
        <v>13</v>
      </c>
      <c r="M1848" t="s">
        <v>14</v>
      </c>
      <c r="N1848" t="s">
        <v>15</v>
      </c>
    </row>
    <row r="1849" spans="1:14" x14ac:dyDescent="0.25">
      <c r="A1849">
        <v>13697</v>
      </c>
      <c r="B1849">
        <v>6000</v>
      </c>
      <c r="C1849">
        <f>1/COUNTIF(B:B,pizza_sales[[#This Row],[order_id]])</f>
        <v>0.5</v>
      </c>
      <c r="D1849" t="s">
        <v>24</v>
      </c>
      <c r="E1849">
        <v>1</v>
      </c>
      <c r="F1849" s="1">
        <v>42312</v>
      </c>
      <c r="G1849" s="1" t="str">
        <f>TEXT(pizza_sales[[#This Row],[order_date]],"dddd")</f>
        <v>Wednesday</v>
      </c>
      <c r="H1849" s="2">
        <v>0.71002314814814815</v>
      </c>
      <c r="I1849">
        <v>20.25</v>
      </c>
      <c r="J1849">
        <v>20.25</v>
      </c>
      <c r="K1849" t="s">
        <v>58</v>
      </c>
      <c r="L1849" t="s">
        <v>17</v>
      </c>
      <c r="M1849" t="s">
        <v>18</v>
      </c>
      <c r="N1849" t="s">
        <v>19</v>
      </c>
    </row>
    <row r="1850" spans="1:14" x14ac:dyDescent="0.25">
      <c r="A1850">
        <v>13703</v>
      </c>
      <c r="B1850">
        <v>6003</v>
      </c>
      <c r="C1850">
        <f>1/COUNTIF(B:B,pizza_sales[[#This Row],[order_id]])</f>
        <v>1</v>
      </c>
      <c r="D1850" t="s">
        <v>28</v>
      </c>
      <c r="E1850">
        <v>1</v>
      </c>
      <c r="F1850" s="1">
        <v>42312</v>
      </c>
      <c r="G1850" s="1" t="str">
        <f>TEXT(pizza_sales[[#This Row],[order_date]],"dddd")</f>
        <v>Wednesday</v>
      </c>
      <c r="H1850" s="2">
        <v>0.72218749999999998</v>
      </c>
      <c r="I1850">
        <v>12</v>
      </c>
      <c r="J1850">
        <v>12</v>
      </c>
      <c r="K1850" t="s">
        <v>60</v>
      </c>
      <c r="L1850" t="s">
        <v>13</v>
      </c>
      <c r="M1850" t="s">
        <v>29</v>
      </c>
      <c r="N1850" t="s">
        <v>30</v>
      </c>
    </row>
    <row r="1851" spans="1:14" x14ac:dyDescent="0.25">
      <c r="A1851">
        <v>13705</v>
      </c>
      <c r="B1851">
        <v>6004</v>
      </c>
      <c r="C1851">
        <f>1/COUNTIF(B:B,pizza_sales[[#This Row],[order_id]])</f>
        <v>1</v>
      </c>
      <c r="D1851" t="s">
        <v>28</v>
      </c>
      <c r="E1851">
        <v>1</v>
      </c>
      <c r="F1851" s="1">
        <v>42312</v>
      </c>
      <c r="G1851" s="1" t="str">
        <f>TEXT(pizza_sales[[#This Row],[order_date]],"dddd")</f>
        <v>Wednesday</v>
      </c>
      <c r="H1851" s="2">
        <v>0.7443981481481482</v>
      </c>
      <c r="I1851">
        <v>12</v>
      </c>
      <c r="J1851">
        <v>12</v>
      </c>
      <c r="K1851" t="s">
        <v>60</v>
      </c>
      <c r="L1851" t="s">
        <v>13</v>
      </c>
      <c r="M1851" t="s">
        <v>29</v>
      </c>
      <c r="N1851" t="s">
        <v>30</v>
      </c>
    </row>
    <row r="1852" spans="1:14" x14ac:dyDescent="0.25">
      <c r="A1852">
        <v>13717</v>
      </c>
      <c r="B1852">
        <v>6013</v>
      </c>
      <c r="C1852">
        <f>1/COUNTIF(B:B,pizza_sales[[#This Row],[order_id]])</f>
        <v>1</v>
      </c>
      <c r="D1852" t="s">
        <v>45</v>
      </c>
      <c r="E1852">
        <v>1</v>
      </c>
      <c r="F1852" s="1">
        <v>42312</v>
      </c>
      <c r="G1852" s="1" t="str">
        <f>TEXT(pizza_sales[[#This Row],[order_date]],"dddd")</f>
        <v>Wednesday</v>
      </c>
      <c r="H1852" s="2">
        <v>0.79834490740740738</v>
      </c>
      <c r="I1852">
        <v>10.5</v>
      </c>
      <c r="J1852">
        <v>10.5</v>
      </c>
      <c r="K1852" t="s">
        <v>60</v>
      </c>
      <c r="L1852" t="s">
        <v>13</v>
      </c>
      <c r="M1852" t="s">
        <v>14</v>
      </c>
      <c r="N1852" t="s">
        <v>15</v>
      </c>
    </row>
    <row r="1853" spans="1:14" x14ac:dyDescent="0.25">
      <c r="A1853">
        <v>13722</v>
      </c>
      <c r="B1853">
        <v>6014</v>
      </c>
      <c r="C1853">
        <f>1/COUNTIF(B:B,pizza_sales[[#This Row],[order_id]])</f>
        <v>1</v>
      </c>
      <c r="D1853" t="s">
        <v>42</v>
      </c>
      <c r="E1853">
        <v>1</v>
      </c>
      <c r="F1853" s="1">
        <v>42312</v>
      </c>
      <c r="G1853" s="1" t="str">
        <f>TEXT(pizza_sales[[#This Row],[order_date]],"dddd")</f>
        <v>Wednesday</v>
      </c>
      <c r="H1853" s="2">
        <v>0.79967592592592596</v>
      </c>
      <c r="I1853">
        <v>12.5</v>
      </c>
      <c r="J1853">
        <v>12.5</v>
      </c>
      <c r="K1853" t="s">
        <v>59</v>
      </c>
      <c r="L1853" t="s">
        <v>13</v>
      </c>
      <c r="M1853" t="s">
        <v>26</v>
      </c>
      <c r="N1853" t="s">
        <v>27</v>
      </c>
    </row>
    <row r="1854" spans="1:14" x14ac:dyDescent="0.25">
      <c r="A1854">
        <v>13729</v>
      </c>
      <c r="B1854">
        <v>6017</v>
      </c>
      <c r="C1854">
        <f>1/COUNTIF(B:B,pizza_sales[[#This Row],[order_id]])</f>
        <v>0.5</v>
      </c>
      <c r="D1854" t="s">
        <v>47</v>
      </c>
      <c r="E1854">
        <v>1</v>
      </c>
      <c r="F1854" s="1">
        <v>42312</v>
      </c>
      <c r="G1854" s="1" t="str">
        <f>TEXT(pizza_sales[[#This Row],[order_date]],"dddd")</f>
        <v>Wednesday</v>
      </c>
      <c r="H1854" s="2">
        <v>0.82545138888888892</v>
      </c>
      <c r="I1854">
        <v>16.5</v>
      </c>
      <c r="J1854">
        <v>16.5</v>
      </c>
      <c r="K1854" t="s">
        <v>58</v>
      </c>
      <c r="L1854" t="s">
        <v>13</v>
      </c>
      <c r="M1854" t="s">
        <v>14</v>
      </c>
      <c r="N1854" t="s">
        <v>15</v>
      </c>
    </row>
    <row r="1855" spans="1:14" x14ac:dyDescent="0.25">
      <c r="A1855">
        <v>13731</v>
      </c>
      <c r="B1855">
        <v>6017</v>
      </c>
      <c r="C1855">
        <f>1/COUNTIF(B:B,pizza_sales[[#This Row],[order_id]])</f>
        <v>0.5</v>
      </c>
      <c r="D1855" t="s">
        <v>49</v>
      </c>
      <c r="E1855">
        <v>1</v>
      </c>
      <c r="F1855" s="1">
        <v>42312</v>
      </c>
      <c r="G1855" s="1" t="str">
        <f>TEXT(pizza_sales[[#This Row],[order_date]],"dddd")</f>
        <v>Wednesday</v>
      </c>
      <c r="H1855" s="2">
        <v>0.82545138888888892</v>
      </c>
      <c r="I1855">
        <v>16</v>
      </c>
      <c r="J1855">
        <v>16</v>
      </c>
      <c r="K1855" t="s">
        <v>59</v>
      </c>
      <c r="L1855" t="s">
        <v>13</v>
      </c>
      <c r="M1855" t="s">
        <v>21</v>
      </c>
      <c r="N1855" t="s">
        <v>22</v>
      </c>
    </row>
    <row r="1856" spans="1:14" x14ac:dyDescent="0.25">
      <c r="A1856">
        <v>13734</v>
      </c>
      <c r="B1856">
        <v>6018</v>
      </c>
      <c r="C1856">
        <f>1/COUNTIF(B:B,pizza_sales[[#This Row],[order_id]])</f>
        <v>1</v>
      </c>
      <c r="D1856" t="s">
        <v>25</v>
      </c>
      <c r="E1856">
        <v>1</v>
      </c>
      <c r="F1856" s="1">
        <v>42312</v>
      </c>
      <c r="G1856" s="1" t="str">
        <f>TEXT(pizza_sales[[#This Row],[order_date]],"dddd")</f>
        <v>Wednesday</v>
      </c>
      <c r="H1856" s="2">
        <v>0.84046296296296297</v>
      </c>
      <c r="I1856">
        <v>15.25</v>
      </c>
      <c r="J1856">
        <v>15.25</v>
      </c>
      <c r="K1856" t="s">
        <v>58</v>
      </c>
      <c r="L1856" t="s">
        <v>13</v>
      </c>
      <c r="M1856" t="s">
        <v>26</v>
      </c>
      <c r="N1856" t="s">
        <v>27</v>
      </c>
    </row>
    <row r="1857" spans="1:14" x14ac:dyDescent="0.25">
      <c r="A1857">
        <v>13736</v>
      </c>
      <c r="B1857">
        <v>6019</v>
      </c>
      <c r="C1857">
        <f>1/COUNTIF(B:B,pizza_sales[[#This Row],[order_id]])</f>
        <v>1</v>
      </c>
      <c r="D1857" t="s">
        <v>24</v>
      </c>
      <c r="E1857">
        <v>1</v>
      </c>
      <c r="F1857" s="1">
        <v>42312</v>
      </c>
      <c r="G1857" s="1" t="str">
        <f>TEXT(pizza_sales[[#This Row],[order_date]],"dddd")</f>
        <v>Wednesday</v>
      </c>
      <c r="H1857" s="2">
        <v>0.84094907407407404</v>
      </c>
      <c r="I1857">
        <v>20.25</v>
      </c>
      <c r="J1857">
        <v>20.25</v>
      </c>
      <c r="K1857" t="s">
        <v>58</v>
      </c>
      <c r="L1857" t="s">
        <v>17</v>
      </c>
      <c r="M1857" t="s">
        <v>18</v>
      </c>
      <c r="N1857" t="s">
        <v>19</v>
      </c>
    </row>
    <row r="1858" spans="1:14" x14ac:dyDescent="0.25">
      <c r="A1858">
        <v>13737</v>
      </c>
      <c r="B1858">
        <v>6020</v>
      </c>
      <c r="C1858">
        <f>1/COUNTIF(B:B,pizza_sales[[#This Row],[order_id]])</f>
        <v>0.5</v>
      </c>
      <c r="D1858" t="s">
        <v>45</v>
      </c>
      <c r="E1858">
        <v>1</v>
      </c>
      <c r="F1858" s="1">
        <v>42312</v>
      </c>
      <c r="G1858" s="1" t="str">
        <f>TEXT(pizza_sales[[#This Row],[order_date]],"dddd")</f>
        <v>Wednesday</v>
      </c>
      <c r="H1858" s="2">
        <v>0.84313657407407405</v>
      </c>
      <c r="I1858">
        <v>10.5</v>
      </c>
      <c r="J1858">
        <v>10.5</v>
      </c>
      <c r="K1858" t="s">
        <v>60</v>
      </c>
      <c r="L1858" t="s">
        <v>13</v>
      </c>
      <c r="M1858" t="s">
        <v>14</v>
      </c>
      <c r="N1858" t="s">
        <v>15</v>
      </c>
    </row>
    <row r="1859" spans="1:14" x14ac:dyDescent="0.25">
      <c r="A1859">
        <v>13738</v>
      </c>
      <c r="B1859">
        <v>6020</v>
      </c>
      <c r="C1859">
        <f>1/COUNTIF(B:B,pizza_sales[[#This Row],[order_id]])</f>
        <v>0.5</v>
      </c>
      <c r="D1859" t="s">
        <v>43</v>
      </c>
      <c r="E1859">
        <v>1</v>
      </c>
      <c r="F1859" s="1">
        <v>42312</v>
      </c>
      <c r="G1859" s="1" t="str">
        <f>TEXT(pizza_sales[[#This Row],[order_date]],"dddd")</f>
        <v>Wednesday</v>
      </c>
      <c r="H1859" s="2">
        <v>0.84313657407407405</v>
      </c>
      <c r="I1859">
        <v>16.25</v>
      </c>
      <c r="J1859">
        <v>16.25</v>
      </c>
      <c r="K1859" t="s">
        <v>59</v>
      </c>
      <c r="L1859" t="s">
        <v>35</v>
      </c>
      <c r="M1859" t="s">
        <v>40</v>
      </c>
      <c r="N1859" t="s">
        <v>41</v>
      </c>
    </row>
    <row r="1860" spans="1:14" x14ac:dyDescent="0.25">
      <c r="A1860">
        <v>13741</v>
      </c>
      <c r="B1860">
        <v>6021</v>
      </c>
      <c r="C1860">
        <f>1/COUNTIF(B:B,pizza_sales[[#This Row],[order_id]])</f>
        <v>1</v>
      </c>
      <c r="D1860" t="s">
        <v>49</v>
      </c>
      <c r="E1860">
        <v>1</v>
      </c>
      <c r="F1860" s="1">
        <v>42312</v>
      </c>
      <c r="G1860" s="1" t="str">
        <f>TEXT(pizza_sales[[#This Row],[order_date]],"dddd")</f>
        <v>Wednesday</v>
      </c>
      <c r="H1860" s="2">
        <v>0.84768518518518521</v>
      </c>
      <c r="I1860">
        <v>16</v>
      </c>
      <c r="J1860">
        <v>16</v>
      </c>
      <c r="K1860" t="s">
        <v>59</v>
      </c>
      <c r="L1860" t="s">
        <v>13</v>
      </c>
      <c r="M1860" t="s">
        <v>21</v>
      </c>
      <c r="N1860" t="s">
        <v>22</v>
      </c>
    </row>
    <row r="1861" spans="1:14" x14ac:dyDescent="0.25">
      <c r="A1861">
        <v>13743</v>
      </c>
      <c r="B1861">
        <v>6023</v>
      </c>
      <c r="C1861">
        <f>1/COUNTIF(B:B,pizza_sales[[#This Row],[order_id]])</f>
        <v>0.5</v>
      </c>
      <c r="D1861" t="s">
        <v>45</v>
      </c>
      <c r="E1861">
        <v>1</v>
      </c>
      <c r="F1861" s="1">
        <v>42312</v>
      </c>
      <c r="G1861" s="1" t="str">
        <f>TEXT(pizza_sales[[#This Row],[order_date]],"dddd")</f>
        <v>Wednesday</v>
      </c>
      <c r="H1861" s="2">
        <v>0.86732638888888891</v>
      </c>
      <c r="I1861">
        <v>10.5</v>
      </c>
      <c r="J1861">
        <v>10.5</v>
      </c>
      <c r="K1861" t="s">
        <v>60</v>
      </c>
      <c r="L1861" t="s">
        <v>13</v>
      </c>
      <c r="M1861" t="s">
        <v>14</v>
      </c>
      <c r="N1861" t="s">
        <v>15</v>
      </c>
    </row>
    <row r="1862" spans="1:14" x14ac:dyDescent="0.25">
      <c r="A1862">
        <v>13745</v>
      </c>
      <c r="B1862">
        <v>6023</v>
      </c>
      <c r="C1862">
        <f>1/COUNTIF(B:B,pizza_sales[[#This Row],[order_id]])</f>
        <v>0.5</v>
      </c>
      <c r="D1862" t="s">
        <v>16</v>
      </c>
      <c r="E1862">
        <v>1</v>
      </c>
      <c r="F1862" s="1">
        <v>42312</v>
      </c>
      <c r="G1862" s="1" t="str">
        <f>TEXT(pizza_sales[[#This Row],[order_date]],"dddd")</f>
        <v>Wednesday</v>
      </c>
      <c r="H1862" s="2">
        <v>0.86732638888888891</v>
      </c>
      <c r="I1862">
        <v>16</v>
      </c>
      <c r="J1862">
        <v>16</v>
      </c>
      <c r="K1862" t="s">
        <v>59</v>
      </c>
      <c r="L1862" t="s">
        <v>17</v>
      </c>
      <c r="M1862" t="s">
        <v>18</v>
      </c>
      <c r="N1862" t="s">
        <v>19</v>
      </c>
    </row>
    <row r="1863" spans="1:14" x14ac:dyDescent="0.25">
      <c r="A1863">
        <v>13749</v>
      </c>
      <c r="B1863">
        <v>6024</v>
      </c>
      <c r="C1863">
        <f>1/COUNTIF(B:B,pizza_sales[[#This Row],[order_id]])</f>
        <v>1</v>
      </c>
      <c r="D1863" t="s">
        <v>44</v>
      </c>
      <c r="E1863">
        <v>1</v>
      </c>
      <c r="F1863" s="1">
        <v>42312</v>
      </c>
      <c r="G1863" s="1" t="str">
        <f>TEXT(pizza_sales[[#This Row],[order_date]],"dddd")</f>
        <v>Wednesday</v>
      </c>
      <c r="H1863" s="2">
        <v>0.87011574074074072</v>
      </c>
      <c r="I1863">
        <v>9.75</v>
      </c>
      <c r="J1863">
        <v>9.75</v>
      </c>
      <c r="K1863" t="s">
        <v>60</v>
      </c>
      <c r="L1863" t="s">
        <v>13</v>
      </c>
      <c r="M1863" t="s">
        <v>26</v>
      </c>
      <c r="N1863" t="s">
        <v>27</v>
      </c>
    </row>
    <row r="1864" spans="1:14" x14ac:dyDescent="0.25">
      <c r="A1864">
        <v>13758</v>
      </c>
      <c r="B1864">
        <v>6028</v>
      </c>
      <c r="C1864">
        <f>1/COUNTIF(B:B,pizza_sales[[#This Row],[order_id]])</f>
        <v>1</v>
      </c>
      <c r="D1864" t="s">
        <v>45</v>
      </c>
      <c r="E1864">
        <v>1</v>
      </c>
      <c r="F1864" s="1">
        <v>42312</v>
      </c>
      <c r="G1864" s="1" t="str">
        <f>TEXT(pizza_sales[[#This Row],[order_date]],"dddd")</f>
        <v>Wednesday</v>
      </c>
      <c r="H1864" s="2">
        <v>0.90292824074074074</v>
      </c>
      <c r="I1864">
        <v>10.5</v>
      </c>
      <c r="J1864">
        <v>10.5</v>
      </c>
      <c r="K1864" t="s">
        <v>60</v>
      </c>
      <c r="L1864" t="s">
        <v>13</v>
      </c>
      <c r="M1864" t="s">
        <v>14</v>
      </c>
      <c r="N1864" t="s">
        <v>15</v>
      </c>
    </row>
    <row r="1865" spans="1:14" x14ac:dyDescent="0.25">
      <c r="A1865">
        <v>13762</v>
      </c>
      <c r="B1865">
        <v>6030</v>
      </c>
      <c r="C1865">
        <f>1/COUNTIF(B:B,pizza_sales[[#This Row],[order_id]])</f>
        <v>0.5</v>
      </c>
      <c r="D1865" t="s">
        <v>49</v>
      </c>
      <c r="E1865">
        <v>1</v>
      </c>
      <c r="F1865" s="1">
        <v>42312</v>
      </c>
      <c r="G1865" s="1" t="str">
        <f>TEXT(pizza_sales[[#This Row],[order_date]],"dddd")</f>
        <v>Wednesday</v>
      </c>
      <c r="H1865" s="2">
        <v>0.91311342592592593</v>
      </c>
      <c r="I1865">
        <v>16</v>
      </c>
      <c r="J1865">
        <v>16</v>
      </c>
      <c r="K1865" t="s">
        <v>59</v>
      </c>
      <c r="L1865" t="s">
        <v>13</v>
      </c>
      <c r="M1865" t="s">
        <v>21</v>
      </c>
      <c r="N1865" t="s">
        <v>22</v>
      </c>
    </row>
    <row r="1866" spans="1:14" x14ac:dyDescent="0.25">
      <c r="A1866">
        <v>13763</v>
      </c>
      <c r="B1866">
        <v>6030</v>
      </c>
      <c r="C1866">
        <f>1/COUNTIF(B:B,pizza_sales[[#This Row],[order_id]])</f>
        <v>0.5</v>
      </c>
      <c r="D1866" t="s">
        <v>46</v>
      </c>
      <c r="E1866">
        <v>1</v>
      </c>
      <c r="F1866" s="1">
        <v>42312</v>
      </c>
      <c r="G1866" s="1" t="str">
        <f>TEXT(pizza_sales[[#This Row],[order_date]],"dddd")</f>
        <v>Wednesday</v>
      </c>
      <c r="H1866" s="2">
        <v>0.91311342592592593</v>
      </c>
      <c r="I1866">
        <v>25.5</v>
      </c>
      <c r="J1866">
        <v>25.5</v>
      </c>
      <c r="K1866" t="s">
        <v>61</v>
      </c>
      <c r="L1866" t="s">
        <v>13</v>
      </c>
      <c r="M1866" t="s">
        <v>21</v>
      </c>
      <c r="N1866" t="s">
        <v>22</v>
      </c>
    </row>
    <row r="1867" spans="1:14" x14ac:dyDescent="0.25">
      <c r="A1867">
        <v>13764</v>
      </c>
      <c r="B1867">
        <v>6031</v>
      </c>
      <c r="C1867">
        <f>1/COUNTIF(B:B,pizza_sales[[#This Row],[order_id]])</f>
        <v>1</v>
      </c>
      <c r="D1867" t="s">
        <v>25</v>
      </c>
      <c r="E1867">
        <v>1</v>
      </c>
      <c r="F1867" s="1">
        <v>42312</v>
      </c>
      <c r="G1867" s="1" t="str">
        <f>TEXT(pizza_sales[[#This Row],[order_date]],"dddd")</f>
        <v>Wednesday</v>
      </c>
      <c r="H1867" s="2">
        <v>0.92215277777777782</v>
      </c>
      <c r="I1867">
        <v>15.25</v>
      </c>
      <c r="J1867">
        <v>15.25</v>
      </c>
      <c r="K1867" t="s">
        <v>58</v>
      </c>
      <c r="L1867" t="s">
        <v>13</v>
      </c>
      <c r="M1867" t="s">
        <v>26</v>
      </c>
      <c r="N1867" t="s">
        <v>27</v>
      </c>
    </row>
    <row r="1868" spans="1:14" x14ac:dyDescent="0.25">
      <c r="A1868">
        <v>13766</v>
      </c>
      <c r="B1868">
        <v>6032</v>
      </c>
      <c r="C1868">
        <f>1/COUNTIF(B:B,pizza_sales[[#This Row],[order_id]])</f>
        <v>1</v>
      </c>
      <c r="D1868" t="s">
        <v>50</v>
      </c>
      <c r="E1868">
        <v>1</v>
      </c>
      <c r="F1868" s="1">
        <v>42312</v>
      </c>
      <c r="G1868" s="1" t="str">
        <f>TEXT(pizza_sales[[#This Row],[order_date]],"dddd")</f>
        <v>Wednesday</v>
      </c>
      <c r="H1868" s="2">
        <v>0.94694444444444448</v>
      </c>
      <c r="I1868">
        <v>16</v>
      </c>
      <c r="J1868">
        <v>16</v>
      </c>
      <c r="K1868" t="s">
        <v>59</v>
      </c>
      <c r="L1868" t="s">
        <v>13</v>
      </c>
      <c r="M1868" t="s">
        <v>32</v>
      </c>
      <c r="N1868" t="s">
        <v>33</v>
      </c>
    </row>
    <row r="1869" spans="1:14" x14ac:dyDescent="0.25">
      <c r="A1869">
        <v>13769</v>
      </c>
      <c r="B1869">
        <v>6033</v>
      </c>
      <c r="C1869">
        <f>1/COUNTIF(B:B,pizza_sales[[#This Row],[order_id]])</f>
        <v>0.33333333333333331</v>
      </c>
      <c r="D1869" t="s">
        <v>34</v>
      </c>
      <c r="E1869">
        <v>1</v>
      </c>
      <c r="F1869" s="1">
        <v>42312</v>
      </c>
      <c r="G1869" s="1" t="str">
        <f>TEXT(pizza_sales[[#This Row],[order_date]],"dddd")</f>
        <v>Wednesday</v>
      </c>
      <c r="H1869" s="2">
        <v>0.94753472222222224</v>
      </c>
      <c r="I1869">
        <v>16.25</v>
      </c>
      <c r="J1869">
        <v>16.25</v>
      </c>
      <c r="K1869" t="s">
        <v>59</v>
      </c>
      <c r="L1869" t="s">
        <v>35</v>
      </c>
      <c r="M1869" t="s">
        <v>36</v>
      </c>
      <c r="N1869" t="s">
        <v>37</v>
      </c>
    </row>
    <row r="1870" spans="1:14" x14ac:dyDescent="0.25">
      <c r="A1870">
        <v>13771</v>
      </c>
      <c r="B1870">
        <v>6033</v>
      </c>
      <c r="C1870">
        <f>1/COUNTIF(B:B,pizza_sales[[#This Row],[order_id]])</f>
        <v>0.33333333333333331</v>
      </c>
      <c r="D1870" t="s">
        <v>25</v>
      </c>
      <c r="E1870">
        <v>1</v>
      </c>
      <c r="F1870" s="1">
        <v>42312</v>
      </c>
      <c r="G1870" s="1" t="str">
        <f>TEXT(pizza_sales[[#This Row],[order_date]],"dddd")</f>
        <v>Wednesday</v>
      </c>
      <c r="H1870" s="2">
        <v>0.94753472222222224</v>
      </c>
      <c r="I1870">
        <v>15.25</v>
      </c>
      <c r="J1870">
        <v>15.25</v>
      </c>
      <c r="K1870" t="s">
        <v>58</v>
      </c>
      <c r="L1870" t="s">
        <v>13</v>
      </c>
      <c r="M1870" t="s">
        <v>26</v>
      </c>
      <c r="N1870" t="s">
        <v>27</v>
      </c>
    </row>
    <row r="1871" spans="1:14" x14ac:dyDescent="0.25">
      <c r="A1871">
        <v>13772</v>
      </c>
      <c r="B1871">
        <v>6033</v>
      </c>
      <c r="C1871">
        <f>1/COUNTIF(B:B,pizza_sales[[#This Row],[order_id]])</f>
        <v>0.33333333333333331</v>
      </c>
      <c r="D1871" t="s">
        <v>48</v>
      </c>
      <c r="E1871">
        <v>1</v>
      </c>
      <c r="F1871" s="1">
        <v>42312</v>
      </c>
      <c r="G1871" s="1" t="str">
        <f>TEXT(pizza_sales[[#This Row],[order_date]],"dddd")</f>
        <v>Wednesday</v>
      </c>
      <c r="H1871" s="2">
        <v>0.94753472222222224</v>
      </c>
      <c r="I1871">
        <v>12.25</v>
      </c>
      <c r="J1871">
        <v>12.25</v>
      </c>
      <c r="K1871" t="s">
        <v>60</v>
      </c>
      <c r="L1871" t="s">
        <v>35</v>
      </c>
      <c r="M1871" t="s">
        <v>40</v>
      </c>
      <c r="N1871" t="s">
        <v>41</v>
      </c>
    </row>
    <row r="1872" spans="1:14" x14ac:dyDescent="0.25">
      <c r="A1872">
        <v>13777</v>
      </c>
      <c r="B1872">
        <v>6035</v>
      </c>
      <c r="C1872">
        <f>1/COUNTIF(B:B,pizza_sales[[#This Row],[order_id]])</f>
        <v>1</v>
      </c>
      <c r="D1872" t="s">
        <v>48</v>
      </c>
      <c r="E1872">
        <v>1</v>
      </c>
      <c r="F1872" s="1">
        <v>42342</v>
      </c>
      <c r="G1872" s="1" t="str">
        <f>TEXT(pizza_sales[[#This Row],[order_date]],"dddd")</f>
        <v>Friday</v>
      </c>
      <c r="H1872" s="2">
        <v>0.48328703703703701</v>
      </c>
      <c r="I1872">
        <v>12.25</v>
      </c>
      <c r="J1872">
        <v>12.25</v>
      </c>
      <c r="K1872" t="s">
        <v>60</v>
      </c>
      <c r="L1872" t="s">
        <v>35</v>
      </c>
      <c r="M1872" t="s">
        <v>40</v>
      </c>
      <c r="N1872" t="s">
        <v>41</v>
      </c>
    </row>
    <row r="1873" spans="1:14" x14ac:dyDescent="0.25">
      <c r="A1873">
        <v>13780</v>
      </c>
      <c r="B1873">
        <v>6038</v>
      </c>
      <c r="C1873">
        <f>1/COUNTIF(B:B,pizza_sales[[#This Row],[order_id]])</f>
        <v>1</v>
      </c>
      <c r="D1873" t="s">
        <v>57</v>
      </c>
      <c r="E1873">
        <v>1</v>
      </c>
      <c r="F1873" s="1">
        <v>42342</v>
      </c>
      <c r="G1873" s="1" t="str">
        <f>TEXT(pizza_sales[[#This Row],[order_date]],"dddd")</f>
        <v>Friday</v>
      </c>
      <c r="H1873" s="2">
        <v>0.49383101851851852</v>
      </c>
      <c r="I1873">
        <v>35.950000000000003</v>
      </c>
      <c r="J1873">
        <v>35.950000000000003</v>
      </c>
      <c r="K1873" t="s">
        <v>62</v>
      </c>
      <c r="L1873" t="s">
        <v>13</v>
      </c>
      <c r="M1873" t="s">
        <v>21</v>
      </c>
      <c r="N1873" t="s">
        <v>22</v>
      </c>
    </row>
    <row r="1874" spans="1:14" x14ac:dyDescent="0.25">
      <c r="A1874">
        <v>13781</v>
      </c>
      <c r="B1874">
        <v>6039</v>
      </c>
      <c r="C1874">
        <f>1/COUNTIF(B:B,pizza_sales[[#This Row],[order_id]])</f>
        <v>1</v>
      </c>
      <c r="D1874" t="s">
        <v>46</v>
      </c>
      <c r="E1874">
        <v>1</v>
      </c>
      <c r="F1874" s="1">
        <v>42342</v>
      </c>
      <c r="G1874" s="1" t="str">
        <f>TEXT(pizza_sales[[#This Row],[order_date]],"dddd")</f>
        <v>Friday</v>
      </c>
      <c r="H1874" s="2">
        <v>0.49928240740740742</v>
      </c>
      <c r="I1874">
        <v>25.5</v>
      </c>
      <c r="J1874">
        <v>25.5</v>
      </c>
      <c r="K1874" t="s">
        <v>61</v>
      </c>
      <c r="L1874" t="s">
        <v>13</v>
      </c>
      <c r="M1874" t="s">
        <v>21</v>
      </c>
      <c r="N1874" t="s">
        <v>22</v>
      </c>
    </row>
    <row r="1875" spans="1:14" x14ac:dyDescent="0.25">
      <c r="A1875">
        <v>13783</v>
      </c>
      <c r="B1875">
        <v>6040</v>
      </c>
      <c r="C1875">
        <f>1/COUNTIF(B:B,pizza_sales[[#This Row],[order_id]])</f>
        <v>1</v>
      </c>
      <c r="D1875" t="s">
        <v>45</v>
      </c>
      <c r="E1875">
        <v>1</v>
      </c>
      <c r="F1875" s="1">
        <v>42342</v>
      </c>
      <c r="G1875" s="1" t="str">
        <f>TEXT(pizza_sales[[#This Row],[order_date]],"dddd")</f>
        <v>Friday</v>
      </c>
      <c r="H1875" s="2">
        <v>0.50140046296296292</v>
      </c>
      <c r="I1875">
        <v>10.5</v>
      </c>
      <c r="J1875">
        <v>10.5</v>
      </c>
      <c r="K1875" t="s">
        <v>60</v>
      </c>
      <c r="L1875" t="s">
        <v>13</v>
      </c>
      <c r="M1875" t="s">
        <v>14</v>
      </c>
      <c r="N1875" t="s">
        <v>15</v>
      </c>
    </row>
    <row r="1876" spans="1:14" x14ac:dyDescent="0.25">
      <c r="A1876">
        <v>13790</v>
      </c>
      <c r="B1876">
        <v>6042</v>
      </c>
      <c r="C1876">
        <f>1/COUNTIF(B:B,pizza_sales[[#This Row],[order_id]])</f>
        <v>0.5</v>
      </c>
      <c r="D1876" t="s">
        <v>28</v>
      </c>
      <c r="E1876">
        <v>1</v>
      </c>
      <c r="F1876" s="1">
        <v>42342</v>
      </c>
      <c r="G1876" s="1" t="str">
        <f>TEXT(pizza_sales[[#This Row],[order_date]],"dddd")</f>
        <v>Friday</v>
      </c>
      <c r="H1876" s="2">
        <v>0.51049768518518523</v>
      </c>
      <c r="I1876">
        <v>12</v>
      </c>
      <c r="J1876">
        <v>12</v>
      </c>
      <c r="K1876" t="s">
        <v>60</v>
      </c>
      <c r="L1876" t="s">
        <v>13</v>
      </c>
      <c r="M1876" t="s">
        <v>29</v>
      </c>
      <c r="N1876" t="s">
        <v>30</v>
      </c>
    </row>
    <row r="1877" spans="1:14" x14ac:dyDescent="0.25">
      <c r="A1877">
        <v>13793</v>
      </c>
      <c r="B1877">
        <v>6042</v>
      </c>
      <c r="C1877">
        <f>1/COUNTIF(B:B,pizza_sales[[#This Row],[order_id]])</f>
        <v>0.5</v>
      </c>
      <c r="D1877" t="s">
        <v>16</v>
      </c>
      <c r="E1877">
        <v>1</v>
      </c>
      <c r="F1877" s="1">
        <v>42342</v>
      </c>
      <c r="G1877" s="1" t="str">
        <f>TEXT(pizza_sales[[#This Row],[order_date]],"dddd")</f>
        <v>Friday</v>
      </c>
      <c r="H1877" s="2">
        <v>0.51049768518518523</v>
      </c>
      <c r="I1877">
        <v>16</v>
      </c>
      <c r="J1877">
        <v>16</v>
      </c>
      <c r="K1877" t="s">
        <v>59</v>
      </c>
      <c r="L1877" t="s">
        <v>17</v>
      </c>
      <c r="M1877" t="s">
        <v>18</v>
      </c>
      <c r="N1877" t="s">
        <v>19</v>
      </c>
    </row>
    <row r="1878" spans="1:14" x14ac:dyDescent="0.25">
      <c r="A1878">
        <v>13803</v>
      </c>
      <c r="B1878">
        <v>6046</v>
      </c>
      <c r="C1878">
        <f>1/COUNTIF(B:B,pizza_sales[[#This Row],[order_id]])</f>
        <v>0.5</v>
      </c>
      <c r="D1878" t="s">
        <v>28</v>
      </c>
      <c r="E1878">
        <v>1</v>
      </c>
      <c r="F1878" s="1">
        <v>42342</v>
      </c>
      <c r="G1878" s="1" t="str">
        <f>TEXT(pizza_sales[[#This Row],[order_date]],"dddd")</f>
        <v>Friday</v>
      </c>
      <c r="H1878" s="2">
        <v>0.54702546296296295</v>
      </c>
      <c r="I1878">
        <v>12</v>
      </c>
      <c r="J1878">
        <v>12</v>
      </c>
      <c r="K1878" t="s">
        <v>60</v>
      </c>
      <c r="L1878" t="s">
        <v>13</v>
      </c>
      <c r="M1878" t="s">
        <v>29</v>
      </c>
      <c r="N1878" t="s">
        <v>30</v>
      </c>
    </row>
    <row r="1879" spans="1:14" x14ac:dyDescent="0.25">
      <c r="A1879">
        <v>13804</v>
      </c>
      <c r="B1879">
        <v>6046</v>
      </c>
      <c r="C1879">
        <f>1/COUNTIF(B:B,pizza_sales[[#This Row],[order_id]])</f>
        <v>0.5</v>
      </c>
      <c r="D1879" t="s">
        <v>34</v>
      </c>
      <c r="E1879">
        <v>1</v>
      </c>
      <c r="F1879" s="1">
        <v>42342</v>
      </c>
      <c r="G1879" s="1" t="str">
        <f>TEXT(pizza_sales[[#This Row],[order_date]],"dddd")</f>
        <v>Friday</v>
      </c>
      <c r="H1879" s="2">
        <v>0.54702546296296295</v>
      </c>
      <c r="I1879">
        <v>16.25</v>
      </c>
      <c r="J1879">
        <v>16.25</v>
      </c>
      <c r="K1879" t="s">
        <v>59</v>
      </c>
      <c r="L1879" t="s">
        <v>35</v>
      </c>
      <c r="M1879" t="s">
        <v>36</v>
      </c>
      <c r="N1879" t="s">
        <v>37</v>
      </c>
    </row>
    <row r="1880" spans="1:14" x14ac:dyDescent="0.25">
      <c r="A1880">
        <v>13813</v>
      </c>
      <c r="B1880">
        <v>6051</v>
      </c>
      <c r="C1880">
        <f>1/COUNTIF(B:B,pizza_sales[[#This Row],[order_id]])</f>
        <v>0.5</v>
      </c>
      <c r="D1880" t="s">
        <v>28</v>
      </c>
      <c r="E1880">
        <v>1</v>
      </c>
      <c r="F1880" s="1">
        <v>42342</v>
      </c>
      <c r="G1880" s="1" t="str">
        <f>TEXT(pizza_sales[[#This Row],[order_date]],"dddd")</f>
        <v>Friday</v>
      </c>
      <c r="H1880" s="2">
        <v>0.61401620370370369</v>
      </c>
      <c r="I1880">
        <v>12</v>
      </c>
      <c r="J1880">
        <v>12</v>
      </c>
      <c r="K1880" t="s">
        <v>60</v>
      </c>
      <c r="L1880" t="s">
        <v>13</v>
      </c>
      <c r="M1880" t="s">
        <v>29</v>
      </c>
      <c r="N1880" t="s">
        <v>30</v>
      </c>
    </row>
    <row r="1881" spans="1:14" x14ac:dyDescent="0.25">
      <c r="A1881">
        <v>13815</v>
      </c>
      <c r="B1881">
        <v>6051</v>
      </c>
      <c r="C1881">
        <f>1/COUNTIF(B:B,pizza_sales[[#This Row],[order_id]])</f>
        <v>0.5</v>
      </c>
      <c r="D1881" t="s">
        <v>50</v>
      </c>
      <c r="E1881">
        <v>1</v>
      </c>
      <c r="F1881" s="1">
        <v>42342</v>
      </c>
      <c r="G1881" s="1" t="str">
        <f>TEXT(pizza_sales[[#This Row],[order_date]],"dddd")</f>
        <v>Friday</v>
      </c>
      <c r="H1881" s="2">
        <v>0.61401620370370369</v>
      </c>
      <c r="I1881">
        <v>16</v>
      </c>
      <c r="J1881">
        <v>16</v>
      </c>
      <c r="K1881" t="s">
        <v>59</v>
      </c>
      <c r="L1881" t="s">
        <v>13</v>
      </c>
      <c r="M1881" t="s">
        <v>32</v>
      </c>
      <c r="N1881" t="s">
        <v>33</v>
      </c>
    </row>
    <row r="1882" spans="1:14" x14ac:dyDescent="0.25">
      <c r="A1882">
        <v>13820</v>
      </c>
      <c r="B1882">
        <v>6052</v>
      </c>
      <c r="C1882">
        <f>1/COUNTIF(B:B,pizza_sales[[#This Row],[order_id]])</f>
        <v>1</v>
      </c>
      <c r="D1882" t="s">
        <v>44</v>
      </c>
      <c r="E1882">
        <v>1</v>
      </c>
      <c r="F1882" s="1">
        <v>42342</v>
      </c>
      <c r="G1882" s="1" t="str">
        <f>TEXT(pizza_sales[[#This Row],[order_date]],"dddd")</f>
        <v>Friday</v>
      </c>
      <c r="H1882" s="2">
        <v>0.61674768518518519</v>
      </c>
      <c r="I1882">
        <v>9.75</v>
      </c>
      <c r="J1882">
        <v>9.75</v>
      </c>
      <c r="K1882" t="s">
        <v>60</v>
      </c>
      <c r="L1882" t="s">
        <v>13</v>
      </c>
      <c r="M1882" t="s">
        <v>26</v>
      </c>
      <c r="N1882" t="s">
        <v>27</v>
      </c>
    </row>
    <row r="1883" spans="1:14" x14ac:dyDescent="0.25">
      <c r="A1883">
        <v>13822</v>
      </c>
      <c r="B1883">
        <v>6054</v>
      </c>
      <c r="C1883">
        <f>1/COUNTIF(B:B,pizza_sales[[#This Row],[order_id]])</f>
        <v>1</v>
      </c>
      <c r="D1883" t="s">
        <v>47</v>
      </c>
      <c r="E1883">
        <v>1</v>
      </c>
      <c r="F1883" s="1">
        <v>42342</v>
      </c>
      <c r="G1883" s="1" t="str">
        <f>TEXT(pizza_sales[[#This Row],[order_date]],"dddd")</f>
        <v>Friday</v>
      </c>
      <c r="H1883" s="2">
        <v>0.63245370370370368</v>
      </c>
      <c r="I1883">
        <v>16.5</v>
      </c>
      <c r="J1883">
        <v>16.5</v>
      </c>
      <c r="K1883" t="s">
        <v>58</v>
      </c>
      <c r="L1883" t="s">
        <v>13</v>
      </c>
      <c r="M1883" t="s">
        <v>14</v>
      </c>
      <c r="N1883" t="s">
        <v>15</v>
      </c>
    </row>
    <row r="1884" spans="1:14" x14ac:dyDescent="0.25">
      <c r="A1884">
        <v>13824</v>
      </c>
      <c r="B1884">
        <v>6056</v>
      </c>
      <c r="C1884">
        <f>1/COUNTIF(B:B,pizza_sales[[#This Row],[order_id]])</f>
        <v>1</v>
      </c>
      <c r="D1884" t="s">
        <v>34</v>
      </c>
      <c r="E1884">
        <v>1</v>
      </c>
      <c r="F1884" s="1">
        <v>42342</v>
      </c>
      <c r="G1884" s="1" t="str">
        <f>TEXT(pizza_sales[[#This Row],[order_date]],"dddd")</f>
        <v>Friday</v>
      </c>
      <c r="H1884" s="2">
        <v>0.66342592592592597</v>
      </c>
      <c r="I1884">
        <v>16.25</v>
      </c>
      <c r="J1884">
        <v>16.25</v>
      </c>
      <c r="K1884" t="s">
        <v>59</v>
      </c>
      <c r="L1884" t="s">
        <v>35</v>
      </c>
      <c r="M1884" t="s">
        <v>36</v>
      </c>
      <c r="N1884" t="s">
        <v>37</v>
      </c>
    </row>
    <row r="1885" spans="1:14" x14ac:dyDescent="0.25">
      <c r="A1885">
        <v>13835</v>
      </c>
      <c r="B1885">
        <v>6061</v>
      </c>
      <c r="C1885">
        <f>1/COUNTIF(B:B,pizza_sales[[#This Row],[order_id]])</f>
        <v>1</v>
      </c>
      <c r="D1885" t="s">
        <v>16</v>
      </c>
      <c r="E1885">
        <v>1</v>
      </c>
      <c r="F1885" s="1">
        <v>42342</v>
      </c>
      <c r="G1885" s="1" t="str">
        <f>TEXT(pizza_sales[[#This Row],[order_date]],"dddd")</f>
        <v>Friday</v>
      </c>
      <c r="H1885" s="2">
        <v>0.70978009259259256</v>
      </c>
      <c r="I1885">
        <v>16</v>
      </c>
      <c r="J1885">
        <v>16</v>
      </c>
      <c r="K1885" t="s">
        <v>59</v>
      </c>
      <c r="L1885" t="s">
        <v>17</v>
      </c>
      <c r="M1885" t="s">
        <v>18</v>
      </c>
      <c r="N1885" t="s">
        <v>19</v>
      </c>
    </row>
    <row r="1886" spans="1:14" x14ac:dyDescent="0.25">
      <c r="A1886">
        <v>13838</v>
      </c>
      <c r="B1886">
        <v>6062</v>
      </c>
      <c r="C1886">
        <f>1/COUNTIF(B:B,pizza_sales[[#This Row],[order_id]])</f>
        <v>0.5</v>
      </c>
      <c r="D1886" t="s">
        <v>45</v>
      </c>
      <c r="E1886">
        <v>1</v>
      </c>
      <c r="F1886" s="1">
        <v>42342</v>
      </c>
      <c r="G1886" s="1" t="str">
        <f>TEXT(pizza_sales[[#This Row],[order_date]],"dddd")</f>
        <v>Friday</v>
      </c>
      <c r="H1886" s="2">
        <v>0.71899305555555559</v>
      </c>
      <c r="I1886">
        <v>10.5</v>
      </c>
      <c r="J1886">
        <v>10.5</v>
      </c>
      <c r="K1886" t="s">
        <v>60</v>
      </c>
      <c r="L1886" t="s">
        <v>13</v>
      </c>
      <c r="M1886" t="s">
        <v>14</v>
      </c>
      <c r="N1886" t="s">
        <v>15</v>
      </c>
    </row>
    <row r="1887" spans="1:14" x14ac:dyDescent="0.25">
      <c r="A1887">
        <v>13839</v>
      </c>
      <c r="B1887">
        <v>6062</v>
      </c>
      <c r="C1887">
        <f>1/COUNTIF(B:B,pizza_sales[[#This Row],[order_id]])</f>
        <v>0.5</v>
      </c>
      <c r="D1887" t="s">
        <v>42</v>
      </c>
      <c r="E1887">
        <v>1</v>
      </c>
      <c r="F1887" s="1">
        <v>42342</v>
      </c>
      <c r="G1887" s="1" t="str">
        <f>TEXT(pizza_sales[[#This Row],[order_date]],"dddd")</f>
        <v>Friday</v>
      </c>
      <c r="H1887" s="2">
        <v>0.71899305555555559</v>
      </c>
      <c r="I1887">
        <v>12.5</v>
      </c>
      <c r="J1887">
        <v>12.5</v>
      </c>
      <c r="K1887" t="s">
        <v>59</v>
      </c>
      <c r="L1887" t="s">
        <v>13</v>
      </c>
      <c r="M1887" t="s">
        <v>26</v>
      </c>
      <c r="N1887" t="s">
        <v>27</v>
      </c>
    </row>
    <row r="1888" spans="1:14" x14ac:dyDescent="0.25">
      <c r="A1888">
        <v>13843</v>
      </c>
      <c r="B1888">
        <v>6063</v>
      </c>
      <c r="C1888">
        <f>1/COUNTIF(B:B,pizza_sales[[#This Row],[order_id]])</f>
        <v>1</v>
      </c>
      <c r="D1888" t="s">
        <v>12</v>
      </c>
      <c r="E1888">
        <v>1</v>
      </c>
      <c r="F1888" s="1">
        <v>42342</v>
      </c>
      <c r="G1888" s="1" t="str">
        <f>TEXT(pizza_sales[[#This Row],[order_date]],"dddd")</f>
        <v>Friday</v>
      </c>
      <c r="H1888" s="2">
        <v>0.72326388888888893</v>
      </c>
      <c r="I1888">
        <v>13.25</v>
      </c>
      <c r="J1888">
        <v>13.25</v>
      </c>
      <c r="K1888" t="s">
        <v>59</v>
      </c>
      <c r="L1888" t="s">
        <v>13</v>
      </c>
      <c r="M1888" t="s">
        <v>14</v>
      </c>
      <c r="N1888" t="s">
        <v>15</v>
      </c>
    </row>
    <row r="1889" spans="1:14" x14ac:dyDescent="0.25">
      <c r="A1889">
        <v>13845</v>
      </c>
      <c r="B1889">
        <v>6064</v>
      </c>
      <c r="C1889">
        <f>1/COUNTIF(B:B,pizza_sales[[#This Row],[order_id]])</f>
        <v>1</v>
      </c>
      <c r="D1889" t="s">
        <v>47</v>
      </c>
      <c r="E1889">
        <v>1</v>
      </c>
      <c r="F1889" s="1">
        <v>42342</v>
      </c>
      <c r="G1889" s="1" t="str">
        <f>TEXT(pizza_sales[[#This Row],[order_date]],"dddd")</f>
        <v>Friday</v>
      </c>
      <c r="H1889" s="2">
        <v>0.73269675925925926</v>
      </c>
      <c r="I1889">
        <v>16.5</v>
      </c>
      <c r="J1889">
        <v>16.5</v>
      </c>
      <c r="K1889" t="s">
        <v>58</v>
      </c>
      <c r="L1889" t="s">
        <v>13</v>
      </c>
      <c r="M1889" t="s">
        <v>14</v>
      </c>
      <c r="N1889" t="s">
        <v>15</v>
      </c>
    </row>
    <row r="1890" spans="1:14" x14ac:dyDescent="0.25">
      <c r="A1890">
        <v>13854</v>
      </c>
      <c r="B1890">
        <v>6068</v>
      </c>
      <c r="C1890">
        <f>1/COUNTIF(B:B,pizza_sales[[#This Row],[order_id]])</f>
        <v>0.5</v>
      </c>
      <c r="D1890" t="s">
        <v>47</v>
      </c>
      <c r="E1890">
        <v>1</v>
      </c>
      <c r="F1890" s="1">
        <v>42342</v>
      </c>
      <c r="G1890" s="1" t="str">
        <f>TEXT(pizza_sales[[#This Row],[order_date]],"dddd")</f>
        <v>Friday</v>
      </c>
      <c r="H1890" s="2">
        <v>0.7468055555555555</v>
      </c>
      <c r="I1890">
        <v>16.5</v>
      </c>
      <c r="J1890">
        <v>16.5</v>
      </c>
      <c r="K1890" t="s">
        <v>58</v>
      </c>
      <c r="L1890" t="s">
        <v>13</v>
      </c>
      <c r="M1890" t="s">
        <v>14</v>
      </c>
      <c r="N1890" t="s">
        <v>15</v>
      </c>
    </row>
    <row r="1891" spans="1:14" x14ac:dyDescent="0.25">
      <c r="A1891">
        <v>13855</v>
      </c>
      <c r="B1891">
        <v>6068</v>
      </c>
      <c r="C1891">
        <f>1/COUNTIF(B:B,pizza_sales[[#This Row],[order_id]])</f>
        <v>0.5</v>
      </c>
      <c r="D1891" t="s">
        <v>42</v>
      </c>
      <c r="E1891">
        <v>1</v>
      </c>
      <c r="F1891" s="1">
        <v>42342</v>
      </c>
      <c r="G1891" s="1" t="str">
        <f>TEXT(pizza_sales[[#This Row],[order_date]],"dddd")</f>
        <v>Friday</v>
      </c>
      <c r="H1891" s="2">
        <v>0.7468055555555555</v>
      </c>
      <c r="I1891">
        <v>12.5</v>
      </c>
      <c r="J1891">
        <v>12.5</v>
      </c>
      <c r="K1891" t="s">
        <v>59</v>
      </c>
      <c r="L1891" t="s">
        <v>13</v>
      </c>
      <c r="M1891" t="s">
        <v>26</v>
      </c>
      <c r="N1891" t="s">
        <v>27</v>
      </c>
    </row>
    <row r="1892" spans="1:14" x14ac:dyDescent="0.25">
      <c r="A1892">
        <v>13861</v>
      </c>
      <c r="B1892">
        <v>6072</v>
      </c>
      <c r="C1892">
        <f>1/COUNTIF(B:B,pizza_sales[[#This Row],[order_id]])</f>
        <v>1</v>
      </c>
      <c r="D1892" t="s">
        <v>44</v>
      </c>
      <c r="E1892">
        <v>2</v>
      </c>
      <c r="F1892" s="1">
        <v>42342</v>
      </c>
      <c r="G1892" s="1" t="str">
        <f>TEXT(pizza_sales[[#This Row],[order_date]],"dddd")</f>
        <v>Friday</v>
      </c>
      <c r="H1892" s="2">
        <v>0.78045138888888888</v>
      </c>
      <c r="I1892">
        <v>9.75</v>
      </c>
      <c r="J1892">
        <v>19.5</v>
      </c>
      <c r="K1892" t="s">
        <v>60</v>
      </c>
      <c r="L1892" t="s">
        <v>13</v>
      </c>
      <c r="M1892" t="s">
        <v>26</v>
      </c>
      <c r="N1892" t="s">
        <v>27</v>
      </c>
    </row>
    <row r="1893" spans="1:14" x14ac:dyDescent="0.25">
      <c r="A1893">
        <v>13870</v>
      </c>
      <c r="B1893">
        <v>6076</v>
      </c>
      <c r="C1893">
        <f>1/COUNTIF(B:B,pizza_sales[[#This Row],[order_id]])</f>
        <v>1</v>
      </c>
      <c r="D1893" t="s">
        <v>16</v>
      </c>
      <c r="E1893">
        <v>1</v>
      </c>
      <c r="F1893" s="1">
        <v>42342</v>
      </c>
      <c r="G1893" s="1" t="str">
        <f>TEXT(pizza_sales[[#This Row],[order_date]],"dddd")</f>
        <v>Friday</v>
      </c>
      <c r="H1893" s="2">
        <v>0.81221064814814814</v>
      </c>
      <c r="I1893">
        <v>16</v>
      </c>
      <c r="J1893">
        <v>16</v>
      </c>
      <c r="K1893" t="s">
        <v>59</v>
      </c>
      <c r="L1893" t="s">
        <v>17</v>
      </c>
      <c r="M1893" t="s">
        <v>18</v>
      </c>
      <c r="N1893" t="s">
        <v>19</v>
      </c>
    </row>
    <row r="1894" spans="1:14" x14ac:dyDescent="0.25">
      <c r="A1894">
        <v>13871</v>
      </c>
      <c r="B1894">
        <v>6077</v>
      </c>
      <c r="C1894">
        <f>1/COUNTIF(B:B,pizza_sales[[#This Row],[order_id]])</f>
        <v>1</v>
      </c>
      <c r="D1894" t="s">
        <v>16</v>
      </c>
      <c r="E1894">
        <v>1</v>
      </c>
      <c r="F1894" s="1">
        <v>42342</v>
      </c>
      <c r="G1894" s="1" t="str">
        <f>TEXT(pizza_sales[[#This Row],[order_date]],"dddd")</f>
        <v>Friday</v>
      </c>
      <c r="H1894" s="2">
        <v>0.82012731481481482</v>
      </c>
      <c r="I1894">
        <v>16</v>
      </c>
      <c r="J1894">
        <v>16</v>
      </c>
      <c r="K1894" t="s">
        <v>59</v>
      </c>
      <c r="L1894" t="s">
        <v>17</v>
      </c>
      <c r="M1894" t="s">
        <v>18</v>
      </c>
      <c r="N1894" t="s">
        <v>19</v>
      </c>
    </row>
    <row r="1895" spans="1:14" x14ac:dyDescent="0.25">
      <c r="A1895">
        <v>13874</v>
      </c>
      <c r="B1895">
        <v>6078</v>
      </c>
      <c r="C1895">
        <f>1/COUNTIF(B:B,pizza_sales[[#This Row],[order_id]])</f>
        <v>1</v>
      </c>
      <c r="D1895" t="s">
        <v>25</v>
      </c>
      <c r="E1895">
        <v>1</v>
      </c>
      <c r="F1895" s="1">
        <v>42342</v>
      </c>
      <c r="G1895" s="1" t="str">
        <f>TEXT(pizza_sales[[#This Row],[order_date]],"dddd")</f>
        <v>Friday</v>
      </c>
      <c r="H1895" s="2">
        <v>0.82771990740740742</v>
      </c>
      <c r="I1895">
        <v>15.25</v>
      </c>
      <c r="J1895">
        <v>15.25</v>
      </c>
      <c r="K1895" t="s">
        <v>58</v>
      </c>
      <c r="L1895" t="s">
        <v>13</v>
      </c>
      <c r="M1895" t="s">
        <v>26</v>
      </c>
      <c r="N1895" t="s">
        <v>27</v>
      </c>
    </row>
    <row r="1896" spans="1:14" x14ac:dyDescent="0.25">
      <c r="A1896">
        <v>13887</v>
      </c>
      <c r="B1896">
        <v>6085</v>
      </c>
      <c r="C1896">
        <f>1/COUNTIF(B:B,pizza_sales[[#This Row],[order_id]])</f>
        <v>1</v>
      </c>
      <c r="D1896" t="s">
        <v>55</v>
      </c>
      <c r="E1896">
        <v>1</v>
      </c>
      <c r="F1896" s="1">
        <v>42342</v>
      </c>
      <c r="G1896" s="1" t="str">
        <f>TEXT(pizza_sales[[#This Row],[order_date]],"dddd")</f>
        <v>Friday</v>
      </c>
      <c r="H1896" s="2">
        <v>0.92701388888888892</v>
      </c>
      <c r="I1896">
        <v>20.5</v>
      </c>
      <c r="J1896">
        <v>20.5</v>
      </c>
      <c r="K1896" t="s">
        <v>58</v>
      </c>
      <c r="L1896" t="s">
        <v>13</v>
      </c>
      <c r="M1896" t="s">
        <v>21</v>
      </c>
      <c r="N1896" t="s">
        <v>22</v>
      </c>
    </row>
    <row r="1897" spans="1:14" x14ac:dyDescent="0.25">
      <c r="A1897">
        <v>16305</v>
      </c>
      <c r="B1897">
        <v>7173</v>
      </c>
      <c r="C1897">
        <f>1/COUNTIF(B:B,pizza_sales[[#This Row],[order_id]])</f>
        <v>1</v>
      </c>
      <c r="D1897" t="s">
        <v>24</v>
      </c>
      <c r="E1897">
        <v>1</v>
      </c>
      <c r="F1897" s="1">
        <v>42009</v>
      </c>
      <c r="G1897" s="1" t="str">
        <f>TEXT(pizza_sales[[#This Row],[order_date]],"dddd")</f>
        <v>Monday</v>
      </c>
      <c r="H1897" s="2">
        <v>0.4886226851851852</v>
      </c>
      <c r="I1897">
        <v>20.25</v>
      </c>
      <c r="J1897">
        <v>20.25</v>
      </c>
      <c r="K1897" t="s">
        <v>58</v>
      </c>
      <c r="L1897" t="s">
        <v>17</v>
      </c>
      <c r="M1897" t="s">
        <v>18</v>
      </c>
      <c r="N1897" t="s">
        <v>19</v>
      </c>
    </row>
    <row r="1898" spans="1:14" x14ac:dyDescent="0.25">
      <c r="A1898">
        <v>16306</v>
      </c>
      <c r="B1898">
        <v>7174</v>
      </c>
      <c r="C1898">
        <f>1/COUNTIF(B:B,pizza_sales[[#This Row],[order_id]])</f>
        <v>0.5</v>
      </c>
      <c r="D1898" t="s">
        <v>34</v>
      </c>
      <c r="E1898">
        <v>1</v>
      </c>
      <c r="F1898" s="1">
        <v>42009</v>
      </c>
      <c r="G1898" s="1" t="str">
        <f>TEXT(pizza_sales[[#This Row],[order_date]],"dddd")</f>
        <v>Monday</v>
      </c>
      <c r="H1898" s="2">
        <v>0.49400462962962965</v>
      </c>
      <c r="I1898">
        <v>16.25</v>
      </c>
      <c r="J1898">
        <v>16.25</v>
      </c>
      <c r="K1898" t="s">
        <v>59</v>
      </c>
      <c r="L1898" t="s">
        <v>35</v>
      </c>
      <c r="M1898" t="s">
        <v>36</v>
      </c>
      <c r="N1898" t="s">
        <v>37</v>
      </c>
    </row>
    <row r="1899" spans="1:14" x14ac:dyDescent="0.25">
      <c r="A1899">
        <v>16312</v>
      </c>
      <c r="B1899">
        <v>7174</v>
      </c>
      <c r="C1899">
        <f>1/COUNTIF(B:B,pizza_sales[[#This Row],[order_id]])</f>
        <v>0.5</v>
      </c>
      <c r="D1899" t="s">
        <v>43</v>
      </c>
      <c r="E1899">
        <v>1</v>
      </c>
      <c r="F1899" s="1">
        <v>42009</v>
      </c>
      <c r="G1899" s="1" t="str">
        <f>TEXT(pizza_sales[[#This Row],[order_date]],"dddd")</f>
        <v>Monday</v>
      </c>
      <c r="H1899" s="2">
        <v>0.49400462962962965</v>
      </c>
      <c r="I1899">
        <v>16.25</v>
      </c>
      <c r="J1899">
        <v>16.25</v>
      </c>
      <c r="K1899" t="s">
        <v>59</v>
      </c>
      <c r="L1899" t="s">
        <v>35</v>
      </c>
      <c r="M1899" t="s">
        <v>40</v>
      </c>
      <c r="N1899" t="s">
        <v>41</v>
      </c>
    </row>
    <row r="1900" spans="1:14" x14ac:dyDescent="0.25">
      <c r="A1900">
        <v>16316</v>
      </c>
      <c r="B1900">
        <v>7175</v>
      </c>
      <c r="C1900">
        <f>1/COUNTIF(B:B,pizza_sales[[#This Row],[order_id]])</f>
        <v>1</v>
      </c>
      <c r="D1900" t="s">
        <v>25</v>
      </c>
      <c r="E1900">
        <v>1</v>
      </c>
      <c r="F1900" s="1">
        <v>42009</v>
      </c>
      <c r="G1900" s="1" t="str">
        <f>TEXT(pizza_sales[[#This Row],[order_date]],"dddd")</f>
        <v>Monday</v>
      </c>
      <c r="H1900" s="2">
        <v>0.50326388888888884</v>
      </c>
      <c r="I1900">
        <v>15.25</v>
      </c>
      <c r="J1900">
        <v>15.25</v>
      </c>
      <c r="K1900" t="s">
        <v>58</v>
      </c>
      <c r="L1900" t="s">
        <v>13</v>
      </c>
      <c r="M1900" t="s">
        <v>26</v>
      </c>
      <c r="N1900" t="s">
        <v>27</v>
      </c>
    </row>
    <row r="1901" spans="1:14" x14ac:dyDescent="0.25">
      <c r="A1901">
        <v>16324</v>
      </c>
      <c r="B1901">
        <v>7182</v>
      </c>
      <c r="C1901">
        <f>1/COUNTIF(B:B,pizza_sales[[#This Row],[order_id]])</f>
        <v>1</v>
      </c>
      <c r="D1901" t="s">
        <v>20</v>
      </c>
      <c r="E1901">
        <v>1</v>
      </c>
      <c r="F1901" s="1">
        <v>42009</v>
      </c>
      <c r="G1901" s="1" t="str">
        <f>TEXT(pizza_sales[[#This Row],[order_date]],"dddd")</f>
        <v>Monday</v>
      </c>
      <c r="H1901" s="2">
        <v>0.5224537037037037</v>
      </c>
      <c r="I1901">
        <v>12</v>
      </c>
      <c r="J1901">
        <v>12</v>
      </c>
      <c r="K1901" t="s">
        <v>60</v>
      </c>
      <c r="L1901" t="s">
        <v>13</v>
      </c>
      <c r="M1901" t="s">
        <v>21</v>
      </c>
      <c r="N1901" t="s">
        <v>22</v>
      </c>
    </row>
    <row r="1902" spans="1:14" x14ac:dyDescent="0.25">
      <c r="A1902">
        <v>16345</v>
      </c>
      <c r="B1902">
        <v>7193</v>
      </c>
      <c r="C1902">
        <f>1/COUNTIF(B:B,pizza_sales[[#This Row],[order_id]])</f>
        <v>1</v>
      </c>
      <c r="D1902" t="s">
        <v>48</v>
      </c>
      <c r="E1902">
        <v>1</v>
      </c>
      <c r="F1902" s="1">
        <v>42009</v>
      </c>
      <c r="G1902" s="1" t="str">
        <f>TEXT(pizza_sales[[#This Row],[order_date]],"dddd")</f>
        <v>Monday</v>
      </c>
      <c r="H1902" s="2">
        <v>0.55598379629629635</v>
      </c>
      <c r="I1902">
        <v>12.25</v>
      </c>
      <c r="J1902">
        <v>12.25</v>
      </c>
      <c r="K1902" t="s">
        <v>60</v>
      </c>
      <c r="L1902" t="s">
        <v>35</v>
      </c>
      <c r="M1902" t="s">
        <v>40</v>
      </c>
      <c r="N1902" t="s">
        <v>41</v>
      </c>
    </row>
    <row r="1903" spans="1:14" x14ac:dyDescent="0.25">
      <c r="A1903">
        <v>16349</v>
      </c>
      <c r="B1903">
        <v>7196</v>
      </c>
      <c r="C1903">
        <f>1/COUNTIF(B:B,pizza_sales[[#This Row],[order_id]])</f>
        <v>1</v>
      </c>
      <c r="D1903" t="s">
        <v>56</v>
      </c>
      <c r="E1903">
        <v>1</v>
      </c>
      <c r="F1903" s="1">
        <v>42009</v>
      </c>
      <c r="G1903" s="1" t="str">
        <f>TEXT(pizza_sales[[#This Row],[order_date]],"dddd")</f>
        <v>Monday</v>
      </c>
      <c r="H1903" s="2">
        <v>0.56163194444444442</v>
      </c>
      <c r="I1903">
        <v>20.25</v>
      </c>
      <c r="J1903">
        <v>20.25</v>
      </c>
      <c r="K1903" t="s">
        <v>58</v>
      </c>
      <c r="L1903" t="s">
        <v>35</v>
      </c>
      <c r="M1903" t="s">
        <v>36</v>
      </c>
      <c r="N1903" t="s">
        <v>37</v>
      </c>
    </row>
    <row r="1904" spans="1:14" x14ac:dyDescent="0.25">
      <c r="A1904">
        <v>16353</v>
      </c>
      <c r="B1904">
        <v>7198</v>
      </c>
      <c r="C1904">
        <f>1/COUNTIF(B:B,pizza_sales[[#This Row],[order_id]])</f>
        <v>0.5</v>
      </c>
      <c r="D1904" t="s">
        <v>34</v>
      </c>
      <c r="E1904">
        <v>1</v>
      </c>
      <c r="F1904" s="1">
        <v>42009</v>
      </c>
      <c r="G1904" s="1" t="str">
        <f>TEXT(pizza_sales[[#This Row],[order_date]],"dddd")</f>
        <v>Monday</v>
      </c>
      <c r="H1904" s="2">
        <v>0.60256944444444449</v>
      </c>
      <c r="I1904">
        <v>16.25</v>
      </c>
      <c r="J1904">
        <v>16.25</v>
      </c>
      <c r="K1904" t="s">
        <v>59</v>
      </c>
      <c r="L1904" t="s">
        <v>35</v>
      </c>
      <c r="M1904" t="s">
        <v>36</v>
      </c>
      <c r="N1904" t="s">
        <v>37</v>
      </c>
    </row>
    <row r="1905" spans="1:14" x14ac:dyDescent="0.25">
      <c r="A1905">
        <v>16354</v>
      </c>
      <c r="B1905">
        <v>7198</v>
      </c>
      <c r="C1905">
        <f>1/COUNTIF(B:B,pizza_sales[[#This Row],[order_id]])</f>
        <v>0.5</v>
      </c>
      <c r="D1905" t="s">
        <v>45</v>
      </c>
      <c r="E1905">
        <v>1</v>
      </c>
      <c r="F1905" s="1">
        <v>42009</v>
      </c>
      <c r="G1905" s="1" t="str">
        <f>TEXT(pizza_sales[[#This Row],[order_date]],"dddd")</f>
        <v>Monday</v>
      </c>
      <c r="H1905" s="2">
        <v>0.60256944444444449</v>
      </c>
      <c r="I1905">
        <v>10.5</v>
      </c>
      <c r="J1905">
        <v>10.5</v>
      </c>
      <c r="K1905" t="s">
        <v>60</v>
      </c>
      <c r="L1905" t="s">
        <v>13</v>
      </c>
      <c r="M1905" t="s">
        <v>14</v>
      </c>
      <c r="N1905" t="s">
        <v>15</v>
      </c>
    </row>
    <row r="1906" spans="1:14" x14ac:dyDescent="0.25">
      <c r="A1906">
        <v>16357</v>
      </c>
      <c r="B1906">
        <v>7200</v>
      </c>
      <c r="C1906">
        <f>1/COUNTIF(B:B,pizza_sales[[#This Row],[order_id]])</f>
        <v>1</v>
      </c>
      <c r="D1906" t="s">
        <v>47</v>
      </c>
      <c r="E1906">
        <v>1</v>
      </c>
      <c r="F1906" s="1">
        <v>42009</v>
      </c>
      <c r="G1906" s="1" t="str">
        <f>TEXT(pizza_sales[[#This Row],[order_date]],"dddd")</f>
        <v>Monday</v>
      </c>
      <c r="H1906" s="2">
        <v>0.61695601851851856</v>
      </c>
      <c r="I1906">
        <v>16.5</v>
      </c>
      <c r="J1906">
        <v>16.5</v>
      </c>
      <c r="K1906" t="s">
        <v>58</v>
      </c>
      <c r="L1906" t="s">
        <v>13</v>
      </c>
      <c r="M1906" t="s">
        <v>14</v>
      </c>
      <c r="N1906" t="s">
        <v>15</v>
      </c>
    </row>
    <row r="1907" spans="1:14" x14ac:dyDescent="0.25">
      <c r="A1907">
        <v>16361</v>
      </c>
      <c r="B1907">
        <v>7201</v>
      </c>
      <c r="C1907">
        <f>1/COUNTIF(B:B,pizza_sales[[#This Row],[order_id]])</f>
        <v>1</v>
      </c>
      <c r="D1907" t="s">
        <v>12</v>
      </c>
      <c r="E1907">
        <v>1</v>
      </c>
      <c r="F1907" s="1">
        <v>42009</v>
      </c>
      <c r="G1907" s="1" t="str">
        <f>TEXT(pizza_sales[[#This Row],[order_date]],"dddd")</f>
        <v>Monday</v>
      </c>
      <c r="H1907" s="2">
        <v>0.66314814814814815</v>
      </c>
      <c r="I1907">
        <v>13.25</v>
      </c>
      <c r="J1907">
        <v>13.25</v>
      </c>
      <c r="K1907" t="s">
        <v>59</v>
      </c>
      <c r="L1907" t="s">
        <v>13</v>
      </c>
      <c r="M1907" t="s">
        <v>14</v>
      </c>
      <c r="N1907" t="s">
        <v>15</v>
      </c>
    </row>
    <row r="1908" spans="1:14" x14ac:dyDescent="0.25">
      <c r="A1908">
        <v>16365</v>
      </c>
      <c r="B1908">
        <v>7203</v>
      </c>
      <c r="C1908">
        <f>1/COUNTIF(B:B,pizza_sales[[#This Row],[order_id]])</f>
        <v>1</v>
      </c>
      <c r="D1908" t="s">
        <v>42</v>
      </c>
      <c r="E1908">
        <v>1</v>
      </c>
      <c r="F1908" s="1">
        <v>42009</v>
      </c>
      <c r="G1908" s="1" t="str">
        <f>TEXT(pizza_sales[[#This Row],[order_date]],"dddd")</f>
        <v>Monday</v>
      </c>
      <c r="H1908" s="2">
        <v>0.66714120370370367</v>
      </c>
      <c r="I1908">
        <v>12.5</v>
      </c>
      <c r="J1908">
        <v>12.5</v>
      </c>
      <c r="K1908" t="s">
        <v>59</v>
      </c>
      <c r="L1908" t="s">
        <v>13</v>
      </c>
      <c r="M1908" t="s">
        <v>26</v>
      </c>
      <c r="N1908" t="s">
        <v>27</v>
      </c>
    </row>
    <row r="1909" spans="1:14" x14ac:dyDescent="0.25">
      <c r="A1909">
        <v>16370</v>
      </c>
      <c r="B1909">
        <v>7206</v>
      </c>
      <c r="C1909">
        <f>1/COUNTIF(B:B,pizza_sales[[#This Row],[order_id]])</f>
        <v>1</v>
      </c>
      <c r="D1909" t="s">
        <v>45</v>
      </c>
      <c r="E1909">
        <v>1</v>
      </c>
      <c r="F1909" s="1">
        <v>42009</v>
      </c>
      <c r="G1909" s="1" t="str">
        <f>TEXT(pizza_sales[[#This Row],[order_date]],"dddd")</f>
        <v>Monday</v>
      </c>
      <c r="H1909" s="2">
        <v>0.67979166666666668</v>
      </c>
      <c r="I1909">
        <v>10.5</v>
      </c>
      <c r="J1909">
        <v>10.5</v>
      </c>
      <c r="K1909" t="s">
        <v>60</v>
      </c>
      <c r="L1909" t="s">
        <v>13</v>
      </c>
      <c r="M1909" t="s">
        <v>14</v>
      </c>
      <c r="N1909" t="s">
        <v>15</v>
      </c>
    </row>
    <row r="1910" spans="1:14" x14ac:dyDescent="0.25">
      <c r="A1910">
        <v>16372</v>
      </c>
      <c r="B1910">
        <v>7207</v>
      </c>
      <c r="C1910">
        <f>1/COUNTIF(B:B,pizza_sales[[#This Row],[order_id]])</f>
        <v>1</v>
      </c>
      <c r="D1910" t="s">
        <v>31</v>
      </c>
      <c r="E1910">
        <v>1</v>
      </c>
      <c r="F1910" s="1">
        <v>42009</v>
      </c>
      <c r="G1910" s="1" t="str">
        <f>TEXT(pizza_sales[[#This Row],[order_date]],"dddd")</f>
        <v>Monday</v>
      </c>
      <c r="H1910" s="2">
        <v>0.68276620370370367</v>
      </c>
      <c r="I1910">
        <v>12</v>
      </c>
      <c r="J1910">
        <v>12</v>
      </c>
      <c r="K1910" t="s">
        <v>60</v>
      </c>
      <c r="L1910" t="s">
        <v>13</v>
      </c>
      <c r="M1910" t="s">
        <v>32</v>
      </c>
      <c r="N1910" t="s">
        <v>33</v>
      </c>
    </row>
    <row r="1911" spans="1:14" x14ac:dyDescent="0.25">
      <c r="A1911">
        <v>16375</v>
      </c>
      <c r="B1911">
        <v>7208</v>
      </c>
      <c r="C1911">
        <f>1/COUNTIF(B:B,pizza_sales[[#This Row],[order_id]])</f>
        <v>1</v>
      </c>
      <c r="D1911" t="s">
        <v>12</v>
      </c>
      <c r="E1911">
        <v>1</v>
      </c>
      <c r="F1911" s="1">
        <v>42009</v>
      </c>
      <c r="G1911" s="1" t="str">
        <f>TEXT(pizza_sales[[#This Row],[order_date]],"dddd")</f>
        <v>Monday</v>
      </c>
      <c r="H1911" s="2">
        <v>0.69503472222222218</v>
      </c>
      <c r="I1911">
        <v>13.25</v>
      </c>
      <c r="J1911">
        <v>13.25</v>
      </c>
      <c r="K1911" t="s">
        <v>59</v>
      </c>
      <c r="L1911" t="s">
        <v>13</v>
      </c>
      <c r="M1911" t="s">
        <v>14</v>
      </c>
      <c r="N1911" t="s">
        <v>15</v>
      </c>
    </row>
    <row r="1912" spans="1:14" x14ac:dyDescent="0.25">
      <c r="A1912">
        <v>16381</v>
      </c>
      <c r="B1912">
        <v>7210</v>
      </c>
      <c r="C1912">
        <f>1/COUNTIF(B:B,pizza_sales[[#This Row],[order_id]])</f>
        <v>1</v>
      </c>
      <c r="D1912" t="s">
        <v>25</v>
      </c>
      <c r="E1912">
        <v>1</v>
      </c>
      <c r="F1912" s="1">
        <v>42009</v>
      </c>
      <c r="G1912" s="1" t="str">
        <f>TEXT(pizza_sales[[#This Row],[order_date]],"dddd")</f>
        <v>Monday</v>
      </c>
      <c r="H1912" s="2">
        <v>0.71289351851851857</v>
      </c>
      <c r="I1912">
        <v>15.25</v>
      </c>
      <c r="J1912">
        <v>15.25</v>
      </c>
      <c r="K1912" t="s">
        <v>58</v>
      </c>
      <c r="L1912" t="s">
        <v>13</v>
      </c>
      <c r="M1912" t="s">
        <v>26</v>
      </c>
      <c r="N1912" t="s">
        <v>27</v>
      </c>
    </row>
    <row r="1913" spans="1:14" x14ac:dyDescent="0.25">
      <c r="A1913">
        <v>16392</v>
      </c>
      <c r="B1913">
        <v>7215</v>
      </c>
      <c r="C1913">
        <f>1/COUNTIF(B:B,pizza_sales[[#This Row],[order_id]])</f>
        <v>1</v>
      </c>
      <c r="D1913" t="s">
        <v>46</v>
      </c>
      <c r="E1913">
        <v>1</v>
      </c>
      <c r="F1913" s="1">
        <v>42009</v>
      </c>
      <c r="G1913" s="1" t="str">
        <f>TEXT(pizza_sales[[#This Row],[order_date]],"dddd")</f>
        <v>Monday</v>
      </c>
      <c r="H1913" s="2">
        <v>0.72879629629629628</v>
      </c>
      <c r="I1913">
        <v>25.5</v>
      </c>
      <c r="J1913">
        <v>25.5</v>
      </c>
      <c r="K1913" t="s">
        <v>61</v>
      </c>
      <c r="L1913" t="s">
        <v>13</v>
      </c>
      <c r="M1913" t="s">
        <v>21</v>
      </c>
      <c r="N1913" t="s">
        <v>22</v>
      </c>
    </row>
    <row r="1914" spans="1:14" x14ac:dyDescent="0.25">
      <c r="A1914">
        <v>16395</v>
      </c>
      <c r="B1914">
        <v>7218</v>
      </c>
      <c r="C1914">
        <f>1/COUNTIF(B:B,pizza_sales[[#This Row],[order_id]])</f>
        <v>0.5</v>
      </c>
      <c r="D1914" t="s">
        <v>47</v>
      </c>
      <c r="E1914">
        <v>1</v>
      </c>
      <c r="F1914" s="1">
        <v>42009</v>
      </c>
      <c r="G1914" s="1" t="str">
        <f>TEXT(pizza_sales[[#This Row],[order_date]],"dddd")</f>
        <v>Monday</v>
      </c>
      <c r="H1914" s="2">
        <v>0.75061342592592595</v>
      </c>
      <c r="I1914">
        <v>16.5</v>
      </c>
      <c r="J1914">
        <v>16.5</v>
      </c>
      <c r="K1914" t="s">
        <v>58</v>
      </c>
      <c r="L1914" t="s">
        <v>13</v>
      </c>
      <c r="M1914" t="s">
        <v>14</v>
      </c>
      <c r="N1914" t="s">
        <v>15</v>
      </c>
    </row>
    <row r="1915" spans="1:14" x14ac:dyDescent="0.25">
      <c r="A1915">
        <v>16397</v>
      </c>
      <c r="B1915">
        <v>7218</v>
      </c>
      <c r="C1915">
        <f>1/COUNTIF(B:B,pizza_sales[[#This Row],[order_id]])</f>
        <v>0.5</v>
      </c>
      <c r="D1915" t="s">
        <v>44</v>
      </c>
      <c r="E1915">
        <v>1</v>
      </c>
      <c r="F1915" s="1">
        <v>42009</v>
      </c>
      <c r="G1915" s="1" t="str">
        <f>TEXT(pizza_sales[[#This Row],[order_date]],"dddd")</f>
        <v>Monday</v>
      </c>
      <c r="H1915" s="2">
        <v>0.75061342592592595</v>
      </c>
      <c r="I1915">
        <v>9.75</v>
      </c>
      <c r="J1915">
        <v>9.75</v>
      </c>
      <c r="K1915" t="s">
        <v>60</v>
      </c>
      <c r="L1915" t="s">
        <v>13</v>
      </c>
      <c r="M1915" t="s">
        <v>26</v>
      </c>
      <c r="N1915" t="s">
        <v>27</v>
      </c>
    </row>
    <row r="1916" spans="1:14" x14ac:dyDescent="0.25">
      <c r="A1916">
        <v>16398</v>
      </c>
      <c r="B1916">
        <v>7219</v>
      </c>
      <c r="C1916">
        <f>1/COUNTIF(B:B,pizza_sales[[#This Row],[order_id]])</f>
        <v>0.33333333333333331</v>
      </c>
      <c r="D1916" t="s">
        <v>42</v>
      </c>
      <c r="E1916">
        <v>1</v>
      </c>
      <c r="F1916" s="1">
        <v>42009</v>
      </c>
      <c r="G1916" s="1" t="str">
        <f>TEXT(pizza_sales[[#This Row],[order_date]],"dddd")</f>
        <v>Monday</v>
      </c>
      <c r="H1916" s="2">
        <v>0.76708333333333334</v>
      </c>
      <c r="I1916">
        <v>12.5</v>
      </c>
      <c r="J1916">
        <v>12.5</v>
      </c>
      <c r="K1916" t="s">
        <v>59</v>
      </c>
      <c r="L1916" t="s">
        <v>13</v>
      </c>
      <c r="M1916" t="s">
        <v>26</v>
      </c>
      <c r="N1916" t="s">
        <v>27</v>
      </c>
    </row>
    <row r="1917" spans="1:14" x14ac:dyDescent="0.25">
      <c r="A1917">
        <v>16399</v>
      </c>
      <c r="B1917">
        <v>7219</v>
      </c>
      <c r="C1917">
        <f>1/COUNTIF(B:B,pizza_sales[[#This Row],[order_id]])</f>
        <v>0.33333333333333331</v>
      </c>
      <c r="D1917" t="s">
        <v>48</v>
      </c>
      <c r="E1917">
        <v>1</v>
      </c>
      <c r="F1917" s="1">
        <v>42009</v>
      </c>
      <c r="G1917" s="1" t="str">
        <f>TEXT(pizza_sales[[#This Row],[order_date]],"dddd")</f>
        <v>Monday</v>
      </c>
      <c r="H1917" s="2">
        <v>0.76708333333333334</v>
      </c>
      <c r="I1917">
        <v>12.25</v>
      </c>
      <c r="J1917">
        <v>12.25</v>
      </c>
      <c r="K1917" t="s">
        <v>60</v>
      </c>
      <c r="L1917" t="s">
        <v>35</v>
      </c>
      <c r="M1917" t="s">
        <v>40</v>
      </c>
      <c r="N1917" t="s">
        <v>41</v>
      </c>
    </row>
    <row r="1918" spans="1:14" x14ac:dyDescent="0.25">
      <c r="A1918">
        <v>16400</v>
      </c>
      <c r="B1918">
        <v>7219</v>
      </c>
      <c r="C1918">
        <f>1/COUNTIF(B:B,pizza_sales[[#This Row],[order_id]])</f>
        <v>0.33333333333333331</v>
      </c>
      <c r="D1918" t="s">
        <v>49</v>
      </c>
      <c r="E1918">
        <v>1</v>
      </c>
      <c r="F1918" s="1">
        <v>42009</v>
      </c>
      <c r="G1918" s="1" t="str">
        <f>TEXT(pizza_sales[[#This Row],[order_date]],"dddd")</f>
        <v>Monday</v>
      </c>
      <c r="H1918" s="2">
        <v>0.76708333333333334</v>
      </c>
      <c r="I1918">
        <v>16</v>
      </c>
      <c r="J1918">
        <v>16</v>
      </c>
      <c r="K1918" t="s">
        <v>59</v>
      </c>
      <c r="L1918" t="s">
        <v>13</v>
      </c>
      <c r="M1918" t="s">
        <v>21</v>
      </c>
      <c r="N1918" t="s">
        <v>22</v>
      </c>
    </row>
    <row r="1919" spans="1:14" x14ac:dyDescent="0.25">
      <c r="A1919">
        <v>16401</v>
      </c>
      <c r="B1919">
        <v>7220</v>
      </c>
      <c r="C1919">
        <f>1/COUNTIF(B:B,pizza_sales[[#This Row],[order_id]])</f>
        <v>1</v>
      </c>
      <c r="D1919" t="s">
        <v>39</v>
      </c>
      <c r="E1919">
        <v>1</v>
      </c>
      <c r="F1919" s="1">
        <v>42009</v>
      </c>
      <c r="G1919" s="1" t="str">
        <f>TEXT(pizza_sales[[#This Row],[order_date]],"dddd")</f>
        <v>Monday</v>
      </c>
      <c r="H1919" s="2">
        <v>0.7734375</v>
      </c>
      <c r="I1919">
        <v>20.25</v>
      </c>
      <c r="J1919">
        <v>20.25</v>
      </c>
      <c r="K1919" t="s">
        <v>58</v>
      </c>
      <c r="L1919" t="s">
        <v>35</v>
      </c>
      <c r="M1919" t="s">
        <v>40</v>
      </c>
      <c r="N1919" t="s">
        <v>41</v>
      </c>
    </row>
    <row r="1920" spans="1:14" x14ac:dyDescent="0.25">
      <c r="A1920">
        <v>16409</v>
      </c>
      <c r="B1920">
        <v>7224</v>
      </c>
      <c r="C1920">
        <f>1/COUNTIF(B:B,pizza_sales[[#This Row],[order_id]])</f>
        <v>1</v>
      </c>
      <c r="D1920" t="s">
        <v>39</v>
      </c>
      <c r="E1920">
        <v>1</v>
      </c>
      <c r="F1920" s="1">
        <v>42009</v>
      </c>
      <c r="G1920" s="1" t="str">
        <f>TEXT(pizza_sales[[#This Row],[order_date]],"dddd")</f>
        <v>Monday</v>
      </c>
      <c r="H1920" s="2">
        <v>0.8087037037037037</v>
      </c>
      <c r="I1920">
        <v>20.25</v>
      </c>
      <c r="J1920">
        <v>20.25</v>
      </c>
      <c r="K1920" t="s">
        <v>58</v>
      </c>
      <c r="L1920" t="s">
        <v>35</v>
      </c>
      <c r="M1920" t="s">
        <v>40</v>
      </c>
      <c r="N1920" t="s">
        <v>41</v>
      </c>
    </row>
    <row r="1921" spans="1:14" x14ac:dyDescent="0.25">
      <c r="A1921">
        <v>16411</v>
      </c>
      <c r="B1921">
        <v>7225</v>
      </c>
      <c r="C1921">
        <f>1/COUNTIF(B:B,pizza_sales[[#This Row],[order_id]])</f>
        <v>1</v>
      </c>
      <c r="D1921" t="s">
        <v>25</v>
      </c>
      <c r="E1921">
        <v>1</v>
      </c>
      <c r="F1921" s="1">
        <v>42009</v>
      </c>
      <c r="G1921" s="1" t="str">
        <f>TEXT(pizza_sales[[#This Row],[order_date]],"dddd")</f>
        <v>Monday</v>
      </c>
      <c r="H1921" s="2">
        <v>0.81008101851851855</v>
      </c>
      <c r="I1921">
        <v>15.25</v>
      </c>
      <c r="J1921">
        <v>15.25</v>
      </c>
      <c r="K1921" t="s">
        <v>58</v>
      </c>
      <c r="L1921" t="s">
        <v>13</v>
      </c>
      <c r="M1921" t="s">
        <v>26</v>
      </c>
      <c r="N1921" t="s">
        <v>27</v>
      </c>
    </row>
    <row r="1922" spans="1:14" x14ac:dyDescent="0.25">
      <c r="A1922">
        <v>16414</v>
      </c>
      <c r="B1922">
        <v>7227</v>
      </c>
      <c r="C1922">
        <f>1/COUNTIF(B:B,pizza_sales[[#This Row],[order_id]])</f>
        <v>0.5</v>
      </c>
      <c r="D1922" t="s">
        <v>28</v>
      </c>
      <c r="E1922">
        <v>1</v>
      </c>
      <c r="F1922" s="1">
        <v>42009</v>
      </c>
      <c r="G1922" s="1" t="str">
        <f>TEXT(pizza_sales[[#This Row],[order_date]],"dddd")</f>
        <v>Monday</v>
      </c>
      <c r="H1922" s="2">
        <v>0.81172453703703706</v>
      </c>
      <c r="I1922">
        <v>12</v>
      </c>
      <c r="J1922">
        <v>12</v>
      </c>
      <c r="K1922" t="s">
        <v>60</v>
      </c>
      <c r="L1922" t="s">
        <v>13</v>
      </c>
      <c r="M1922" t="s">
        <v>29</v>
      </c>
      <c r="N1922" t="s">
        <v>30</v>
      </c>
    </row>
    <row r="1923" spans="1:14" x14ac:dyDescent="0.25">
      <c r="A1923">
        <v>16416</v>
      </c>
      <c r="B1923">
        <v>7227</v>
      </c>
      <c r="C1923">
        <f>1/COUNTIF(B:B,pizza_sales[[#This Row],[order_id]])</f>
        <v>0.5</v>
      </c>
      <c r="D1923" t="s">
        <v>47</v>
      </c>
      <c r="E1923">
        <v>1</v>
      </c>
      <c r="F1923" s="1">
        <v>42009</v>
      </c>
      <c r="G1923" s="1" t="str">
        <f>TEXT(pizza_sales[[#This Row],[order_date]],"dddd")</f>
        <v>Monday</v>
      </c>
      <c r="H1923" s="2">
        <v>0.81172453703703706</v>
      </c>
      <c r="I1923">
        <v>16.5</v>
      </c>
      <c r="J1923">
        <v>16.5</v>
      </c>
      <c r="K1923" t="s">
        <v>58</v>
      </c>
      <c r="L1923" t="s">
        <v>13</v>
      </c>
      <c r="M1923" t="s">
        <v>14</v>
      </c>
      <c r="N1923" t="s">
        <v>15</v>
      </c>
    </row>
    <row r="1924" spans="1:14" x14ac:dyDescent="0.25">
      <c r="A1924">
        <v>16426</v>
      </c>
      <c r="B1924">
        <v>7233</v>
      </c>
      <c r="C1924">
        <f>1/COUNTIF(B:B,pizza_sales[[#This Row],[order_id]])</f>
        <v>0.5</v>
      </c>
      <c r="D1924" t="s">
        <v>54</v>
      </c>
      <c r="E1924">
        <v>1</v>
      </c>
      <c r="F1924" s="1">
        <v>42009</v>
      </c>
      <c r="G1924" s="1" t="str">
        <f>TEXT(pizza_sales[[#This Row],[order_date]],"dddd")</f>
        <v>Monday</v>
      </c>
      <c r="H1924" s="2">
        <v>0.85045138888888894</v>
      </c>
      <c r="I1924">
        <v>12.25</v>
      </c>
      <c r="J1924">
        <v>12.25</v>
      </c>
      <c r="K1924" t="s">
        <v>60</v>
      </c>
      <c r="L1924" t="s">
        <v>35</v>
      </c>
      <c r="M1924" t="s">
        <v>36</v>
      </c>
      <c r="N1924" t="s">
        <v>37</v>
      </c>
    </row>
    <row r="1925" spans="1:14" x14ac:dyDescent="0.25">
      <c r="A1925">
        <v>16429</v>
      </c>
      <c r="B1925">
        <v>7233</v>
      </c>
      <c r="C1925">
        <f>1/COUNTIF(B:B,pizza_sales[[#This Row],[order_id]])</f>
        <v>0.5</v>
      </c>
      <c r="D1925" t="s">
        <v>42</v>
      </c>
      <c r="E1925">
        <v>1</v>
      </c>
      <c r="F1925" s="1">
        <v>42009</v>
      </c>
      <c r="G1925" s="1" t="str">
        <f>TEXT(pizza_sales[[#This Row],[order_date]],"dddd")</f>
        <v>Monday</v>
      </c>
      <c r="H1925" s="2">
        <v>0.85045138888888894</v>
      </c>
      <c r="I1925">
        <v>12.5</v>
      </c>
      <c r="J1925">
        <v>12.5</v>
      </c>
      <c r="K1925" t="s">
        <v>59</v>
      </c>
      <c r="L1925" t="s">
        <v>13</v>
      </c>
      <c r="M1925" t="s">
        <v>26</v>
      </c>
      <c r="N1925" t="s">
        <v>27</v>
      </c>
    </row>
    <row r="1926" spans="1:14" x14ac:dyDescent="0.25">
      <c r="A1926">
        <v>16430</v>
      </c>
      <c r="B1926">
        <v>7234</v>
      </c>
      <c r="C1926">
        <f>1/COUNTIF(B:B,pizza_sales[[#This Row],[order_id]])</f>
        <v>0.5</v>
      </c>
      <c r="D1926" t="s">
        <v>51</v>
      </c>
      <c r="E1926">
        <v>1</v>
      </c>
      <c r="F1926" s="1">
        <v>42009</v>
      </c>
      <c r="G1926" s="1" t="str">
        <f>TEXT(pizza_sales[[#This Row],[order_date]],"dddd")</f>
        <v>Monday</v>
      </c>
      <c r="H1926" s="2">
        <v>0.85462962962962963</v>
      </c>
      <c r="I1926">
        <v>23.65</v>
      </c>
      <c r="J1926">
        <v>23.65</v>
      </c>
      <c r="K1926" t="s">
        <v>60</v>
      </c>
      <c r="L1926" t="s">
        <v>35</v>
      </c>
      <c r="M1926" t="s">
        <v>52</v>
      </c>
      <c r="N1926" t="s">
        <v>53</v>
      </c>
    </row>
    <row r="1927" spans="1:14" x14ac:dyDescent="0.25">
      <c r="A1927">
        <v>16431</v>
      </c>
      <c r="B1927">
        <v>7234</v>
      </c>
      <c r="C1927">
        <f>1/COUNTIF(B:B,pizza_sales[[#This Row],[order_id]])</f>
        <v>0.5</v>
      </c>
      <c r="D1927" t="s">
        <v>44</v>
      </c>
      <c r="E1927">
        <v>1</v>
      </c>
      <c r="F1927" s="1">
        <v>42009</v>
      </c>
      <c r="G1927" s="1" t="str">
        <f>TEXT(pizza_sales[[#This Row],[order_date]],"dddd")</f>
        <v>Monday</v>
      </c>
      <c r="H1927" s="2">
        <v>0.85462962962962963</v>
      </c>
      <c r="I1927">
        <v>9.75</v>
      </c>
      <c r="J1927">
        <v>9.75</v>
      </c>
      <c r="K1927" t="s">
        <v>60</v>
      </c>
      <c r="L1927" t="s">
        <v>13</v>
      </c>
      <c r="M1927" t="s">
        <v>26</v>
      </c>
      <c r="N1927" t="s">
        <v>27</v>
      </c>
    </row>
    <row r="1928" spans="1:14" x14ac:dyDescent="0.25">
      <c r="A1928">
        <v>16432</v>
      </c>
      <c r="B1928">
        <v>7235</v>
      </c>
      <c r="C1928">
        <f>1/COUNTIF(B:B,pizza_sales[[#This Row],[order_id]])</f>
        <v>0.5</v>
      </c>
      <c r="D1928" t="s">
        <v>24</v>
      </c>
      <c r="E1928">
        <v>1</v>
      </c>
      <c r="F1928" s="1">
        <v>42009</v>
      </c>
      <c r="G1928" s="1" t="str">
        <f>TEXT(pizza_sales[[#This Row],[order_date]],"dddd")</f>
        <v>Monday</v>
      </c>
      <c r="H1928" s="2">
        <v>0.86738425925925922</v>
      </c>
      <c r="I1928">
        <v>20.25</v>
      </c>
      <c r="J1928">
        <v>20.25</v>
      </c>
      <c r="K1928" t="s">
        <v>58</v>
      </c>
      <c r="L1928" t="s">
        <v>17</v>
      </c>
      <c r="M1928" t="s">
        <v>18</v>
      </c>
      <c r="N1928" t="s">
        <v>19</v>
      </c>
    </row>
    <row r="1929" spans="1:14" x14ac:dyDescent="0.25">
      <c r="A1929">
        <v>16434</v>
      </c>
      <c r="B1929">
        <v>7235</v>
      </c>
      <c r="C1929">
        <f>1/COUNTIF(B:B,pizza_sales[[#This Row],[order_id]])</f>
        <v>0.5</v>
      </c>
      <c r="D1929" t="s">
        <v>49</v>
      </c>
      <c r="E1929">
        <v>1</v>
      </c>
      <c r="F1929" s="1">
        <v>42009</v>
      </c>
      <c r="G1929" s="1" t="str">
        <f>TEXT(pizza_sales[[#This Row],[order_date]],"dddd")</f>
        <v>Monday</v>
      </c>
      <c r="H1929" s="2">
        <v>0.86738425925925922</v>
      </c>
      <c r="I1929">
        <v>16</v>
      </c>
      <c r="J1929">
        <v>16</v>
      </c>
      <c r="K1929" t="s">
        <v>59</v>
      </c>
      <c r="L1929" t="s">
        <v>13</v>
      </c>
      <c r="M1929" t="s">
        <v>21</v>
      </c>
      <c r="N1929" t="s">
        <v>22</v>
      </c>
    </row>
    <row r="1930" spans="1:14" x14ac:dyDescent="0.25">
      <c r="A1930">
        <v>16436</v>
      </c>
      <c r="B1930">
        <v>7236</v>
      </c>
      <c r="C1930">
        <f>1/COUNTIF(B:B,pizza_sales[[#This Row],[order_id]])</f>
        <v>1</v>
      </c>
      <c r="D1930" t="s">
        <v>42</v>
      </c>
      <c r="E1930">
        <v>1</v>
      </c>
      <c r="F1930" s="1">
        <v>42009</v>
      </c>
      <c r="G1930" s="1" t="str">
        <f>TEXT(pizza_sales[[#This Row],[order_date]],"dddd")</f>
        <v>Monday</v>
      </c>
      <c r="H1930" s="2">
        <v>0.87906249999999997</v>
      </c>
      <c r="I1930">
        <v>12.5</v>
      </c>
      <c r="J1930">
        <v>12.5</v>
      </c>
      <c r="K1930" t="s">
        <v>59</v>
      </c>
      <c r="L1930" t="s">
        <v>13</v>
      </c>
      <c r="M1930" t="s">
        <v>26</v>
      </c>
      <c r="N1930" t="s">
        <v>27</v>
      </c>
    </row>
    <row r="1931" spans="1:14" x14ac:dyDescent="0.25">
      <c r="A1931">
        <v>16437</v>
      </c>
      <c r="B1931">
        <v>7237</v>
      </c>
      <c r="C1931">
        <f>1/COUNTIF(B:B,pizza_sales[[#This Row],[order_id]])</f>
        <v>1</v>
      </c>
      <c r="D1931" t="s">
        <v>55</v>
      </c>
      <c r="E1931">
        <v>1</v>
      </c>
      <c r="F1931" s="1">
        <v>42009</v>
      </c>
      <c r="G1931" s="1" t="str">
        <f>TEXT(pizza_sales[[#This Row],[order_date]],"dddd")</f>
        <v>Monday</v>
      </c>
      <c r="H1931" s="2">
        <v>0.89355324074074072</v>
      </c>
      <c r="I1931">
        <v>20.5</v>
      </c>
      <c r="J1931">
        <v>20.5</v>
      </c>
      <c r="K1931" t="s">
        <v>58</v>
      </c>
      <c r="L1931" t="s">
        <v>13</v>
      </c>
      <c r="M1931" t="s">
        <v>21</v>
      </c>
      <c r="N1931" t="s">
        <v>22</v>
      </c>
    </row>
    <row r="1932" spans="1:14" x14ac:dyDescent="0.25">
      <c r="A1932">
        <v>16450</v>
      </c>
      <c r="B1932">
        <v>7244</v>
      </c>
      <c r="C1932">
        <f>1/COUNTIF(B:B,pizza_sales[[#This Row],[order_id]])</f>
        <v>1</v>
      </c>
      <c r="D1932" t="s">
        <v>44</v>
      </c>
      <c r="E1932">
        <v>1</v>
      </c>
      <c r="F1932" s="1">
        <v>42009</v>
      </c>
      <c r="G1932" s="1" t="str">
        <f>TEXT(pizza_sales[[#This Row],[order_date]],"dddd")</f>
        <v>Monday</v>
      </c>
      <c r="H1932" s="2">
        <v>0.93385416666666665</v>
      </c>
      <c r="I1932">
        <v>9.75</v>
      </c>
      <c r="J1932">
        <v>9.75</v>
      </c>
      <c r="K1932" t="s">
        <v>60</v>
      </c>
      <c r="L1932" t="s">
        <v>13</v>
      </c>
      <c r="M1932" t="s">
        <v>26</v>
      </c>
      <c r="N1932" t="s">
        <v>27</v>
      </c>
    </row>
    <row r="1933" spans="1:14" x14ac:dyDescent="0.25">
      <c r="A1933">
        <v>16455</v>
      </c>
      <c r="B1933">
        <v>7246</v>
      </c>
      <c r="C1933">
        <f>1/COUNTIF(B:B,pizza_sales[[#This Row],[order_id]])</f>
        <v>1</v>
      </c>
      <c r="D1933" t="s">
        <v>28</v>
      </c>
      <c r="E1933">
        <v>1</v>
      </c>
      <c r="F1933" s="1">
        <v>42040</v>
      </c>
      <c r="G1933" s="1" t="str">
        <f>TEXT(pizza_sales[[#This Row],[order_date]],"dddd")</f>
        <v>Thursday</v>
      </c>
      <c r="H1933" s="2">
        <v>0.4971990740740741</v>
      </c>
      <c r="I1933">
        <v>12</v>
      </c>
      <c r="J1933">
        <v>12</v>
      </c>
      <c r="K1933" t="s">
        <v>60</v>
      </c>
      <c r="L1933" t="s">
        <v>13</v>
      </c>
      <c r="M1933" t="s">
        <v>29</v>
      </c>
      <c r="N1933" t="s">
        <v>30</v>
      </c>
    </row>
    <row r="1934" spans="1:14" x14ac:dyDescent="0.25">
      <c r="A1934">
        <v>16457</v>
      </c>
      <c r="B1934">
        <v>7247</v>
      </c>
      <c r="C1934">
        <f>1/COUNTIF(B:B,pizza_sales[[#This Row],[order_id]])</f>
        <v>1</v>
      </c>
      <c r="D1934" t="s">
        <v>28</v>
      </c>
      <c r="E1934">
        <v>1</v>
      </c>
      <c r="F1934" s="1">
        <v>42040</v>
      </c>
      <c r="G1934" s="1" t="str">
        <f>TEXT(pizza_sales[[#This Row],[order_date]],"dddd")</f>
        <v>Thursday</v>
      </c>
      <c r="H1934" s="2">
        <v>0.50172453703703701</v>
      </c>
      <c r="I1934">
        <v>12</v>
      </c>
      <c r="J1934">
        <v>12</v>
      </c>
      <c r="K1934" t="s">
        <v>60</v>
      </c>
      <c r="L1934" t="s">
        <v>13</v>
      </c>
      <c r="M1934" t="s">
        <v>29</v>
      </c>
      <c r="N1934" t="s">
        <v>30</v>
      </c>
    </row>
    <row r="1935" spans="1:14" x14ac:dyDescent="0.25">
      <c r="A1935">
        <v>16467</v>
      </c>
      <c r="B1935">
        <v>7248</v>
      </c>
      <c r="C1935">
        <f>1/COUNTIF(B:B,pizza_sales[[#This Row],[order_id]])</f>
        <v>0.33333333333333331</v>
      </c>
      <c r="D1935" t="s">
        <v>50</v>
      </c>
      <c r="E1935">
        <v>1</v>
      </c>
      <c r="F1935" s="1">
        <v>42040</v>
      </c>
      <c r="G1935" s="1" t="str">
        <f>TEXT(pizza_sales[[#This Row],[order_date]],"dddd")</f>
        <v>Thursday</v>
      </c>
      <c r="H1935" s="2">
        <v>0.51615740740740745</v>
      </c>
      <c r="I1935">
        <v>16</v>
      </c>
      <c r="J1935">
        <v>16</v>
      </c>
      <c r="K1935" t="s">
        <v>59</v>
      </c>
      <c r="L1935" t="s">
        <v>13</v>
      </c>
      <c r="M1935" t="s">
        <v>32</v>
      </c>
      <c r="N1935" t="s">
        <v>33</v>
      </c>
    </row>
    <row r="1936" spans="1:14" x14ac:dyDescent="0.25">
      <c r="A1936">
        <v>16468</v>
      </c>
      <c r="B1936">
        <v>7248</v>
      </c>
      <c r="C1936">
        <f>1/COUNTIF(B:B,pizza_sales[[#This Row],[order_id]])</f>
        <v>0.33333333333333331</v>
      </c>
      <c r="D1936" t="s">
        <v>42</v>
      </c>
      <c r="E1936">
        <v>1</v>
      </c>
      <c r="F1936" s="1">
        <v>42040</v>
      </c>
      <c r="G1936" s="1" t="str">
        <f>TEXT(pizza_sales[[#This Row],[order_date]],"dddd")</f>
        <v>Thursday</v>
      </c>
      <c r="H1936" s="2">
        <v>0.51615740740740745</v>
      </c>
      <c r="I1936">
        <v>12.5</v>
      </c>
      <c r="J1936">
        <v>12.5</v>
      </c>
      <c r="K1936" t="s">
        <v>59</v>
      </c>
      <c r="L1936" t="s">
        <v>13</v>
      </c>
      <c r="M1936" t="s">
        <v>26</v>
      </c>
      <c r="N1936" t="s">
        <v>27</v>
      </c>
    </row>
    <row r="1937" spans="1:14" x14ac:dyDescent="0.25">
      <c r="A1937">
        <v>16471</v>
      </c>
      <c r="B1937">
        <v>7249</v>
      </c>
      <c r="C1937">
        <f>1/COUNTIF(B:B,pizza_sales[[#This Row],[order_id]])</f>
        <v>1</v>
      </c>
      <c r="D1937" t="s">
        <v>45</v>
      </c>
      <c r="E1937">
        <v>1</v>
      </c>
      <c r="F1937" s="1">
        <v>42040</v>
      </c>
      <c r="G1937" s="1" t="str">
        <f>TEXT(pizza_sales[[#This Row],[order_date]],"dddd")</f>
        <v>Thursday</v>
      </c>
      <c r="H1937" s="2">
        <v>0.51939814814814811</v>
      </c>
      <c r="I1937">
        <v>10.5</v>
      </c>
      <c r="J1937">
        <v>10.5</v>
      </c>
      <c r="K1937" t="s">
        <v>60</v>
      </c>
      <c r="L1937" t="s">
        <v>13</v>
      </c>
      <c r="M1937" t="s">
        <v>14</v>
      </c>
      <c r="N1937" t="s">
        <v>15</v>
      </c>
    </row>
    <row r="1938" spans="1:14" x14ac:dyDescent="0.25">
      <c r="A1938">
        <v>16473</v>
      </c>
      <c r="B1938">
        <v>7251</v>
      </c>
      <c r="C1938">
        <f>1/COUNTIF(B:B,pizza_sales[[#This Row],[order_id]])</f>
        <v>1</v>
      </c>
      <c r="D1938" t="s">
        <v>51</v>
      </c>
      <c r="E1938">
        <v>1</v>
      </c>
      <c r="F1938" s="1">
        <v>42040</v>
      </c>
      <c r="G1938" s="1" t="str">
        <f>TEXT(pizza_sales[[#This Row],[order_date]],"dddd")</f>
        <v>Thursday</v>
      </c>
      <c r="H1938" s="2">
        <v>0.52825231481481483</v>
      </c>
      <c r="I1938">
        <v>23.65</v>
      </c>
      <c r="J1938">
        <v>23.65</v>
      </c>
      <c r="K1938" t="s">
        <v>60</v>
      </c>
      <c r="L1938" t="s">
        <v>35</v>
      </c>
      <c r="M1938" t="s">
        <v>52</v>
      </c>
      <c r="N1938" t="s">
        <v>53</v>
      </c>
    </row>
    <row r="1939" spans="1:14" x14ac:dyDescent="0.25">
      <c r="A1939">
        <v>16478</v>
      </c>
      <c r="B1939">
        <v>7253</v>
      </c>
      <c r="C1939">
        <f>1/COUNTIF(B:B,pizza_sales[[#This Row],[order_id]])</f>
        <v>0.5</v>
      </c>
      <c r="D1939" t="s">
        <v>12</v>
      </c>
      <c r="E1939">
        <v>1</v>
      </c>
      <c r="F1939" s="1">
        <v>42040</v>
      </c>
      <c r="G1939" s="1" t="str">
        <f>TEXT(pizza_sales[[#This Row],[order_date]],"dddd")</f>
        <v>Thursday</v>
      </c>
      <c r="H1939" s="2">
        <v>0.5749305555555555</v>
      </c>
      <c r="I1939">
        <v>13.25</v>
      </c>
      <c r="J1939">
        <v>13.25</v>
      </c>
      <c r="K1939" t="s">
        <v>59</v>
      </c>
      <c r="L1939" t="s">
        <v>13</v>
      </c>
      <c r="M1939" t="s">
        <v>14</v>
      </c>
      <c r="N1939" t="s">
        <v>15</v>
      </c>
    </row>
    <row r="1940" spans="1:14" x14ac:dyDescent="0.25">
      <c r="A1940">
        <v>16479</v>
      </c>
      <c r="B1940">
        <v>7253</v>
      </c>
      <c r="C1940">
        <f>1/COUNTIF(B:B,pizza_sales[[#This Row],[order_id]])</f>
        <v>0.5</v>
      </c>
      <c r="D1940" t="s">
        <v>45</v>
      </c>
      <c r="E1940">
        <v>1</v>
      </c>
      <c r="F1940" s="1">
        <v>42040</v>
      </c>
      <c r="G1940" s="1" t="str">
        <f>TEXT(pizza_sales[[#This Row],[order_date]],"dddd")</f>
        <v>Thursday</v>
      </c>
      <c r="H1940" s="2">
        <v>0.5749305555555555</v>
      </c>
      <c r="I1940">
        <v>10.5</v>
      </c>
      <c r="J1940">
        <v>10.5</v>
      </c>
      <c r="K1940" t="s">
        <v>60</v>
      </c>
      <c r="L1940" t="s">
        <v>13</v>
      </c>
      <c r="M1940" t="s">
        <v>14</v>
      </c>
      <c r="N1940" t="s">
        <v>15</v>
      </c>
    </row>
    <row r="1941" spans="1:14" x14ac:dyDescent="0.25">
      <c r="A1941">
        <v>16487</v>
      </c>
      <c r="B1941">
        <v>7256</v>
      </c>
      <c r="C1941">
        <f>1/COUNTIF(B:B,pizza_sales[[#This Row],[order_id]])</f>
        <v>1</v>
      </c>
      <c r="D1941" t="s">
        <v>12</v>
      </c>
      <c r="E1941">
        <v>1</v>
      </c>
      <c r="F1941" s="1">
        <v>42040</v>
      </c>
      <c r="G1941" s="1" t="str">
        <f>TEXT(pizza_sales[[#This Row],[order_date]],"dddd")</f>
        <v>Thursday</v>
      </c>
      <c r="H1941" s="2">
        <v>0.6156018518518519</v>
      </c>
      <c r="I1941">
        <v>13.25</v>
      </c>
      <c r="J1941">
        <v>13.25</v>
      </c>
      <c r="K1941" t="s">
        <v>59</v>
      </c>
      <c r="L1941" t="s">
        <v>13</v>
      </c>
      <c r="M1941" t="s">
        <v>14</v>
      </c>
      <c r="N1941" t="s">
        <v>15</v>
      </c>
    </row>
    <row r="1942" spans="1:14" x14ac:dyDescent="0.25">
      <c r="A1942">
        <v>16489</v>
      </c>
      <c r="B1942">
        <v>7257</v>
      </c>
      <c r="C1942">
        <f>1/COUNTIF(B:B,pizza_sales[[#This Row],[order_id]])</f>
        <v>0.5</v>
      </c>
      <c r="D1942" t="s">
        <v>38</v>
      </c>
      <c r="E1942">
        <v>1</v>
      </c>
      <c r="F1942" s="1">
        <v>42040</v>
      </c>
      <c r="G1942" s="1" t="str">
        <f>TEXT(pizza_sales[[#This Row],[order_date]],"dddd")</f>
        <v>Thursday</v>
      </c>
      <c r="H1942" s="2">
        <v>0.61792824074074071</v>
      </c>
      <c r="I1942">
        <v>20.5</v>
      </c>
      <c r="J1942">
        <v>20.5</v>
      </c>
      <c r="K1942" t="s">
        <v>58</v>
      </c>
      <c r="L1942" t="s">
        <v>13</v>
      </c>
      <c r="M1942" t="s">
        <v>32</v>
      </c>
      <c r="N1942" t="s">
        <v>33</v>
      </c>
    </row>
    <row r="1943" spans="1:14" x14ac:dyDescent="0.25">
      <c r="A1943">
        <v>16490</v>
      </c>
      <c r="B1943">
        <v>7257</v>
      </c>
      <c r="C1943">
        <f>1/COUNTIF(B:B,pizza_sales[[#This Row],[order_id]])</f>
        <v>0.5</v>
      </c>
      <c r="D1943" t="s">
        <v>42</v>
      </c>
      <c r="E1943">
        <v>1</v>
      </c>
      <c r="F1943" s="1">
        <v>42040</v>
      </c>
      <c r="G1943" s="1" t="str">
        <f>TEXT(pizza_sales[[#This Row],[order_date]],"dddd")</f>
        <v>Thursday</v>
      </c>
      <c r="H1943" s="2">
        <v>0.61792824074074071</v>
      </c>
      <c r="I1943">
        <v>12.5</v>
      </c>
      <c r="J1943">
        <v>12.5</v>
      </c>
      <c r="K1943" t="s">
        <v>59</v>
      </c>
      <c r="L1943" t="s">
        <v>13</v>
      </c>
      <c r="M1943" t="s">
        <v>26</v>
      </c>
      <c r="N1943" t="s">
        <v>27</v>
      </c>
    </row>
    <row r="1944" spans="1:14" x14ac:dyDescent="0.25">
      <c r="A1944">
        <v>16496</v>
      </c>
      <c r="B1944">
        <v>7260</v>
      </c>
      <c r="C1944">
        <f>1/COUNTIF(B:B,pizza_sales[[#This Row],[order_id]])</f>
        <v>1</v>
      </c>
      <c r="D1944" t="s">
        <v>50</v>
      </c>
      <c r="E1944">
        <v>1</v>
      </c>
      <c r="F1944" s="1">
        <v>42040</v>
      </c>
      <c r="G1944" s="1" t="str">
        <f>TEXT(pizza_sales[[#This Row],[order_date]],"dddd")</f>
        <v>Thursday</v>
      </c>
      <c r="H1944" s="2">
        <v>0.63027777777777783</v>
      </c>
      <c r="I1944">
        <v>16</v>
      </c>
      <c r="J1944">
        <v>16</v>
      </c>
      <c r="K1944" t="s">
        <v>59</v>
      </c>
      <c r="L1944" t="s">
        <v>13</v>
      </c>
      <c r="M1944" t="s">
        <v>32</v>
      </c>
      <c r="N1944" t="s">
        <v>33</v>
      </c>
    </row>
    <row r="1945" spans="1:14" x14ac:dyDescent="0.25">
      <c r="A1945">
        <v>16505</v>
      </c>
      <c r="B1945">
        <v>7265</v>
      </c>
      <c r="C1945">
        <f>1/COUNTIF(B:B,pizza_sales[[#This Row],[order_id]])</f>
        <v>0.5</v>
      </c>
      <c r="D1945" t="s">
        <v>45</v>
      </c>
      <c r="E1945">
        <v>1</v>
      </c>
      <c r="F1945" s="1">
        <v>42040</v>
      </c>
      <c r="G1945" s="1" t="str">
        <f>TEXT(pizza_sales[[#This Row],[order_date]],"dddd")</f>
        <v>Thursday</v>
      </c>
      <c r="H1945" s="2">
        <v>0.67175925925925928</v>
      </c>
      <c r="I1945">
        <v>10.5</v>
      </c>
      <c r="J1945">
        <v>10.5</v>
      </c>
      <c r="K1945" t="s">
        <v>60</v>
      </c>
      <c r="L1945" t="s">
        <v>13</v>
      </c>
      <c r="M1945" t="s">
        <v>14</v>
      </c>
      <c r="N1945" t="s">
        <v>15</v>
      </c>
    </row>
    <row r="1946" spans="1:14" x14ac:dyDescent="0.25">
      <c r="A1946">
        <v>16506</v>
      </c>
      <c r="B1946">
        <v>7265</v>
      </c>
      <c r="C1946">
        <f>1/COUNTIF(B:B,pizza_sales[[#This Row],[order_id]])</f>
        <v>0.5</v>
      </c>
      <c r="D1946" t="s">
        <v>44</v>
      </c>
      <c r="E1946">
        <v>1</v>
      </c>
      <c r="F1946" s="1">
        <v>42040</v>
      </c>
      <c r="G1946" s="1" t="str">
        <f>TEXT(pizza_sales[[#This Row],[order_date]],"dddd")</f>
        <v>Thursday</v>
      </c>
      <c r="H1946" s="2">
        <v>0.67175925925925928</v>
      </c>
      <c r="I1946">
        <v>9.75</v>
      </c>
      <c r="J1946">
        <v>9.75</v>
      </c>
      <c r="K1946" t="s">
        <v>60</v>
      </c>
      <c r="L1946" t="s">
        <v>13</v>
      </c>
      <c r="M1946" t="s">
        <v>26</v>
      </c>
      <c r="N1946" t="s">
        <v>27</v>
      </c>
    </row>
    <row r="1947" spans="1:14" x14ac:dyDescent="0.25">
      <c r="A1947">
        <v>16514</v>
      </c>
      <c r="B1947">
        <v>7270</v>
      </c>
      <c r="C1947">
        <f>1/COUNTIF(B:B,pizza_sales[[#This Row],[order_id]])</f>
        <v>1</v>
      </c>
      <c r="D1947" t="s">
        <v>45</v>
      </c>
      <c r="E1947">
        <v>1</v>
      </c>
      <c r="F1947" s="1">
        <v>42040</v>
      </c>
      <c r="G1947" s="1" t="str">
        <f>TEXT(pizza_sales[[#This Row],[order_date]],"dddd")</f>
        <v>Thursday</v>
      </c>
      <c r="H1947" s="2">
        <v>0.70709490740740744</v>
      </c>
      <c r="I1947">
        <v>10.5</v>
      </c>
      <c r="J1947">
        <v>10.5</v>
      </c>
      <c r="K1947" t="s">
        <v>60</v>
      </c>
      <c r="L1947" t="s">
        <v>13</v>
      </c>
      <c r="M1947" t="s">
        <v>14</v>
      </c>
      <c r="N1947" t="s">
        <v>15</v>
      </c>
    </row>
    <row r="1948" spans="1:14" x14ac:dyDescent="0.25">
      <c r="A1948">
        <v>16516</v>
      </c>
      <c r="B1948">
        <v>7272</v>
      </c>
      <c r="C1948">
        <f>1/COUNTIF(B:B,pizza_sales[[#This Row],[order_id]])</f>
        <v>1</v>
      </c>
      <c r="D1948" t="s">
        <v>28</v>
      </c>
      <c r="E1948">
        <v>1</v>
      </c>
      <c r="F1948" s="1">
        <v>42040</v>
      </c>
      <c r="G1948" s="1" t="str">
        <f>TEXT(pizza_sales[[#This Row],[order_date]],"dddd")</f>
        <v>Thursday</v>
      </c>
      <c r="H1948" s="2">
        <v>0.71050925925925923</v>
      </c>
      <c r="I1948">
        <v>12</v>
      </c>
      <c r="J1948">
        <v>12</v>
      </c>
      <c r="K1948" t="s">
        <v>60</v>
      </c>
      <c r="L1948" t="s">
        <v>13</v>
      </c>
      <c r="M1948" t="s">
        <v>29</v>
      </c>
      <c r="N1948" t="s">
        <v>30</v>
      </c>
    </row>
    <row r="1949" spans="1:14" x14ac:dyDescent="0.25">
      <c r="A1949">
        <v>16521</v>
      </c>
      <c r="B1949">
        <v>7274</v>
      </c>
      <c r="C1949">
        <f>1/COUNTIF(B:B,pizza_sales[[#This Row],[order_id]])</f>
        <v>1</v>
      </c>
      <c r="D1949" t="s">
        <v>16</v>
      </c>
      <c r="E1949">
        <v>1</v>
      </c>
      <c r="F1949" s="1">
        <v>42040</v>
      </c>
      <c r="G1949" s="1" t="str">
        <f>TEXT(pizza_sales[[#This Row],[order_date]],"dddd")</f>
        <v>Thursday</v>
      </c>
      <c r="H1949" s="2">
        <v>0.71630787037037036</v>
      </c>
      <c r="I1949">
        <v>16</v>
      </c>
      <c r="J1949">
        <v>16</v>
      </c>
      <c r="K1949" t="s">
        <v>59</v>
      </c>
      <c r="L1949" t="s">
        <v>17</v>
      </c>
      <c r="M1949" t="s">
        <v>18</v>
      </c>
      <c r="N1949" t="s">
        <v>19</v>
      </c>
    </row>
    <row r="1950" spans="1:14" x14ac:dyDescent="0.25">
      <c r="A1950">
        <v>16525</v>
      </c>
      <c r="B1950">
        <v>7276</v>
      </c>
      <c r="C1950">
        <f>1/COUNTIF(B:B,pizza_sales[[#This Row],[order_id]])</f>
        <v>1</v>
      </c>
      <c r="D1950" t="s">
        <v>28</v>
      </c>
      <c r="E1950">
        <v>1</v>
      </c>
      <c r="F1950" s="1">
        <v>42040</v>
      </c>
      <c r="G1950" s="1" t="str">
        <f>TEXT(pizza_sales[[#This Row],[order_date]],"dddd")</f>
        <v>Thursday</v>
      </c>
      <c r="H1950" s="2">
        <v>0.73516203703703709</v>
      </c>
      <c r="I1950">
        <v>12</v>
      </c>
      <c r="J1950">
        <v>12</v>
      </c>
      <c r="K1950" t="s">
        <v>60</v>
      </c>
      <c r="L1950" t="s">
        <v>13</v>
      </c>
      <c r="M1950" t="s">
        <v>29</v>
      </c>
      <c r="N1950" t="s">
        <v>30</v>
      </c>
    </row>
    <row r="1951" spans="1:14" x14ac:dyDescent="0.25">
      <c r="A1951">
        <v>16532</v>
      </c>
      <c r="B1951">
        <v>7280</v>
      </c>
      <c r="C1951">
        <f>1/COUNTIF(B:B,pizza_sales[[#This Row],[order_id]])</f>
        <v>1</v>
      </c>
      <c r="D1951" t="s">
        <v>46</v>
      </c>
      <c r="E1951">
        <v>1</v>
      </c>
      <c r="F1951" s="1">
        <v>42040</v>
      </c>
      <c r="G1951" s="1" t="str">
        <f>TEXT(pizza_sales[[#This Row],[order_date]],"dddd")</f>
        <v>Thursday</v>
      </c>
      <c r="H1951" s="2">
        <v>0.76124999999999998</v>
      </c>
      <c r="I1951">
        <v>25.5</v>
      </c>
      <c r="J1951">
        <v>25.5</v>
      </c>
      <c r="K1951" t="s">
        <v>61</v>
      </c>
      <c r="L1951" t="s">
        <v>13</v>
      </c>
      <c r="M1951" t="s">
        <v>21</v>
      </c>
      <c r="N1951" t="s">
        <v>22</v>
      </c>
    </row>
    <row r="1952" spans="1:14" x14ac:dyDescent="0.25">
      <c r="A1952">
        <v>16543</v>
      </c>
      <c r="B1952">
        <v>7284</v>
      </c>
      <c r="C1952">
        <f>1/COUNTIF(B:B,pizza_sales[[#This Row],[order_id]])</f>
        <v>1</v>
      </c>
      <c r="D1952" t="s">
        <v>54</v>
      </c>
      <c r="E1952">
        <v>1</v>
      </c>
      <c r="F1952" s="1">
        <v>42040</v>
      </c>
      <c r="G1952" s="1" t="str">
        <f>TEXT(pizza_sales[[#This Row],[order_date]],"dddd")</f>
        <v>Thursday</v>
      </c>
      <c r="H1952" s="2">
        <v>0.77204861111111112</v>
      </c>
      <c r="I1952">
        <v>12.25</v>
      </c>
      <c r="J1952">
        <v>12.25</v>
      </c>
      <c r="K1952" t="s">
        <v>60</v>
      </c>
      <c r="L1952" t="s">
        <v>35</v>
      </c>
      <c r="M1952" t="s">
        <v>36</v>
      </c>
      <c r="N1952" t="s">
        <v>37</v>
      </c>
    </row>
    <row r="1953" spans="1:14" x14ac:dyDescent="0.25">
      <c r="A1953">
        <v>16547</v>
      </c>
      <c r="B1953">
        <v>7286</v>
      </c>
      <c r="C1953">
        <f>1/COUNTIF(B:B,pizza_sales[[#This Row],[order_id]])</f>
        <v>1</v>
      </c>
      <c r="D1953" t="s">
        <v>25</v>
      </c>
      <c r="E1953">
        <v>1</v>
      </c>
      <c r="F1953" s="1">
        <v>42040</v>
      </c>
      <c r="G1953" s="1" t="str">
        <f>TEXT(pizza_sales[[#This Row],[order_date]],"dddd")</f>
        <v>Thursday</v>
      </c>
      <c r="H1953" s="2">
        <v>0.77927083333333336</v>
      </c>
      <c r="I1953">
        <v>15.25</v>
      </c>
      <c r="J1953">
        <v>15.25</v>
      </c>
      <c r="K1953" t="s">
        <v>58</v>
      </c>
      <c r="L1953" t="s">
        <v>13</v>
      </c>
      <c r="M1953" t="s">
        <v>26</v>
      </c>
      <c r="N1953" t="s">
        <v>27</v>
      </c>
    </row>
    <row r="1954" spans="1:14" x14ac:dyDescent="0.25">
      <c r="A1954">
        <v>16548</v>
      </c>
      <c r="B1954">
        <v>7287</v>
      </c>
      <c r="C1954">
        <f>1/COUNTIF(B:B,pizza_sales[[#This Row],[order_id]])</f>
        <v>1</v>
      </c>
      <c r="D1954" t="s">
        <v>46</v>
      </c>
      <c r="E1954">
        <v>1</v>
      </c>
      <c r="F1954" s="1">
        <v>42040</v>
      </c>
      <c r="G1954" s="1" t="str">
        <f>TEXT(pizza_sales[[#This Row],[order_date]],"dddd")</f>
        <v>Thursday</v>
      </c>
      <c r="H1954" s="2">
        <v>0.79378472222222218</v>
      </c>
      <c r="I1954">
        <v>25.5</v>
      </c>
      <c r="J1954">
        <v>25.5</v>
      </c>
      <c r="K1954" t="s">
        <v>61</v>
      </c>
      <c r="L1954" t="s">
        <v>13</v>
      </c>
      <c r="M1954" t="s">
        <v>21</v>
      </c>
      <c r="N1954" t="s">
        <v>22</v>
      </c>
    </row>
    <row r="1955" spans="1:14" x14ac:dyDescent="0.25">
      <c r="A1955">
        <v>16560</v>
      </c>
      <c r="B1955">
        <v>7292</v>
      </c>
      <c r="C1955">
        <f>1/COUNTIF(B:B,pizza_sales[[#This Row],[order_id]])</f>
        <v>1</v>
      </c>
      <c r="D1955" t="s">
        <v>45</v>
      </c>
      <c r="E1955">
        <v>1</v>
      </c>
      <c r="F1955" s="1">
        <v>42040</v>
      </c>
      <c r="G1955" s="1" t="str">
        <f>TEXT(pizza_sales[[#This Row],[order_date]],"dddd")</f>
        <v>Thursday</v>
      </c>
      <c r="H1955" s="2">
        <v>0.82024305555555554</v>
      </c>
      <c r="I1955">
        <v>10.5</v>
      </c>
      <c r="J1955">
        <v>10.5</v>
      </c>
      <c r="K1955" t="s">
        <v>60</v>
      </c>
      <c r="L1955" t="s">
        <v>13</v>
      </c>
      <c r="M1955" t="s">
        <v>14</v>
      </c>
      <c r="N1955" t="s">
        <v>15</v>
      </c>
    </row>
    <row r="1956" spans="1:14" x14ac:dyDescent="0.25">
      <c r="A1956">
        <v>16561</v>
      </c>
      <c r="B1956">
        <v>7293</v>
      </c>
      <c r="C1956">
        <f>1/COUNTIF(B:B,pizza_sales[[#This Row],[order_id]])</f>
        <v>1</v>
      </c>
      <c r="D1956" t="s">
        <v>28</v>
      </c>
      <c r="E1956">
        <v>1</v>
      </c>
      <c r="F1956" s="1">
        <v>42040</v>
      </c>
      <c r="G1956" s="1" t="str">
        <f>TEXT(pizza_sales[[#This Row],[order_date]],"dddd")</f>
        <v>Thursday</v>
      </c>
      <c r="H1956" s="2">
        <v>0.82968750000000002</v>
      </c>
      <c r="I1956">
        <v>12</v>
      </c>
      <c r="J1956">
        <v>12</v>
      </c>
      <c r="K1956" t="s">
        <v>60</v>
      </c>
      <c r="L1956" t="s">
        <v>13</v>
      </c>
      <c r="M1956" t="s">
        <v>29</v>
      </c>
      <c r="N1956" t="s">
        <v>30</v>
      </c>
    </row>
    <row r="1957" spans="1:14" x14ac:dyDescent="0.25">
      <c r="A1957">
        <v>16565</v>
      </c>
      <c r="B1957">
        <v>7294</v>
      </c>
      <c r="C1957">
        <f>1/COUNTIF(B:B,pizza_sales[[#This Row],[order_id]])</f>
        <v>1</v>
      </c>
      <c r="D1957" t="s">
        <v>39</v>
      </c>
      <c r="E1957">
        <v>1</v>
      </c>
      <c r="F1957" s="1">
        <v>42040</v>
      </c>
      <c r="G1957" s="1" t="str">
        <f>TEXT(pizza_sales[[#This Row],[order_date]],"dddd")</f>
        <v>Thursday</v>
      </c>
      <c r="H1957" s="2">
        <v>0.83627314814814813</v>
      </c>
      <c r="I1957">
        <v>20.25</v>
      </c>
      <c r="J1957">
        <v>20.25</v>
      </c>
      <c r="K1957" t="s">
        <v>58</v>
      </c>
      <c r="L1957" t="s">
        <v>35</v>
      </c>
      <c r="M1957" t="s">
        <v>40</v>
      </c>
      <c r="N1957" t="s">
        <v>41</v>
      </c>
    </row>
    <row r="1958" spans="1:14" x14ac:dyDescent="0.25">
      <c r="A1958">
        <v>16576</v>
      </c>
      <c r="B1958">
        <v>7301</v>
      </c>
      <c r="C1958">
        <f>1/COUNTIF(B:B,pizza_sales[[#This Row],[order_id]])</f>
        <v>1</v>
      </c>
      <c r="D1958" t="s">
        <v>25</v>
      </c>
      <c r="E1958">
        <v>1</v>
      </c>
      <c r="F1958" s="1">
        <v>42040</v>
      </c>
      <c r="G1958" s="1" t="str">
        <f>TEXT(pizza_sales[[#This Row],[order_date]],"dddd")</f>
        <v>Thursday</v>
      </c>
      <c r="H1958" s="2">
        <v>0.86731481481481476</v>
      </c>
      <c r="I1958">
        <v>15.25</v>
      </c>
      <c r="J1958">
        <v>15.25</v>
      </c>
      <c r="K1958" t="s">
        <v>58</v>
      </c>
      <c r="L1958" t="s">
        <v>13</v>
      </c>
      <c r="M1958" t="s">
        <v>26</v>
      </c>
      <c r="N1958" t="s">
        <v>27</v>
      </c>
    </row>
    <row r="1959" spans="1:14" x14ac:dyDescent="0.25">
      <c r="A1959">
        <v>16581</v>
      </c>
      <c r="B1959">
        <v>7303</v>
      </c>
      <c r="C1959">
        <f>1/COUNTIF(B:B,pizza_sales[[#This Row],[order_id]])</f>
        <v>0.5</v>
      </c>
      <c r="D1959" t="s">
        <v>55</v>
      </c>
      <c r="E1959">
        <v>1</v>
      </c>
      <c r="F1959" s="1">
        <v>42040</v>
      </c>
      <c r="G1959" s="1" t="str">
        <f>TEXT(pizza_sales[[#This Row],[order_date]],"dddd")</f>
        <v>Thursday</v>
      </c>
      <c r="H1959" s="2">
        <v>0.87005787037037041</v>
      </c>
      <c r="I1959">
        <v>20.5</v>
      </c>
      <c r="J1959">
        <v>20.5</v>
      </c>
      <c r="K1959" t="s">
        <v>58</v>
      </c>
      <c r="L1959" t="s">
        <v>13</v>
      </c>
      <c r="M1959" t="s">
        <v>21</v>
      </c>
      <c r="N1959" t="s">
        <v>22</v>
      </c>
    </row>
    <row r="1960" spans="1:14" x14ac:dyDescent="0.25">
      <c r="A1960">
        <v>16582</v>
      </c>
      <c r="B1960">
        <v>7303</v>
      </c>
      <c r="C1960">
        <f>1/COUNTIF(B:B,pizza_sales[[#This Row],[order_id]])</f>
        <v>0.5</v>
      </c>
      <c r="D1960" t="s">
        <v>46</v>
      </c>
      <c r="E1960">
        <v>1</v>
      </c>
      <c r="F1960" s="1">
        <v>42040</v>
      </c>
      <c r="G1960" s="1" t="str">
        <f>TEXT(pizza_sales[[#This Row],[order_date]],"dddd")</f>
        <v>Thursday</v>
      </c>
      <c r="H1960" s="2">
        <v>0.87005787037037041</v>
      </c>
      <c r="I1960">
        <v>25.5</v>
      </c>
      <c r="J1960">
        <v>25.5</v>
      </c>
      <c r="K1960" t="s">
        <v>61</v>
      </c>
      <c r="L1960" t="s">
        <v>13</v>
      </c>
      <c r="M1960" t="s">
        <v>21</v>
      </c>
      <c r="N1960" t="s">
        <v>22</v>
      </c>
    </row>
    <row r="1961" spans="1:14" x14ac:dyDescent="0.25">
      <c r="A1961">
        <v>16583</v>
      </c>
      <c r="B1961">
        <v>7304</v>
      </c>
      <c r="C1961">
        <f>1/COUNTIF(B:B,pizza_sales[[#This Row],[order_id]])</f>
        <v>0.5</v>
      </c>
      <c r="D1961" t="s">
        <v>28</v>
      </c>
      <c r="E1961">
        <v>1</v>
      </c>
      <c r="F1961" s="1">
        <v>42040</v>
      </c>
      <c r="G1961" s="1" t="str">
        <f>TEXT(pizza_sales[[#This Row],[order_date]],"dddd")</f>
        <v>Thursday</v>
      </c>
      <c r="H1961" s="2">
        <v>0.88851851851851849</v>
      </c>
      <c r="I1961">
        <v>12</v>
      </c>
      <c r="J1961">
        <v>12</v>
      </c>
      <c r="K1961" t="s">
        <v>60</v>
      </c>
      <c r="L1961" t="s">
        <v>13</v>
      </c>
      <c r="M1961" t="s">
        <v>29</v>
      </c>
      <c r="N1961" t="s">
        <v>30</v>
      </c>
    </row>
    <row r="1962" spans="1:14" x14ac:dyDescent="0.25">
      <c r="A1962">
        <v>16585</v>
      </c>
      <c r="B1962">
        <v>7304</v>
      </c>
      <c r="C1962">
        <f>1/COUNTIF(B:B,pizza_sales[[#This Row],[order_id]])</f>
        <v>0.5</v>
      </c>
      <c r="D1962" t="s">
        <v>42</v>
      </c>
      <c r="E1962">
        <v>1</v>
      </c>
      <c r="F1962" s="1">
        <v>42040</v>
      </c>
      <c r="G1962" s="1" t="str">
        <f>TEXT(pizza_sales[[#This Row],[order_date]],"dddd")</f>
        <v>Thursday</v>
      </c>
      <c r="H1962" s="2">
        <v>0.88851851851851849</v>
      </c>
      <c r="I1962">
        <v>12.5</v>
      </c>
      <c r="J1962">
        <v>12.5</v>
      </c>
      <c r="K1962" t="s">
        <v>59</v>
      </c>
      <c r="L1962" t="s">
        <v>13</v>
      </c>
      <c r="M1962" t="s">
        <v>26</v>
      </c>
      <c r="N1962" t="s">
        <v>27</v>
      </c>
    </row>
    <row r="1963" spans="1:14" x14ac:dyDescent="0.25">
      <c r="A1963">
        <v>16595</v>
      </c>
      <c r="B1963">
        <v>7307</v>
      </c>
      <c r="C1963">
        <f>1/COUNTIF(B:B,pizza_sales[[#This Row],[order_id]])</f>
        <v>1</v>
      </c>
      <c r="D1963" t="s">
        <v>48</v>
      </c>
      <c r="E1963">
        <v>1</v>
      </c>
      <c r="F1963" s="1">
        <v>42040</v>
      </c>
      <c r="G1963" s="1" t="str">
        <f>TEXT(pizza_sales[[#This Row],[order_date]],"dddd")</f>
        <v>Thursday</v>
      </c>
      <c r="H1963" s="2">
        <v>0.91118055555555555</v>
      </c>
      <c r="I1963">
        <v>12.25</v>
      </c>
      <c r="J1963">
        <v>12.25</v>
      </c>
      <c r="K1963" t="s">
        <v>60</v>
      </c>
      <c r="L1963" t="s">
        <v>35</v>
      </c>
      <c r="M1963" t="s">
        <v>40</v>
      </c>
      <c r="N1963" t="s">
        <v>41</v>
      </c>
    </row>
    <row r="1964" spans="1:14" x14ac:dyDescent="0.25">
      <c r="A1964">
        <v>16607</v>
      </c>
      <c r="B1964">
        <v>7315</v>
      </c>
      <c r="C1964">
        <f>1/COUNTIF(B:B,pizza_sales[[#This Row],[order_id]])</f>
        <v>1</v>
      </c>
      <c r="D1964" t="s">
        <v>16</v>
      </c>
      <c r="E1964">
        <v>1</v>
      </c>
      <c r="F1964" s="1">
        <v>42068</v>
      </c>
      <c r="G1964" s="1" t="str">
        <f>TEXT(pizza_sales[[#This Row],[order_date]],"dddd")</f>
        <v>Thursday</v>
      </c>
      <c r="H1964" s="2">
        <v>0.50380787037037034</v>
      </c>
      <c r="I1964">
        <v>16</v>
      </c>
      <c r="J1964">
        <v>16</v>
      </c>
      <c r="K1964" t="s">
        <v>59</v>
      </c>
      <c r="L1964" t="s">
        <v>17</v>
      </c>
      <c r="M1964" t="s">
        <v>18</v>
      </c>
      <c r="N1964" t="s">
        <v>19</v>
      </c>
    </row>
    <row r="1965" spans="1:14" x14ac:dyDescent="0.25">
      <c r="A1965">
        <v>16610</v>
      </c>
      <c r="B1965">
        <v>7317</v>
      </c>
      <c r="C1965">
        <f>1/COUNTIF(B:B,pizza_sales[[#This Row],[order_id]])</f>
        <v>1</v>
      </c>
      <c r="D1965" t="s">
        <v>28</v>
      </c>
      <c r="E1965">
        <v>1</v>
      </c>
      <c r="F1965" s="1">
        <v>42068</v>
      </c>
      <c r="G1965" s="1" t="str">
        <f>TEXT(pizza_sales[[#This Row],[order_date]],"dddd")</f>
        <v>Thursday</v>
      </c>
      <c r="H1965" s="2">
        <v>0.52173611111111107</v>
      </c>
      <c r="I1965">
        <v>12</v>
      </c>
      <c r="J1965">
        <v>12</v>
      </c>
      <c r="K1965" t="s">
        <v>60</v>
      </c>
      <c r="L1965" t="s">
        <v>13</v>
      </c>
      <c r="M1965" t="s">
        <v>29</v>
      </c>
      <c r="N1965" t="s">
        <v>30</v>
      </c>
    </row>
    <row r="1966" spans="1:14" x14ac:dyDescent="0.25">
      <c r="A1966">
        <v>16613</v>
      </c>
      <c r="B1966">
        <v>7318</v>
      </c>
      <c r="C1966">
        <f>1/COUNTIF(B:B,pizza_sales[[#This Row],[order_id]])</f>
        <v>0.5</v>
      </c>
      <c r="D1966" t="s">
        <v>47</v>
      </c>
      <c r="E1966">
        <v>1</v>
      </c>
      <c r="F1966" s="1">
        <v>42068</v>
      </c>
      <c r="G1966" s="1" t="str">
        <f>TEXT(pizza_sales[[#This Row],[order_date]],"dddd")</f>
        <v>Thursday</v>
      </c>
      <c r="H1966" s="2">
        <v>0.52210648148148153</v>
      </c>
      <c r="I1966">
        <v>16.5</v>
      </c>
      <c r="J1966">
        <v>16.5</v>
      </c>
      <c r="K1966" t="s">
        <v>58</v>
      </c>
      <c r="L1966" t="s">
        <v>13</v>
      </c>
      <c r="M1966" t="s">
        <v>14</v>
      </c>
      <c r="N1966" t="s">
        <v>15</v>
      </c>
    </row>
    <row r="1967" spans="1:14" x14ac:dyDescent="0.25">
      <c r="A1967">
        <v>16614</v>
      </c>
      <c r="B1967">
        <v>7318</v>
      </c>
      <c r="C1967">
        <f>1/COUNTIF(B:B,pizza_sales[[#This Row],[order_id]])</f>
        <v>0.5</v>
      </c>
      <c r="D1967" t="s">
        <v>25</v>
      </c>
      <c r="E1967">
        <v>1</v>
      </c>
      <c r="F1967" s="1">
        <v>42068</v>
      </c>
      <c r="G1967" s="1" t="str">
        <f>TEXT(pizza_sales[[#This Row],[order_date]],"dddd")</f>
        <v>Thursday</v>
      </c>
      <c r="H1967" s="2">
        <v>0.52210648148148153</v>
      </c>
      <c r="I1967">
        <v>15.25</v>
      </c>
      <c r="J1967">
        <v>15.25</v>
      </c>
      <c r="K1967" t="s">
        <v>58</v>
      </c>
      <c r="L1967" t="s">
        <v>13</v>
      </c>
      <c r="M1967" t="s">
        <v>26</v>
      </c>
      <c r="N1967" t="s">
        <v>27</v>
      </c>
    </row>
    <row r="1968" spans="1:14" x14ac:dyDescent="0.25">
      <c r="A1968">
        <v>16622</v>
      </c>
      <c r="B1968">
        <v>7322</v>
      </c>
      <c r="C1968">
        <f>1/COUNTIF(B:B,pizza_sales[[#This Row],[order_id]])</f>
        <v>1</v>
      </c>
      <c r="D1968" t="s">
        <v>44</v>
      </c>
      <c r="E1968">
        <v>1</v>
      </c>
      <c r="F1968" s="1">
        <v>42068</v>
      </c>
      <c r="G1968" s="1" t="str">
        <f>TEXT(pizza_sales[[#This Row],[order_date]],"dddd")</f>
        <v>Thursday</v>
      </c>
      <c r="H1968" s="2">
        <v>0.57575231481481481</v>
      </c>
      <c r="I1968">
        <v>9.75</v>
      </c>
      <c r="J1968">
        <v>9.75</v>
      </c>
      <c r="K1968" t="s">
        <v>60</v>
      </c>
      <c r="L1968" t="s">
        <v>13</v>
      </c>
      <c r="M1968" t="s">
        <v>26</v>
      </c>
      <c r="N1968" t="s">
        <v>27</v>
      </c>
    </row>
    <row r="1969" spans="1:14" x14ac:dyDescent="0.25">
      <c r="A1969">
        <v>16624</v>
      </c>
      <c r="B1969">
        <v>7323</v>
      </c>
      <c r="C1969">
        <f>1/COUNTIF(B:B,pizza_sales[[#This Row],[order_id]])</f>
        <v>0.5</v>
      </c>
      <c r="D1969" t="s">
        <v>28</v>
      </c>
      <c r="E1969">
        <v>1</v>
      </c>
      <c r="F1969" s="1">
        <v>42068</v>
      </c>
      <c r="G1969" s="1" t="str">
        <f>TEXT(pizza_sales[[#This Row],[order_date]],"dddd")</f>
        <v>Thursday</v>
      </c>
      <c r="H1969" s="2">
        <v>0.57715277777777774</v>
      </c>
      <c r="I1969">
        <v>12</v>
      </c>
      <c r="J1969">
        <v>12</v>
      </c>
      <c r="K1969" t="s">
        <v>60</v>
      </c>
      <c r="L1969" t="s">
        <v>13</v>
      </c>
      <c r="M1969" t="s">
        <v>29</v>
      </c>
      <c r="N1969" t="s">
        <v>30</v>
      </c>
    </row>
    <row r="1970" spans="1:14" x14ac:dyDescent="0.25">
      <c r="A1970">
        <v>16628</v>
      </c>
      <c r="B1970">
        <v>7323</v>
      </c>
      <c r="C1970">
        <f>1/COUNTIF(B:B,pizza_sales[[#This Row],[order_id]])</f>
        <v>0.5</v>
      </c>
      <c r="D1970" t="s">
        <v>47</v>
      </c>
      <c r="E1970">
        <v>1</v>
      </c>
      <c r="F1970" s="1">
        <v>42068</v>
      </c>
      <c r="G1970" s="1" t="str">
        <f>TEXT(pizza_sales[[#This Row],[order_date]],"dddd")</f>
        <v>Thursday</v>
      </c>
      <c r="H1970" s="2">
        <v>0.57715277777777774</v>
      </c>
      <c r="I1970">
        <v>16.5</v>
      </c>
      <c r="J1970">
        <v>16.5</v>
      </c>
      <c r="K1970" t="s">
        <v>58</v>
      </c>
      <c r="L1970" t="s">
        <v>13</v>
      </c>
      <c r="M1970" t="s">
        <v>14</v>
      </c>
      <c r="N1970" t="s">
        <v>15</v>
      </c>
    </row>
    <row r="1971" spans="1:14" x14ac:dyDescent="0.25">
      <c r="A1971">
        <v>16639</v>
      </c>
      <c r="B1971">
        <v>7325</v>
      </c>
      <c r="C1971">
        <f>1/COUNTIF(B:B,pizza_sales[[#This Row],[order_id]])</f>
        <v>1</v>
      </c>
      <c r="D1971" t="s">
        <v>43</v>
      </c>
      <c r="E1971">
        <v>1</v>
      </c>
      <c r="F1971" s="1">
        <v>42068</v>
      </c>
      <c r="G1971" s="1" t="str">
        <f>TEXT(pizza_sales[[#This Row],[order_date]],"dddd")</f>
        <v>Thursday</v>
      </c>
      <c r="H1971" s="2">
        <v>0.60339120370370369</v>
      </c>
      <c r="I1971">
        <v>16.25</v>
      </c>
      <c r="J1971">
        <v>16.25</v>
      </c>
      <c r="K1971" t="s">
        <v>59</v>
      </c>
      <c r="L1971" t="s">
        <v>35</v>
      </c>
      <c r="M1971" t="s">
        <v>40</v>
      </c>
      <c r="N1971" t="s">
        <v>41</v>
      </c>
    </row>
    <row r="1972" spans="1:14" x14ac:dyDescent="0.25">
      <c r="A1972">
        <v>16640</v>
      </c>
      <c r="B1972">
        <v>7326</v>
      </c>
      <c r="C1972">
        <f>1/COUNTIF(B:B,pizza_sales[[#This Row],[order_id]])</f>
        <v>1</v>
      </c>
      <c r="D1972" t="s">
        <v>28</v>
      </c>
      <c r="E1972">
        <v>1</v>
      </c>
      <c r="F1972" s="1">
        <v>42068</v>
      </c>
      <c r="G1972" s="1" t="str">
        <f>TEXT(pizza_sales[[#This Row],[order_date]],"dddd")</f>
        <v>Thursday</v>
      </c>
      <c r="H1972" s="2">
        <v>0.60665509259259254</v>
      </c>
      <c r="I1972">
        <v>12</v>
      </c>
      <c r="J1972">
        <v>12</v>
      </c>
      <c r="K1972" t="s">
        <v>60</v>
      </c>
      <c r="L1972" t="s">
        <v>13</v>
      </c>
      <c r="M1972" t="s">
        <v>29</v>
      </c>
      <c r="N1972" t="s">
        <v>30</v>
      </c>
    </row>
    <row r="1973" spans="1:14" x14ac:dyDescent="0.25">
      <c r="A1973">
        <v>16641</v>
      </c>
      <c r="B1973">
        <v>7327</v>
      </c>
      <c r="C1973">
        <f>1/COUNTIF(B:B,pizza_sales[[#This Row],[order_id]])</f>
        <v>1</v>
      </c>
      <c r="D1973" t="s">
        <v>51</v>
      </c>
      <c r="E1973">
        <v>1</v>
      </c>
      <c r="F1973" s="1">
        <v>42068</v>
      </c>
      <c r="G1973" s="1" t="str">
        <f>TEXT(pizza_sales[[#This Row],[order_date]],"dddd")</f>
        <v>Thursday</v>
      </c>
      <c r="H1973" s="2">
        <v>0.6125694444444445</v>
      </c>
      <c r="I1973">
        <v>23.65</v>
      </c>
      <c r="J1973">
        <v>23.65</v>
      </c>
      <c r="K1973" t="s">
        <v>60</v>
      </c>
      <c r="L1973" t="s">
        <v>35</v>
      </c>
      <c r="M1973" t="s">
        <v>52</v>
      </c>
      <c r="N1973" t="s">
        <v>53</v>
      </c>
    </row>
    <row r="1974" spans="1:14" x14ac:dyDescent="0.25">
      <c r="A1974">
        <v>16658</v>
      </c>
      <c r="B1974">
        <v>7334</v>
      </c>
      <c r="C1974">
        <f>1/COUNTIF(B:B,pizza_sales[[#This Row],[order_id]])</f>
        <v>1</v>
      </c>
      <c r="D1974" t="s">
        <v>25</v>
      </c>
      <c r="E1974">
        <v>1</v>
      </c>
      <c r="F1974" s="1">
        <v>42068</v>
      </c>
      <c r="G1974" s="1" t="str">
        <f>TEXT(pizza_sales[[#This Row],[order_date]],"dddd")</f>
        <v>Thursday</v>
      </c>
      <c r="H1974" s="2">
        <v>0.6763541666666667</v>
      </c>
      <c r="I1974">
        <v>15.25</v>
      </c>
      <c r="J1974">
        <v>15.25</v>
      </c>
      <c r="K1974" t="s">
        <v>58</v>
      </c>
      <c r="L1974" t="s">
        <v>13</v>
      </c>
      <c r="M1974" t="s">
        <v>26</v>
      </c>
      <c r="N1974" t="s">
        <v>27</v>
      </c>
    </row>
    <row r="1975" spans="1:14" x14ac:dyDescent="0.25">
      <c r="A1975">
        <v>16661</v>
      </c>
      <c r="B1975">
        <v>7335</v>
      </c>
      <c r="C1975">
        <f>1/COUNTIF(B:B,pizza_sales[[#This Row],[order_id]])</f>
        <v>1</v>
      </c>
      <c r="D1975" t="s">
        <v>45</v>
      </c>
      <c r="E1975">
        <v>1</v>
      </c>
      <c r="F1975" s="1">
        <v>42068</v>
      </c>
      <c r="G1975" s="1" t="str">
        <f>TEXT(pizza_sales[[#This Row],[order_date]],"dddd")</f>
        <v>Thursday</v>
      </c>
      <c r="H1975" s="2">
        <v>0.67803240740740744</v>
      </c>
      <c r="I1975">
        <v>10.5</v>
      </c>
      <c r="J1975">
        <v>10.5</v>
      </c>
      <c r="K1975" t="s">
        <v>60</v>
      </c>
      <c r="L1975" t="s">
        <v>13</v>
      </c>
      <c r="M1975" t="s">
        <v>14</v>
      </c>
      <c r="N1975" t="s">
        <v>15</v>
      </c>
    </row>
    <row r="1976" spans="1:14" x14ac:dyDescent="0.25">
      <c r="A1976">
        <v>16662</v>
      </c>
      <c r="B1976">
        <v>7336</v>
      </c>
      <c r="C1976">
        <f>1/COUNTIF(B:B,pizza_sales[[#This Row],[order_id]])</f>
        <v>0.5</v>
      </c>
      <c r="D1976" t="s">
        <v>25</v>
      </c>
      <c r="E1976">
        <v>1</v>
      </c>
      <c r="F1976" s="1">
        <v>42068</v>
      </c>
      <c r="G1976" s="1" t="str">
        <f>TEXT(pizza_sales[[#This Row],[order_date]],"dddd")</f>
        <v>Thursday</v>
      </c>
      <c r="H1976" s="2">
        <v>0.68350694444444449</v>
      </c>
      <c r="I1976">
        <v>15.25</v>
      </c>
      <c r="J1976">
        <v>15.25</v>
      </c>
      <c r="K1976" t="s">
        <v>58</v>
      </c>
      <c r="L1976" t="s">
        <v>13</v>
      </c>
      <c r="M1976" t="s">
        <v>26</v>
      </c>
      <c r="N1976" t="s">
        <v>27</v>
      </c>
    </row>
    <row r="1977" spans="1:14" x14ac:dyDescent="0.25">
      <c r="A1977">
        <v>16663</v>
      </c>
      <c r="B1977">
        <v>7336</v>
      </c>
      <c r="C1977">
        <f>1/COUNTIF(B:B,pizza_sales[[#This Row],[order_id]])</f>
        <v>0.5</v>
      </c>
      <c r="D1977" t="s">
        <v>44</v>
      </c>
      <c r="E1977">
        <v>1</v>
      </c>
      <c r="F1977" s="1">
        <v>42068</v>
      </c>
      <c r="G1977" s="1" t="str">
        <f>TEXT(pizza_sales[[#This Row],[order_date]],"dddd")</f>
        <v>Thursday</v>
      </c>
      <c r="H1977" s="2">
        <v>0.68350694444444449</v>
      </c>
      <c r="I1977">
        <v>9.75</v>
      </c>
      <c r="J1977">
        <v>9.75</v>
      </c>
      <c r="K1977" t="s">
        <v>60</v>
      </c>
      <c r="L1977" t="s">
        <v>13</v>
      </c>
      <c r="M1977" t="s">
        <v>26</v>
      </c>
      <c r="N1977" t="s">
        <v>27</v>
      </c>
    </row>
    <row r="1978" spans="1:14" x14ac:dyDescent="0.25">
      <c r="A1978">
        <v>16669</v>
      </c>
      <c r="B1978">
        <v>7337</v>
      </c>
      <c r="C1978">
        <f>1/COUNTIF(B:B,pizza_sales[[#This Row],[order_id]])</f>
        <v>1</v>
      </c>
      <c r="D1978" t="s">
        <v>46</v>
      </c>
      <c r="E1978">
        <v>1</v>
      </c>
      <c r="F1978" s="1">
        <v>42068</v>
      </c>
      <c r="G1978" s="1" t="str">
        <f>TEXT(pizza_sales[[#This Row],[order_date]],"dddd")</f>
        <v>Thursday</v>
      </c>
      <c r="H1978" s="2">
        <v>0.69332175925925921</v>
      </c>
      <c r="I1978">
        <v>25.5</v>
      </c>
      <c r="J1978">
        <v>25.5</v>
      </c>
      <c r="K1978" t="s">
        <v>61</v>
      </c>
      <c r="L1978" t="s">
        <v>13</v>
      </c>
      <c r="M1978" t="s">
        <v>21</v>
      </c>
      <c r="N1978" t="s">
        <v>22</v>
      </c>
    </row>
    <row r="1979" spans="1:14" x14ac:dyDescent="0.25">
      <c r="A1979">
        <v>16670</v>
      </c>
      <c r="B1979">
        <v>7338</v>
      </c>
      <c r="C1979">
        <f>1/COUNTIF(B:B,pizza_sales[[#This Row],[order_id]])</f>
        <v>1</v>
      </c>
      <c r="D1979" t="s">
        <v>25</v>
      </c>
      <c r="E1979">
        <v>1</v>
      </c>
      <c r="F1979" s="1">
        <v>42068</v>
      </c>
      <c r="G1979" s="1" t="str">
        <f>TEXT(pizza_sales[[#This Row],[order_date]],"dddd")</f>
        <v>Thursday</v>
      </c>
      <c r="H1979" s="2">
        <v>0.69813657407407403</v>
      </c>
      <c r="I1979">
        <v>15.25</v>
      </c>
      <c r="J1979">
        <v>15.25</v>
      </c>
      <c r="K1979" t="s">
        <v>58</v>
      </c>
      <c r="L1979" t="s">
        <v>13</v>
      </c>
      <c r="M1979" t="s">
        <v>26</v>
      </c>
      <c r="N1979" t="s">
        <v>27</v>
      </c>
    </row>
    <row r="1980" spans="1:14" x14ac:dyDescent="0.25">
      <c r="A1980">
        <v>16673</v>
      </c>
      <c r="B1980">
        <v>7340</v>
      </c>
      <c r="C1980">
        <f>1/COUNTIF(B:B,pizza_sales[[#This Row],[order_id]])</f>
        <v>1</v>
      </c>
      <c r="D1980" t="s">
        <v>42</v>
      </c>
      <c r="E1980">
        <v>1</v>
      </c>
      <c r="F1980" s="1">
        <v>42068</v>
      </c>
      <c r="G1980" s="1" t="str">
        <f>TEXT(pizza_sales[[#This Row],[order_date]],"dddd")</f>
        <v>Thursday</v>
      </c>
      <c r="H1980" s="2">
        <v>0.71712962962962967</v>
      </c>
      <c r="I1980">
        <v>12.5</v>
      </c>
      <c r="J1980">
        <v>12.5</v>
      </c>
      <c r="K1980" t="s">
        <v>59</v>
      </c>
      <c r="L1980" t="s">
        <v>13</v>
      </c>
      <c r="M1980" t="s">
        <v>26</v>
      </c>
      <c r="N1980" t="s">
        <v>27</v>
      </c>
    </row>
    <row r="1981" spans="1:14" x14ac:dyDescent="0.25">
      <c r="A1981">
        <v>16676</v>
      </c>
      <c r="B1981">
        <v>7342</v>
      </c>
      <c r="C1981">
        <f>1/COUNTIF(B:B,pizza_sales[[#This Row],[order_id]])</f>
        <v>1</v>
      </c>
      <c r="D1981" t="s">
        <v>45</v>
      </c>
      <c r="E1981">
        <v>1</v>
      </c>
      <c r="F1981" s="1">
        <v>42068</v>
      </c>
      <c r="G1981" s="1" t="str">
        <f>TEXT(pizza_sales[[#This Row],[order_date]],"dddd")</f>
        <v>Thursday</v>
      </c>
      <c r="H1981" s="2">
        <v>0.72375</v>
      </c>
      <c r="I1981">
        <v>10.5</v>
      </c>
      <c r="J1981">
        <v>10.5</v>
      </c>
      <c r="K1981" t="s">
        <v>60</v>
      </c>
      <c r="L1981" t="s">
        <v>13</v>
      </c>
      <c r="M1981" t="s">
        <v>14</v>
      </c>
      <c r="N1981" t="s">
        <v>15</v>
      </c>
    </row>
    <row r="1982" spans="1:14" x14ac:dyDescent="0.25">
      <c r="A1982">
        <v>16682</v>
      </c>
      <c r="B1982">
        <v>7345</v>
      </c>
      <c r="C1982">
        <f>1/COUNTIF(B:B,pizza_sales[[#This Row],[order_id]])</f>
        <v>1</v>
      </c>
      <c r="D1982" t="s">
        <v>12</v>
      </c>
      <c r="E1982">
        <v>1</v>
      </c>
      <c r="F1982" s="1">
        <v>42068</v>
      </c>
      <c r="G1982" s="1" t="str">
        <f>TEXT(pizza_sales[[#This Row],[order_date]],"dddd")</f>
        <v>Thursday</v>
      </c>
      <c r="H1982" s="2">
        <v>0.74403935185185188</v>
      </c>
      <c r="I1982">
        <v>13.25</v>
      </c>
      <c r="J1982">
        <v>13.25</v>
      </c>
      <c r="K1982" t="s">
        <v>59</v>
      </c>
      <c r="L1982" t="s">
        <v>13</v>
      </c>
      <c r="M1982" t="s">
        <v>14</v>
      </c>
      <c r="N1982" t="s">
        <v>15</v>
      </c>
    </row>
    <row r="1983" spans="1:14" x14ac:dyDescent="0.25">
      <c r="A1983">
        <v>16690</v>
      </c>
      <c r="B1983">
        <v>7350</v>
      </c>
      <c r="C1983">
        <f>1/COUNTIF(B:B,pizza_sales[[#This Row],[order_id]])</f>
        <v>1</v>
      </c>
      <c r="D1983" t="s">
        <v>45</v>
      </c>
      <c r="E1983">
        <v>1</v>
      </c>
      <c r="F1983" s="1">
        <v>42068</v>
      </c>
      <c r="G1983" s="1" t="str">
        <f>TEXT(pizza_sales[[#This Row],[order_date]],"dddd")</f>
        <v>Thursday</v>
      </c>
      <c r="H1983" s="2">
        <v>0.80680555555555555</v>
      </c>
      <c r="I1983">
        <v>10.5</v>
      </c>
      <c r="J1983">
        <v>10.5</v>
      </c>
      <c r="K1983" t="s">
        <v>60</v>
      </c>
      <c r="L1983" t="s">
        <v>13</v>
      </c>
      <c r="M1983" t="s">
        <v>14</v>
      </c>
      <c r="N1983" t="s">
        <v>15</v>
      </c>
    </row>
    <row r="1984" spans="1:14" x14ac:dyDescent="0.25">
      <c r="A1984">
        <v>16693</v>
      </c>
      <c r="B1984">
        <v>7352</v>
      </c>
      <c r="C1984">
        <f>1/COUNTIF(B:B,pizza_sales[[#This Row],[order_id]])</f>
        <v>0.5</v>
      </c>
      <c r="D1984" t="s">
        <v>28</v>
      </c>
      <c r="E1984">
        <v>1</v>
      </c>
      <c r="F1984" s="1">
        <v>42068</v>
      </c>
      <c r="G1984" s="1" t="str">
        <f>TEXT(pizza_sales[[#This Row],[order_date]],"dddd")</f>
        <v>Thursday</v>
      </c>
      <c r="H1984" s="2">
        <v>0.81740740740740736</v>
      </c>
      <c r="I1984">
        <v>12</v>
      </c>
      <c r="J1984">
        <v>12</v>
      </c>
      <c r="K1984" t="s">
        <v>60</v>
      </c>
      <c r="L1984" t="s">
        <v>13</v>
      </c>
      <c r="M1984" t="s">
        <v>29</v>
      </c>
      <c r="N1984" t="s">
        <v>30</v>
      </c>
    </row>
    <row r="1985" spans="1:14" x14ac:dyDescent="0.25">
      <c r="A1985">
        <v>16696</v>
      </c>
      <c r="B1985">
        <v>7352</v>
      </c>
      <c r="C1985">
        <f>1/COUNTIF(B:B,pizza_sales[[#This Row],[order_id]])</f>
        <v>0.5</v>
      </c>
      <c r="D1985" t="s">
        <v>49</v>
      </c>
      <c r="E1985">
        <v>1</v>
      </c>
      <c r="F1985" s="1">
        <v>42068</v>
      </c>
      <c r="G1985" s="1" t="str">
        <f>TEXT(pizza_sales[[#This Row],[order_date]],"dddd")</f>
        <v>Thursday</v>
      </c>
      <c r="H1985" s="2">
        <v>0.81740740740740736</v>
      </c>
      <c r="I1985">
        <v>16</v>
      </c>
      <c r="J1985">
        <v>16</v>
      </c>
      <c r="K1985" t="s">
        <v>59</v>
      </c>
      <c r="L1985" t="s">
        <v>13</v>
      </c>
      <c r="M1985" t="s">
        <v>21</v>
      </c>
      <c r="N1985" t="s">
        <v>22</v>
      </c>
    </row>
    <row r="1986" spans="1:14" x14ac:dyDescent="0.25">
      <c r="A1986">
        <v>16697</v>
      </c>
      <c r="B1986">
        <v>7353</v>
      </c>
      <c r="C1986">
        <f>1/COUNTIF(B:B,pizza_sales[[#This Row],[order_id]])</f>
        <v>1</v>
      </c>
      <c r="D1986" t="s">
        <v>28</v>
      </c>
      <c r="E1986">
        <v>1</v>
      </c>
      <c r="F1986" s="1">
        <v>42068</v>
      </c>
      <c r="G1986" s="1" t="str">
        <f>TEXT(pizza_sales[[#This Row],[order_date]],"dddd")</f>
        <v>Thursday</v>
      </c>
      <c r="H1986" s="2">
        <v>0.82643518518518522</v>
      </c>
      <c r="I1986">
        <v>12</v>
      </c>
      <c r="J1986">
        <v>12</v>
      </c>
      <c r="K1986" t="s">
        <v>60</v>
      </c>
      <c r="L1986" t="s">
        <v>13</v>
      </c>
      <c r="M1986" t="s">
        <v>29</v>
      </c>
      <c r="N1986" t="s">
        <v>30</v>
      </c>
    </row>
    <row r="1987" spans="1:14" x14ac:dyDescent="0.25">
      <c r="A1987">
        <v>16700</v>
      </c>
      <c r="B1987">
        <v>7356</v>
      </c>
      <c r="C1987">
        <f>1/COUNTIF(B:B,pizza_sales[[#This Row],[order_id]])</f>
        <v>0.5</v>
      </c>
      <c r="D1987" t="s">
        <v>28</v>
      </c>
      <c r="E1987">
        <v>1</v>
      </c>
      <c r="F1987" s="1">
        <v>42068</v>
      </c>
      <c r="G1987" s="1" t="str">
        <f>TEXT(pizza_sales[[#This Row],[order_date]],"dddd")</f>
        <v>Thursday</v>
      </c>
      <c r="H1987" s="2">
        <v>0.83665509259259263</v>
      </c>
      <c r="I1987">
        <v>12</v>
      </c>
      <c r="J1987">
        <v>12</v>
      </c>
      <c r="K1987" t="s">
        <v>60</v>
      </c>
      <c r="L1987" t="s">
        <v>13</v>
      </c>
      <c r="M1987" t="s">
        <v>29</v>
      </c>
      <c r="N1987" t="s">
        <v>30</v>
      </c>
    </row>
    <row r="1988" spans="1:14" x14ac:dyDescent="0.25">
      <c r="A1988">
        <v>16701</v>
      </c>
      <c r="B1988">
        <v>7356</v>
      </c>
      <c r="C1988">
        <f>1/COUNTIF(B:B,pizza_sales[[#This Row],[order_id]])</f>
        <v>0.5</v>
      </c>
      <c r="D1988" t="s">
        <v>51</v>
      </c>
      <c r="E1988">
        <v>1</v>
      </c>
      <c r="F1988" s="1">
        <v>42068</v>
      </c>
      <c r="G1988" s="1" t="str">
        <f>TEXT(pizza_sales[[#This Row],[order_date]],"dddd")</f>
        <v>Thursday</v>
      </c>
      <c r="H1988" s="2">
        <v>0.83665509259259263</v>
      </c>
      <c r="I1988">
        <v>23.65</v>
      </c>
      <c r="J1988">
        <v>23.65</v>
      </c>
      <c r="K1988" t="s">
        <v>60</v>
      </c>
      <c r="L1988" t="s">
        <v>35</v>
      </c>
      <c r="M1988" t="s">
        <v>52</v>
      </c>
      <c r="N1988" t="s">
        <v>53</v>
      </c>
    </row>
    <row r="1989" spans="1:14" x14ac:dyDescent="0.25">
      <c r="A1989">
        <v>16706</v>
      </c>
      <c r="B1989">
        <v>7358</v>
      </c>
      <c r="C1989">
        <f>1/COUNTIF(B:B,pizza_sales[[#This Row],[order_id]])</f>
        <v>1</v>
      </c>
      <c r="D1989" t="s">
        <v>34</v>
      </c>
      <c r="E1989">
        <v>1</v>
      </c>
      <c r="F1989" s="1">
        <v>42068</v>
      </c>
      <c r="G1989" s="1" t="str">
        <f>TEXT(pizza_sales[[#This Row],[order_date]],"dddd")</f>
        <v>Thursday</v>
      </c>
      <c r="H1989" s="2">
        <v>0.87186342592592592</v>
      </c>
      <c r="I1989">
        <v>16.25</v>
      </c>
      <c r="J1989">
        <v>16.25</v>
      </c>
      <c r="K1989" t="s">
        <v>59</v>
      </c>
      <c r="L1989" t="s">
        <v>35</v>
      </c>
      <c r="M1989" t="s">
        <v>36</v>
      </c>
      <c r="N1989" t="s">
        <v>37</v>
      </c>
    </row>
    <row r="1990" spans="1:14" x14ac:dyDescent="0.25">
      <c r="A1990">
        <v>16708</v>
      </c>
      <c r="B1990">
        <v>7359</v>
      </c>
      <c r="C1990">
        <f>1/COUNTIF(B:B,pizza_sales[[#This Row],[order_id]])</f>
        <v>0.33333333333333331</v>
      </c>
      <c r="D1990" t="s">
        <v>47</v>
      </c>
      <c r="E1990">
        <v>1</v>
      </c>
      <c r="F1990" s="1">
        <v>42068</v>
      </c>
      <c r="G1990" s="1" t="str">
        <f>TEXT(pizza_sales[[#This Row],[order_date]],"dddd")</f>
        <v>Thursday</v>
      </c>
      <c r="H1990" s="2">
        <v>0.88855324074074071</v>
      </c>
      <c r="I1990">
        <v>16.5</v>
      </c>
      <c r="J1990">
        <v>16.5</v>
      </c>
      <c r="K1990" t="s">
        <v>58</v>
      </c>
      <c r="L1990" t="s">
        <v>13</v>
      </c>
      <c r="M1990" t="s">
        <v>14</v>
      </c>
      <c r="N1990" t="s">
        <v>15</v>
      </c>
    </row>
    <row r="1991" spans="1:14" x14ac:dyDescent="0.25">
      <c r="A1991">
        <v>16709</v>
      </c>
      <c r="B1991">
        <v>7359</v>
      </c>
      <c r="C1991">
        <f>1/COUNTIF(B:B,pizza_sales[[#This Row],[order_id]])</f>
        <v>0.33333333333333331</v>
      </c>
      <c r="D1991" t="s">
        <v>50</v>
      </c>
      <c r="E1991">
        <v>1</v>
      </c>
      <c r="F1991" s="1">
        <v>42068</v>
      </c>
      <c r="G1991" s="1" t="str">
        <f>TEXT(pizza_sales[[#This Row],[order_date]],"dddd")</f>
        <v>Thursday</v>
      </c>
      <c r="H1991" s="2">
        <v>0.88855324074074071</v>
      </c>
      <c r="I1991">
        <v>16</v>
      </c>
      <c r="J1991">
        <v>16</v>
      </c>
      <c r="K1991" t="s">
        <v>59</v>
      </c>
      <c r="L1991" t="s">
        <v>13</v>
      </c>
      <c r="M1991" t="s">
        <v>32</v>
      </c>
      <c r="N1991" t="s">
        <v>33</v>
      </c>
    </row>
    <row r="1992" spans="1:14" x14ac:dyDescent="0.25">
      <c r="A1992">
        <v>16710</v>
      </c>
      <c r="B1992">
        <v>7359</v>
      </c>
      <c r="C1992">
        <f>1/COUNTIF(B:B,pizza_sales[[#This Row],[order_id]])</f>
        <v>0.33333333333333331</v>
      </c>
      <c r="D1992" t="s">
        <v>42</v>
      </c>
      <c r="E1992">
        <v>1</v>
      </c>
      <c r="F1992" s="1">
        <v>42068</v>
      </c>
      <c r="G1992" s="1" t="str">
        <f>TEXT(pizza_sales[[#This Row],[order_date]],"dddd")</f>
        <v>Thursday</v>
      </c>
      <c r="H1992" s="2">
        <v>0.88855324074074071</v>
      </c>
      <c r="I1992">
        <v>12.5</v>
      </c>
      <c r="J1992">
        <v>12.5</v>
      </c>
      <c r="K1992" t="s">
        <v>59</v>
      </c>
      <c r="L1992" t="s">
        <v>13</v>
      </c>
      <c r="M1992" t="s">
        <v>26</v>
      </c>
      <c r="N1992" t="s">
        <v>27</v>
      </c>
    </row>
    <row r="1993" spans="1:14" x14ac:dyDescent="0.25">
      <c r="A1993">
        <v>16715</v>
      </c>
      <c r="B1993">
        <v>7361</v>
      </c>
      <c r="C1993">
        <f>1/COUNTIF(B:B,pizza_sales[[#This Row],[order_id]])</f>
        <v>1</v>
      </c>
      <c r="D1993" t="s">
        <v>42</v>
      </c>
      <c r="E1993">
        <v>1</v>
      </c>
      <c r="F1993" s="1">
        <v>42068</v>
      </c>
      <c r="G1993" s="1" t="str">
        <f>TEXT(pizza_sales[[#This Row],[order_date]],"dddd")</f>
        <v>Thursday</v>
      </c>
      <c r="H1993" s="2">
        <v>0.93994212962962964</v>
      </c>
      <c r="I1993">
        <v>12.5</v>
      </c>
      <c r="J1993">
        <v>12.5</v>
      </c>
      <c r="K1993" t="s">
        <v>59</v>
      </c>
      <c r="L1993" t="s">
        <v>13</v>
      </c>
      <c r="M1993" t="s">
        <v>26</v>
      </c>
      <c r="N1993" t="s">
        <v>27</v>
      </c>
    </row>
    <row r="1994" spans="1:14" x14ac:dyDescent="0.25">
      <c r="A1994">
        <v>16719</v>
      </c>
      <c r="B1994">
        <v>7363</v>
      </c>
      <c r="C1994">
        <f>1/COUNTIF(B:B,pizza_sales[[#This Row],[order_id]])</f>
        <v>0.33333333333333331</v>
      </c>
      <c r="D1994" t="s">
        <v>47</v>
      </c>
      <c r="E1994">
        <v>1</v>
      </c>
      <c r="F1994" s="1">
        <v>42099</v>
      </c>
      <c r="G1994" s="1" t="str">
        <f>TEXT(pizza_sales[[#This Row],[order_date]],"dddd")</f>
        <v>Sunday</v>
      </c>
      <c r="H1994" s="2">
        <v>0.48693287037037036</v>
      </c>
      <c r="I1994">
        <v>16.5</v>
      </c>
      <c r="J1994">
        <v>16.5</v>
      </c>
      <c r="K1994" t="s">
        <v>58</v>
      </c>
      <c r="L1994" t="s">
        <v>13</v>
      </c>
      <c r="M1994" t="s">
        <v>14</v>
      </c>
      <c r="N1994" t="s">
        <v>15</v>
      </c>
    </row>
    <row r="1995" spans="1:14" x14ac:dyDescent="0.25">
      <c r="A1995">
        <v>16722</v>
      </c>
      <c r="B1995">
        <v>7363</v>
      </c>
      <c r="C1995">
        <f>1/COUNTIF(B:B,pizza_sales[[#This Row],[order_id]])</f>
        <v>0.33333333333333331</v>
      </c>
      <c r="D1995" t="s">
        <v>23</v>
      </c>
      <c r="E1995">
        <v>1</v>
      </c>
      <c r="F1995" s="1">
        <v>42099</v>
      </c>
      <c r="G1995" s="1" t="str">
        <f>TEXT(pizza_sales[[#This Row],[order_date]],"dddd")</f>
        <v>Sunday</v>
      </c>
      <c r="H1995" s="2">
        <v>0.48693287037037036</v>
      </c>
      <c r="I1995">
        <v>12</v>
      </c>
      <c r="J1995">
        <v>12</v>
      </c>
      <c r="K1995" t="s">
        <v>60</v>
      </c>
      <c r="L1995" t="s">
        <v>17</v>
      </c>
      <c r="M1995" t="s">
        <v>18</v>
      </c>
      <c r="N1995" t="s">
        <v>19</v>
      </c>
    </row>
    <row r="1996" spans="1:14" x14ac:dyDescent="0.25">
      <c r="A1996">
        <v>16724</v>
      </c>
      <c r="B1996">
        <v>7363</v>
      </c>
      <c r="C1996">
        <f>1/COUNTIF(B:B,pizza_sales[[#This Row],[order_id]])</f>
        <v>0.33333333333333331</v>
      </c>
      <c r="D1996" t="s">
        <v>49</v>
      </c>
      <c r="E1996">
        <v>1</v>
      </c>
      <c r="F1996" s="1">
        <v>42099</v>
      </c>
      <c r="G1996" s="1" t="str">
        <f>TEXT(pizza_sales[[#This Row],[order_date]],"dddd")</f>
        <v>Sunday</v>
      </c>
      <c r="H1996" s="2">
        <v>0.48693287037037036</v>
      </c>
      <c r="I1996">
        <v>16</v>
      </c>
      <c r="J1996">
        <v>16</v>
      </c>
      <c r="K1996" t="s">
        <v>59</v>
      </c>
      <c r="L1996" t="s">
        <v>13</v>
      </c>
      <c r="M1996" t="s">
        <v>21</v>
      </c>
      <c r="N1996" t="s">
        <v>22</v>
      </c>
    </row>
    <row r="1997" spans="1:14" x14ac:dyDescent="0.25">
      <c r="A1997">
        <v>16728</v>
      </c>
      <c r="B1997">
        <v>7364</v>
      </c>
      <c r="C1997">
        <f>1/COUNTIF(B:B,pizza_sales[[#This Row],[order_id]])</f>
        <v>0.5</v>
      </c>
      <c r="D1997" t="s">
        <v>45</v>
      </c>
      <c r="E1997">
        <v>1</v>
      </c>
      <c r="F1997" s="1">
        <v>42099</v>
      </c>
      <c r="G1997" s="1" t="str">
        <f>TEXT(pizza_sales[[#This Row],[order_date]],"dddd")</f>
        <v>Sunday</v>
      </c>
      <c r="H1997" s="2">
        <v>0.50537037037037036</v>
      </c>
      <c r="I1997">
        <v>10.5</v>
      </c>
      <c r="J1997">
        <v>10.5</v>
      </c>
      <c r="K1997" t="s">
        <v>60</v>
      </c>
      <c r="L1997" t="s">
        <v>13</v>
      </c>
      <c r="M1997" t="s">
        <v>14</v>
      </c>
      <c r="N1997" t="s">
        <v>15</v>
      </c>
    </row>
    <row r="1998" spans="1:14" x14ac:dyDescent="0.25">
      <c r="A1998">
        <v>16729</v>
      </c>
      <c r="B1998">
        <v>7364</v>
      </c>
      <c r="C1998">
        <f>1/COUNTIF(B:B,pizza_sales[[#This Row],[order_id]])</f>
        <v>0.5</v>
      </c>
      <c r="D1998" t="s">
        <v>44</v>
      </c>
      <c r="E1998">
        <v>1</v>
      </c>
      <c r="F1998" s="1">
        <v>42099</v>
      </c>
      <c r="G1998" s="1" t="str">
        <f>TEXT(pizza_sales[[#This Row],[order_date]],"dddd")</f>
        <v>Sunday</v>
      </c>
      <c r="H1998" s="2">
        <v>0.50537037037037036</v>
      </c>
      <c r="I1998">
        <v>9.75</v>
      </c>
      <c r="J1998">
        <v>9.75</v>
      </c>
      <c r="K1998" t="s">
        <v>60</v>
      </c>
      <c r="L1998" t="s">
        <v>13</v>
      </c>
      <c r="M1998" t="s">
        <v>26</v>
      </c>
      <c r="N1998" t="s">
        <v>27</v>
      </c>
    </row>
    <row r="1999" spans="1:14" x14ac:dyDescent="0.25">
      <c r="A1999">
        <v>16736</v>
      </c>
      <c r="B1999">
        <v>7367</v>
      </c>
      <c r="C1999">
        <f>1/COUNTIF(B:B,pizza_sales[[#This Row],[order_id]])</f>
        <v>1</v>
      </c>
      <c r="D1999" t="s">
        <v>25</v>
      </c>
      <c r="E1999">
        <v>1</v>
      </c>
      <c r="F1999" s="1">
        <v>42099</v>
      </c>
      <c r="G1999" s="1" t="str">
        <f>TEXT(pizza_sales[[#This Row],[order_date]],"dddd")</f>
        <v>Sunday</v>
      </c>
      <c r="H1999" s="2">
        <v>0.52276620370370375</v>
      </c>
      <c r="I1999">
        <v>15.25</v>
      </c>
      <c r="J1999">
        <v>15.25</v>
      </c>
      <c r="K1999" t="s">
        <v>58</v>
      </c>
      <c r="L1999" t="s">
        <v>13</v>
      </c>
      <c r="M1999" t="s">
        <v>26</v>
      </c>
      <c r="N1999" t="s">
        <v>27</v>
      </c>
    </row>
    <row r="2000" spans="1:14" x14ac:dyDescent="0.25">
      <c r="A2000">
        <v>16737</v>
      </c>
      <c r="B2000">
        <v>7368</v>
      </c>
      <c r="C2000">
        <f>1/COUNTIF(B:B,pizza_sales[[#This Row],[order_id]])</f>
        <v>1</v>
      </c>
      <c r="D2000" t="s">
        <v>47</v>
      </c>
      <c r="E2000">
        <v>1</v>
      </c>
      <c r="F2000" s="1">
        <v>42099</v>
      </c>
      <c r="G2000" s="1" t="str">
        <f>TEXT(pizza_sales[[#This Row],[order_date]],"dddd")</f>
        <v>Sunday</v>
      </c>
      <c r="H2000" s="2">
        <v>0.53416666666666668</v>
      </c>
      <c r="I2000">
        <v>16.5</v>
      </c>
      <c r="J2000">
        <v>16.5</v>
      </c>
      <c r="K2000" t="s">
        <v>58</v>
      </c>
      <c r="L2000" t="s">
        <v>13</v>
      </c>
      <c r="M2000" t="s">
        <v>14</v>
      </c>
      <c r="N2000" t="s">
        <v>15</v>
      </c>
    </row>
    <row r="2001" spans="1:14" x14ac:dyDescent="0.25">
      <c r="A2001">
        <v>16739</v>
      </c>
      <c r="B2001">
        <v>7369</v>
      </c>
      <c r="C2001">
        <f>1/COUNTIF(B:B,pizza_sales[[#This Row],[order_id]])</f>
        <v>1</v>
      </c>
      <c r="D2001" t="s">
        <v>34</v>
      </c>
      <c r="E2001">
        <v>1</v>
      </c>
      <c r="F2001" s="1">
        <v>42099</v>
      </c>
      <c r="G2001" s="1" t="str">
        <f>TEXT(pizza_sales[[#This Row],[order_date]],"dddd")</f>
        <v>Sunday</v>
      </c>
      <c r="H2001" s="2">
        <v>0.53899305555555554</v>
      </c>
      <c r="I2001">
        <v>16.25</v>
      </c>
      <c r="J2001">
        <v>16.25</v>
      </c>
      <c r="K2001" t="s">
        <v>59</v>
      </c>
      <c r="L2001" t="s">
        <v>35</v>
      </c>
      <c r="M2001" t="s">
        <v>36</v>
      </c>
      <c r="N2001" t="s">
        <v>37</v>
      </c>
    </row>
    <row r="2002" spans="1:14" x14ac:dyDescent="0.25">
      <c r="A2002">
        <v>16747</v>
      </c>
      <c r="B2002">
        <v>7371</v>
      </c>
      <c r="C2002">
        <f>1/COUNTIF(B:B,pizza_sales[[#This Row],[order_id]])</f>
        <v>0.5</v>
      </c>
      <c r="D2002" t="s">
        <v>51</v>
      </c>
      <c r="E2002">
        <v>1</v>
      </c>
      <c r="F2002" s="1">
        <v>42099</v>
      </c>
      <c r="G2002" s="1" t="str">
        <f>TEXT(pizza_sales[[#This Row],[order_date]],"dddd")</f>
        <v>Sunday</v>
      </c>
      <c r="H2002" s="2">
        <v>0.54833333333333334</v>
      </c>
      <c r="I2002">
        <v>23.65</v>
      </c>
      <c r="J2002">
        <v>23.65</v>
      </c>
      <c r="K2002" t="s">
        <v>60</v>
      </c>
      <c r="L2002" t="s">
        <v>35</v>
      </c>
      <c r="M2002" t="s">
        <v>52</v>
      </c>
      <c r="N2002" t="s">
        <v>53</v>
      </c>
    </row>
    <row r="2003" spans="1:14" x14ac:dyDescent="0.25">
      <c r="A2003">
        <v>16748</v>
      </c>
      <c r="B2003">
        <v>7371</v>
      </c>
      <c r="C2003">
        <f>1/COUNTIF(B:B,pizza_sales[[#This Row],[order_id]])</f>
        <v>0.5</v>
      </c>
      <c r="D2003" t="s">
        <v>25</v>
      </c>
      <c r="E2003">
        <v>1</v>
      </c>
      <c r="F2003" s="1">
        <v>42099</v>
      </c>
      <c r="G2003" s="1" t="str">
        <f>TEXT(pizza_sales[[#This Row],[order_date]],"dddd")</f>
        <v>Sunday</v>
      </c>
      <c r="H2003" s="2">
        <v>0.54833333333333334</v>
      </c>
      <c r="I2003">
        <v>15.25</v>
      </c>
      <c r="J2003">
        <v>15.25</v>
      </c>
      <c r="K2003" t="s">
        <v>58</v>
      </c>
      <c r="L2003" t="s">
        <v>13</v>
      </c>
      <c r="M2003" t="s">
        <v>26</v>
      </c>
      <c r="N2003" t="s">
        <v>27</v>
      </c>
    </row>
    <row r="2004" spans="1:14" x14ac:dyDescent="0.25">
      <c r="A2004">
        <v>16754</v>
      </c>
      <c r="B2004">
        <v>7372</v>
      </c>
      <c r="C2004">
        <f>1/COUNTIF(B:B,pizza_sales[[#This Row],[order_id]])</f>
        <v>1</v>
      </c>
      <c r="D2004" t="s">
        <v>25</v>
      </c>
      <c r="E2004">
        <v>1</v>
      </c>
      <c r="F2004" s="1">
        <v>42099</v>
      </c>
      <c r="G2004" s="1" t="str">
        <f>TEXT(pizza_sales[[#This Row],[order_date]],"dddd")</f>
        <v>Sunday</v>
      </c>
      <c r="H2004" s="2">
        <v>0.55032407407407402</v>
      </c>
      <c r="I2004">
        <v>15.25</v>
      </c>
      <c r="J2004">
        <v>15.25</v>
      </c>
      <c r="K2004" t="s">
        <v>58</v>
      </c>
      <c r="L2004" t="s">
        <v>13</v>
      </c>
      <c r="M2004" t="s">
        <v>26</v>
      </c>
      <c r="N2004" t="s">
        <v>27</v>
      </c>
    </row>
    <row r="2005" spans="1:14" x14ac:dyDescent="0.25">
      <c r="A2005">
        <v>16755</v>
      </c>
      <c r="B2005">
        <v>7373</v>
      </c>
      <c r="C2005">
        <f>1/COUNTIF(B:B,pizza_sales[[#This Row],[order_id]])</f>
        <v>1</v>
      </c>
      <c r="D2005" t="s">
        <v>50</v>
      </c>
      <c r="E2005">
        <v>1</v>
      </c>
      <c r="F2005" s="1">
        <v>42099</v>
      </c>
      <c r="G2005" s="1" t="str">
        <f>TEXT(pizza_sales[[#This Row],[order_date]],"dddd")</f>
        <v>Sunday</v>
      </c>
      <c r="H2005" s="2">
        <v>0.55677083333333333</v>
      </c>
      <c r="I2005">
        <v>16</v>
      </c>
      <c r="J2005">
        <v>16</v>
      </c>
      <c r="K2005" t="s">
        <v>59</v>
      </c>
      <c r="L2005" t="s">
        <v>13</v>
      </c>
      <c r="M2005" t="s">
        <v>32</v>
      </c>
      <c r="N2005" t="s">
        <v>33</v>
      </c>
    </row>
    <row r="2006" spans="1:14" x14ac:dyDescent="0.25">
      <c r="A2006">
        <v>16756</v>
      </c>
      <c r="B2006">
        <v>7374</v>
      </c>
      <c r="C2006">
        <f>1/COUNTIF(B:B,pizza_sales[[#This Row],[order_id]])</f>
        <v>1</v>
      </c>
      <c r="D2006" t="s">
        <v>28</v>
      </c>
      <c r="E2006">
        <v>1</v>
      </c>
      <c r="F2006" s="1">
        <v>42099</v>
      </c>
      <c r="G2006" s="1" t="str">
        <f>TEXT(pizza_sales[[#This Row],[order_date]],"dddd")</f>
        <v>Sunday</v>
      </c>
      <c r="H2006" s="2">
        <v>0.56133101851851852</v>
      </c>
      <c r="I2006">
        <v>12</v>
      </c>
      <c r="J2006">
        <v>12</v>
      </c>
      <c r="K2006" t="s">
        <v>60</v>
      </c>
      <c r="L2006" t="s">
        <v>13</v>
      </c>
      <c r="M2006" t="s">
        <v>29</v>
      </c>
      <c r="N2006" t="s">
        <v>30</v>
      </c>
    </row>
    <row r="2007" spans="1:14" x14ac:dyDescent="0.25">
      <c r="A2007">
        <v>16757</v>
      </c>
      <c r="B2007">
        <v>7375</v>
      </c>
      <c r="C2007">
        <f>1/COUNTIF(B:B,pizza_sales[[#This Row],[order_id]])</f>
        <v>0.5</v>
      </c>
      <c r="D2007" t="s">
        <v>42</v>
      </c>
      <c r="E2007">
        <v>1</v>
      </c>
      <c r="F2007" s="1">
        <v>42099</v>
      </c>
      <c r="G2007" s="1" t="str">
        <f>TEXT(pizza_sales[[#This Row],[order_date]],"dddd")</f>
        <v>Sunday</v>
      </c>
      <c r="H2007" s="2">
        <v>0.56162037037037038</v>
      </c>
      <c r="I2007">
        <v>12.5</v>
      </c>
      <c r="J2007">
        <v>12.5</v>
      </c>
      <c r="K2007" t="s">
        <v>59</v>
      </c>
      <c r="L2007" t="s">
        <v>13</v>
      </c>
      <c r="M2007" t="s">
        <v>26</v>
      </c>
      <c r="N2007" t="s">
        <v>27</v>
      </c>
    </row>
    <row r="2008" spans="1:14" x14ac:dyDescent="0.25">
      <c r="A2008">
        <v>16758</v>
      </c>
      <c r="B2008">
        <v>7375</v>
      </c>
      <c r="C2008">
        <f>1/COUNTIF(B:B,pizza_sales[[#This Row],[order_id]])</f>
        <v>0.5</v>
      </c>
      <c r="D2008" t="s">
        <v>48</v>
      </c>
      <c r="E2008">
        <v>1</v>
      </c>
      <c r="F2008" s="1">
        <v>42099</v>
      </c>
      <c r="G2008" s="1" t="str">
        <f>TEXT(pizza_sales[[#This Row],[order_date]],"dddd")</f>
        <v>Sunday</v>
      </c>
      <c r="H2008" s="2">
        <v>0.56162037037037038</v>
      </c>
      <c r="I2008">
        <v>12.25</v>
      </c>
      <c r="J2008">
        <v>12.25</v>
      </c>
      <c r="K2008" t="s">
        <v>60</v>
      </c>
      <c r="L2008" t="s">
        <v>35</v>
      </c>
      <c r="M2008" t="s">
        <v>40</v>
      </c>
      <c r="N2008" t="s">
        <v>41</v>
      </c>
    </row>
    <row r="2009" spans="1:14" x14ac:dyDescent="0.25">
      <c r="A2009">
        <v>16760</v>
      </c>
      <c r="B2009">
        <v>7377</v>
      </c>
      <c r="C2009">
        <f>1/COUNTIF(B:B,pizza_sales[[#This Row],[order_id]])</f>
        <v>1</v>
      </c>
      <c r="D2009" t="s">
        <v>28</v>
      </c>
      <c r="E2009">
        <v>1</v>
      </c>
      <c r="F2009" s="1">
        <v>42099</v>
      </c>
      <c r="G2009" s="1" t="str">
        <f>TEXT(pizza_sales[[#This Row],[order_date]],"dddd")</f>
        <v>Sunday</v>
      </c>
      <c r="H2009" s="2">
        <v>0.5957175925925926</v>
      </c>
      <c r="I2009">
        <v>12</v>
      </c>
      <c r="J2009">
        <v>12</v>
      </c>
      <c r="K2009" t="s">
        <v>60</v>
      </c>
      <c r="L2009" t="s">
        <v>13</v>
      </c>
      <c r="M2009" t="s">
        <v>29</v>
      </c>
      <c r="N2009" t="s">
        <v>30</v>
      </c>
    </row>
    <row r="2010" spans="1:14" x14ac:dyDescent="0.25">
      <c r="A2010">
        <v>16770</v>
      </c>
      <c r="B2010">
        <v>7378</v>
      </c>
      <c r="C2010">
        <f>1/COUNTIF(B:B,pizza_sales[[#This Row],[order_id]])</f>
        <v>0.5</v>
      </c>
      <c r="D2010" t="s">
        <v>38</v>
      </c>
      <c r="E2010">
        <v>1</v>
      </c>
      <c r="F2010" s="1">
        <v>42099</v>
      </c>
      <c r="G2010" s="1" t="str">
        <f>TEXT(pizza_sales[[#This Row],[order_date]],"dddd")</f>
        <v>Sunday</v>
      </c>
      <c r="H2010" s="2">
        <v>0.59577546296296291</v>
      </c>
      <c r="I2010">
        <v>20.5</v>
      </c>
      <c r="J2010">
        <v>20.5</v>
      </c>
      <c r="K2010" t="s">
        <v>58</v>
      </c>
      <c r="L2010" t="s">
        <v>13</v>
      </c>
      <c r="M2010" t="s">
        <v>32</v>
      </c>
      <c r="N2010" t="s">
        <v>33</v>
      </c>
    </row>
    <row r="2011" spans="1:14" x14ac:dyDescent="0.25">
      <c r="A2011">
        <v>16772</v>
      </c>
      <c r="B2011">
        <v>7378</v>
      </c>
      <c r="C2011">
        <f>1/COUNTIF(B:B,pizza_sales[[#This Row],[order_id]])</f>
        <v>0.5</v>
      </c>
      <c r="D2011" t="s">
        <v>42</v>
      </c>
      <c r="E2011">
        <v>1</v>
      </c>
      <c r="F2011" s="1">
        <v>42099</v>
      </c>
      <c r="G2011" s="1" t="str">
        <f>TEXT(pizza_sales[[#This Row],[order_date]],"dddd")</f>
        <v>Sunday</v>
      </c>
      <c r="H2011" s="2">
        <v>0.59577546296296291</v>
      </c>
      <c r="I2011">
        <v>12.5</v>
      </c>
      <c r="J2011">
        <v>12.5</v>
      </c>
      <c r="K2011" t="s">
        <v>59</v>
      </c>
      <c r="L2011" t="s">
        <v>13</v>
      </c>
      <c r="M2011" t="s">
        <v>26</v>
      </c>
      <c r="N2011" t="s">
        <v>27</v>
      </c>
    </row>
    <row r="2012" spans="1:14" x14ac:dyDescent="0.25">
      <c r="A2012">
        <v>16776</v>
      </c>
      <c r="B2012">
        <v>7379</v>
      </c>
      <c r="C2012">
        <f>1/COUNTIF(B:B,pizza_sales[[#This Row],[order_id]])</f>
        <v>1</v>
      </c>
      <c r="D2012" t="s">
        <v>51</v>
      </c>
      <c r="E2012">
        <v>1</v>
      </c>
      <c r="F2012" s="1">
        <v>42099</v>
      </c>
      <c r="G2012" s="1" t="str">
        <f>TEXT(pizza_sales[[#This Row],[order_date]],"dddd")</f>
        <v>Sunday</v>
      </c>
      <c r="H2012" s="2">
        <v>0.60868055555555556</v>
      </c>
      <c r="I2012">
        <v>23.65</v>
      </c>
      <c r="J2012">
        <v>23.65</v>
      </c>
      <c r="K2012" t="s">
        <v>60</v>
      </c>
      <c r="L2012" t="s">
        <v>35</v>
      </c>
      <c r="M2012" t="s">
        <v>52</v>
      </c>
      <c r="N2012" t="s">
        <v>53</v>
      </c>
    </row>
    <row r="2013" spans="1:14" x14ac:dyDescent="0.25">
      <c r="A2013">
        <v>16783</v>
      </c>
      <c r="B2013">
        <v>7381</v>
      </c>
      <c r="C2013">
        <f>1/COUNTIF(B:B,pizza_sales[[#This Row],[order_id]])</f>
        <v>1</v>
      </c>
      <c r="D2013" t="s">
        <v>12</v>
      </c>
      <c r="E2013">
        <v>1</v>
      </c>
      <c r="F2013" s="1">
        <v>42099</v>
      </c>
      <c r="G2013" s="1" t="str">
        <f>TEXT(pizza_sales[[#This Row],[order_date]],"dddd")</f>
        <v>Sunday</v>
      </c>
      <c r="H2013" s="2">
        <v>0.62416666666666665</v>
      </c>
      <c r="I2013">
        <v>13.25</v>
      </c>
      <c r="J2013">
        <v>13.25</v>
      </c>
      <c r="K2013" t="s">
        <v>59</v>
      </c>
      <c r="L2013" t="s">
        <v>13</v>
      </c>
      <c r="M2013" t="s">
        <v>14</v>
      </c>
      <c r="N2013" t="s">
        <v>15</v>
      </c>
    </row>
    <row r="2014" spans="1:14" x14ac:dyDescent="0.25">
      <c r="A2014">
        <v>16793</v>
      </c>
      <c r="B2014">
        <v>7386</v>
      </c>
      <c r="C2014">
        <f>1/COUNTIF(B:B,pizza_sales[[#This Row],[order_id]])</f>
        <v>1</v>
      </c>
      <c r="D2014" t="s">
        <v>28</v>
      </c>
      <c r="E2014">
        <v>1</v>
      </c>
      <c r="F2014" s="1">
        <v>42099</v>
      </c>
      <c r="G2014" s="1" t="str">
        <f>TEXT(pizza_sales[[#This Row],[order_date]],"dddd")</f>
        <v>Sunday</v>
      </c>
      <c r="H2014" s="2">
        <v>0.67416666666666669</v>
      </c>
      <c r="I2014">
        <v>12</v>
      </c>
      <c r="J2014">
        <v>12</v>
      </c>
      <c r="K2014" t="s">
        <v>60</v>
      </c>
      <c r="L2014" t="s">
        <v>13</v>
      </c>
      <c r="M2014" t="s">
        <v>29</v>
      </c>
      <c r="N2014" t="s">
        <v>30</v>
      </c>
    </row>
    <row r="2015" spans="1:14" x14ac:dyDescent="0.25">
      <c r="A2015">
        <v>16795</v>
      </c>
      <c r="B2015">
        <v>7387</v>
      </c>
      <c r="C2015">
        <f>1/COUNTIF(B:B,pizza_sales[[#This Row],[order_id]])</f>
        <v>1</v>
      </c>
      <c r="D2015" t="s">
        <v>45</v>
      </c>
      <c r="E2015">
        <v>1</v>
      </c>
      <c r="F2015" s="1">
        <v>42099</v>
      </c>
      <c r="G2015" s="1" t="str">
        <f>TEXT(pizza_sales[[#This Row],[order_date]],"dddd")</f>
        <v>Sunday</v>
      </c>
      <c r="H2015" s="2">
        <v>0.67435185185185187</v>
      </c>
      <c r="I2015">
        <v>10.5</v>
      </c>
      <c r="J2015">
        <v>10.5</v>
      </c>
      <c r="K2015" t="s">
        <v>60</v>
      </c>
      <c r="L2015" t="s">
        <v>13</v>
      </c>
      <c r="M2015" t="s">
        <v>14</v>
      </c>
      <c r="N2015" t="s">
        <v>15</v>
      </c>
    </row>
    <row r="2016" spans="1:14" x14ac:dyDescent="0.25">
      <c r="A2016">
        <v>16803</v>
      </c>
      <c r="B2016">
        <v>7392</v>
      </c>
      <c r="C2016">
        <f>1/COUNTIF(B:B,pizza_sales[[#This Row],[order_id]])</f>
        <v>1</v>
      </c>
      <c r="D2016" t="s">
        <v>16</v>
      </c>
      <c r="E2016">
        <v>1</v>
      </c>
      <c r="F2016" s="1">
        <v>42099</v>
      </c>
      <c r="G2016" s="1" t="str">
        <f>TEXT(pizza_sales[[#This Row],[order_date]],"dddd")</f>
        <v>Sunday</v>
      </c>
      <c r="H2016" s="2">
        <v>0.7053935185185185</v>
      </c>
      <c r="I2016">
        <v>16</v>
      </c>
      <c r="J2016">
        <v>16</v>
      </c>
      <c r="K2016" t="s">
        <v>59</v>
      </c>
      <c r="L2016" t="s">
        <v>17</v>
      </c>
      <c r="M2016" t="s">
        <v>18</v>
      </c>
      <c r="N2016" t="s">
        <v>19</v>
      </c>
    </row>
    <row r="2017" spans="1:14" x14ac:dyDescent="0.25">
      <c r="A2017">
        <v>16804</v>
      </c>
      <c r="B2017">
        <v>7393</v>
      </c>
      <c r="C2017">
        <f>1/COUNTIF(B:B,pizza_sales[[#This Row],[order_id]])</f>
        <v>0.5</v>
      </c>
      <c r="D2017" t="s">
        <v>51</v>
      </c>
      <c r="E2017">
        <v>1</v>
      </c>
      <c r="F2017" s="1">
        <v>42099</v>
      </c>
      <c r="G2017" s="1" t="str">
        <f>TEXT(pizza_sales[[#This Row],[order_date]],"dddd")</f>
        <v>Sunday</v>
      </c>
      <c r="H2017" s="2">
        <v>0.71180555555555558</v>
      </c>
      <c r="I2017">
        <v>23.65</v>
      </c>
      <c r="J2017">
        <v>23.65</v>
      </c>
      <c r="K2017" t="s">
        <v>60</v>
      </c>
      <c r="L2017" t="s">
        <v>35</v>
      </c>
      <c r="M2017" t="s">
        <v>52</v>
      </c>
      <c r="N2017" t="s">
        <v>53</v>
      </c>
    </row>
    <row r="2018" spans="1:14" x14ac:dyDescent="0.25">
      <c r="A2018">
        <v>16805</v>
      </c>
      <c r="B2018">
        <v>7393</v>
      </c>
      <c r="C2018">
        <f>1/COUNTIF(B:B,pizza_sales[[#This Row],[order_id]])</f>
        <v>0.5</v>
      </c>
      <c r="D2018" t="s">
        <v>20</v>
      </c>
      <c r="E2018">
        <v>1</v>
      </c>
      <c r="F2018" s="1">
        <v>42099</v>
      </c>
      <c r="G2018" s="1" t="str">
        <f>TEXT(pizza_sales[[#This Row],[order_date]],"dddd")</f>
        <v>Sunday</v>
      </c>
      <c r="H2018" s="2">
        <v>0.71180555555555558</v>
      </c>
      <c r="I2018">
        <v>12</v>
      </c>
      <c r="J2018">
        <v>12</v>
      </c>
      <c r="K2018" t="s">
        <v>60</v>
      </c>
      <c r="L2018" t="s">
        <v>13</v>
      </c>
      <c r="M2018" t="s">
        <v>21</v>
      </c>
      <c r="N2018" t="s">
        <v>22</v>
      </c>
    </row>
    <row r="2019" spans="1:14" x14ac:dyDescent="0.25">
      <c r="A2019">
        <v>16806</v>
      </c>
      <c r="B2019">
        <v>7394</v>
      </c>
      <c r="C2019">
        <f>1/COUNTIF(B:B,pizza_sales[[#This Row],[order_id]])</f>
        <v>1</v>
      </c>
      <c r="D2019" t="s">
        <v>43</v>
      </c>
      <c r="E2019">
        <v>1</v>
      </c>
      <c r="F2019" s="1">
        <v>42099</v>
      </c>
      <c r="G2019" s="1" t="str">
        <f>TEXT(pizza_sales[[#This Row],[order_date]],"dddd")</f>
        <v>Sunday</v>
      </c>
      <c r="H2019" s="2">
        <v>0.71247685185185183</v>
      </c>
      <c r="I2019">
        <v>16.25</v>
      </c>
      <c r="J2019">
        <v>16.25</v>
      </c>
      <c r="K2019" t="s">
        <v>59</v>
      </c>
      <c r="L2019" t="s">
        <v>35</v>
      </c>
      <c r="M2019" t="s">
        <v>40</v>
      </c>
      <c r="N2019" t="s">
        <v>41</v>
      </c>
    </row>
    <row r="2020" spans="1:14" x14ac:dyDescent="0.25">
      <c r="A2020">
        <v>16818</v>
      </c>
      <c r="B2020">
        <v>7398</v>
      </c>
      <c r="C2020">
        <f>1/COUNTIF(B:B,pizza_sales[[#This Row],[order_id]])</f>
        <v>1</v>
      </c>
      <c r="D2020" t="s">
        <v>42</v>
      </c>
      <c r="E2020">
        <v>1</v>
      </c>
      <c r="F2020" s="1">
        <v>42099</v>
      </c>
      <c r="G2020" s="1" t="str">
        <f>TEXT(pizza_sales[[#This Row],[order_date]],"dddd")</f>
        <v>Sunday</v>
      </c>
      <c r="H2020" s="2">
        <v>0.72093750000000001</v>
      </c>
      <c r="I2020">
        <v>12.5</v>
      </c>
      <c r="J2020">
        <v>12.5</v>
      </c>
      <c r="K2020" t="s">
        <v>59</v>
      </c>
      <c r="L2020" t="s">
        <v>13</v>
      </c>
      <c r="M2020" t="s">
        <v>26</v>
      </c>
      <c r="N2020" t="s">
        <v>27</v>
      </c>
    </row>
    <row r="2021" spans="1:14" x14ac:dyDescent="0.25">
      <c r="A2021">
        <v>16827</v>
      </c>
      <c r="B2021">
        <v>7402</v>
      </c>
      <c r="C2021">
        <f>1/COUNTIF(B:B,pizza_sales[[#This Row],[order_id]])</f>
        <v>0.33333333333333331</v>
      </c>
      <c r="D2021" t="s">
        <v>31</v>
      </c>
      <c r="E2021">
        <v>1</v>
      </c>
      <c r="F2021" s="1">
        <v>42099</v>
      </c>
      <c r="G2021" s="1" t="str">
        <f>TEXT(pizza_sales[[#This Row],[order_date]],"dddd")</f>
        <v>Sunday</v>
      </c>
      <c r="H2021" s="2">
        <v>0.75886574074074076</v>
      </c>
      <c r="I2021">
        <v>12</v>
      </c>
      <c r="J2021">
        <v>12</v>
      </c>
      <c r="K2021" t="s">
        <v>60</v>
      </c>
      <c r="L2021" t="s">
        <v>13</v>
      </c>
      <c r="M2021" t="s">
        <v>32</v>
      </c>
      <c r="N2021" t="s">
        <v>33</v>
      </c>
    </row>
    <row r="2022" spans="1:14" x14ac:dyDescent="0.25">
      <c r="A2022">
        <v>16828</v>
      </c>
      <c r="B2022">
        <v>7402</v>
      </c>
      <c r="C2022">
        <f>1/COUNTIF(B:B,pizza_sales[[#This Row],[order_id]])</f>
        <v>0.33333333333333331</v>
      </c>
      <c r="D2022" t="s">
        <v>42</v>
      </c>
      <c r="E2022">
        <v>1</v>
      </c>
      <c r="F2022" s="1">
        <v>42099</v>
      </c>
      <c r="G2022" s="1" t="str">
        <f>TEXT(pizza_sales[[#This Row],[order_date]],"dddd")</f>
        <v>Sunday</v>
      </c>
      <c r="H2022" s="2">
        <v>0.75886574074074076</v>
      </c>
      <c r="I2022">
        <v>12.5</v>
      </c>
      <c r="J2022">
        <v>12.5</v>
      </c>
      <c r="K2022" t="s">
        <v>59</v>
      </c>
      <c r="L2022" t="s">
        <v>13</v>
      </c>
      <c r="M2022" t="s">
        <v>26</v>
      </c>
      <c r="N2022" t="s">
        <v>27</v>
      </c>
    </row>
    <row r="2023" spans="1:14" x14ac:dyDescent="0.25">
      <c r="A2023">
        <v>16829</v>
      </c>
      <c r="B2023">
        <v>7402</v>
      </c>
      <c r="C2023">
        <f>1/COUNTIF(B:B,pizza_sales[[#This Row],[order_id]])</f>
        <v>0.33333333333333331</v>
      </c>
      <c r="D2023" t="s">
        <v>44</v>
      </c>
      <c r="E2023">
        <v>1</v>
      </c>
      <c r="F2023" s="1">
        <v>42099</v>
      </c>
      <c r="G2023" s="1" t="str">
        <f>TEXT(pizza_sales[[#This Row],[order_date]],"dddd")</f>
        <v>Sunday</v>
      </c>
      <c r="H2023" s="2">
        <v>0.75886574074074076</v>
      </c>
      <c r="I2023">
        <v>9.75</v>
      </c>
      <c r="J2023">
        <v>9.75</v>
      </c>
      <c r="K2023" t="s">
        <v>60</v>
      </c>
      <c r="L2023" t="s">
        <v>13</v>
      </c>
      <c r="M2023" t="s">
        <v>26</v>
      </c>
      <c r="N2023" t="s">
        <v>27</v>
      </c>
    </row>
    <row r="2024" spans="1:14" x14ac:dyDescent="0.25">
      <c r="A2024">
        <v>16831</v>
      </c>
      <c r="B2024">
        <v>7404</v>
      </c>
      <c r="C2024">
        <f>1/COUNTIF(B:B,pizza_sales[[#This Row],[order_id]])</f>
        <v>1</v>
      </c>
      <c r="D2024" t="s">
        <v>28</v>
      </c>
      <c r="E2024">
        <v>3</v>
      </c>
      <c r="F2024" s="1">
        <v>42099</v>
      </c>
      <c r="G2024" s="1" t="str">
        <f>TEXT(pizza_sales[[#This Row],[order_date]],"dddd")</f>
        <v>Sunday</v>
      </c>
      <c r="H2024" s="2">
        <v>0.78085648148148146</v>
      </c>
      <c r="I2024">
        <v>12</v>
      </c>
      <c r="J2024">
        <v>36</v>
      </c>
      <c r="K2024" t="s">
        <v>60</v>
      </c>
      <c r="L2024" t="s">
        <v>13</v>
      </c>
      <c r="M2024" t="s">
        <v>29</v>
      </c>
      <c r="N2024" t="s">
        <v>30</v>
      </c>
    </row>
    <row r="2025" spans="1:14" x14ac:dyDescent="0.25">
      <c r="A2025">
        <v>16834</v>
      </c>
      <c r="B2025">
        <v>7405</v>
      </c>
      <c r="C2025">
        <f>1/COUNTIF(B:B,pizza_sales[[#This Row],[order_id]])</f>
        <v>1</v>
      </c>
      <c r="D2025" t="s">
        <v>49</v>
      </c>
      <c r="E2025">
        <v>1</v>
      </c>
      <c r="F2025" s="1">
        <v>42099</v>
      </c>
      <c r="G2025" s="1" t="str">
        <f>TEXT(pizza_sales[[#This Row],[order_date]],"dddd")</f>
        <v>Sunday</v>
      </c>
      <c r="H2025" s="2">
        <v>0.79160879629629632</v>
      </c>
      <c r="I2025">
        <v>16</v>
      </c>
      <c r="J2025">
        <v>16</v>
      </c>
      <c r="K2025" t="s">
        <v>59</v>
      </c>
      <c r="L2025" t="s">
        <v>13</v>
      </c>
      <c r="M2025" t="s">
        <v>21</v>
      </c>
      <c r="N2025" t="s">
        <v>22</v>
      </c>
    </row>
    <row r="2026" spans="1:14" x14ac:dyDescent="0.25">
      <c r="A2026">
        <v>16836</v>
      </c>
      <c r="B2026">
        <v>7407</v>
      </c>
      <c r="C2026">
        <f>1/COUNTIF(B:B,pizza_sales[[#This Row],[order_id]])</f>
        <v>0.5</v>
      </c>
      <c r="D2026" t="s">
        <v>25</v>
      </c>
      <c r="E2026">
        <v>1</v>
      </c>
      <c r="F2026" s="1">
        <v>42099</v>
      </c>
      <c r="G2026" s="1" t="str">
        <f>TEXT(pizza_sales[[#This Row],[order_date]],"dddd")</f>
        <v>Sunday</v>
      </c>
      <c r="H2026" s="2">
        <v>0.81081018518518522</v>
      </c>
      <c r="I2026">
        <v>15.25</v>
      </c>
      <c r="J2026">
        <v>15.25</v>
      </c>
      <c r="K2026" t="s">
        <v>58</v>
      </c>
      <c r="L2026" t="s">
        <v>13</v>
      </c>
      <c r="M2026" t="s">
        <v>26</v>
      </c>
      <c r="N2026" t="s">
        <v>27</v>
      </c>
    </row>
    <row r="2027" spans="1:14" x14ac:dyDescent="0.25">
      <c r="A2027">
        <v>16837</v>
      </c>
      <c r="B2027">
        <v>7407</v>
      </c>
      <c r="C2027">
        <f>1/COUNTIF(B:B,pizza_sales[[#This Row],[order_id]])</f>
        <v>0.5</v>
      </c>
      <c r="D2027" t="s">
        <v>44</v>
      </c>
      <c r="E2027">
        <v>1</v>
      </c>
      <c r="F2027" s="1">
        <v>42099</v>
      </c>
      <c r="G2027" s="1" t="str">
        <f>TEXT(pizza_sales[[#This Row],[order_date]],"dddd")</f>
        <v>Sunday</v>
      </c>
      <c r="H2027" s="2">
        <v>0.81081018518518522</v>
      </c>
      <c r="I2027">
        <v>9.75</v>
      </c>
      <c r="J2027">
        <v>9.75</v>
      </c>
      <c r="K2027" t="s">
        <v>60</v>
      </c>
      <c r="L2027" t="s">
        <v>13</v>
      </c>
      <c r="M2027" t="s">
        <v>26</v>
      </c>
      <c r="N2027" t="s">
        <v>27</v>
      </c>
    </row>
    <row r="2028" spans="1:14" x14ac:dyDescent="0.25">
      <c r="A2028">
        <v>16844</v>
      </c>
      <c r="B2028">
        <v>7411</v>
      </c>
      <c r="C2028">
        <f>1/COUNTIF(B:B,pizza_sales[[#This Row],[order_id]])</f>
        <v>1</v>
      </c>
      <c r="D2028" t="s">
        <v>12</v>
      </c>
      <c r="E2028">
        <v>1</v>
      </c>
      <c r="F2028" s="1">
        <v>42099</v>
      </c>
      <c r="G2028" s="1" t="str">
        <f>TEXT(pizza_sales[[#This Row],[order_date]],"dddd")</f>
        <v>Sunday</v>
      </c>
      <c r="H2028" s="2">
        <v>0.82233796296296291</v>
      </c>
      <c r="I2028">
        <v>13.25</v>
      </c>
      <c r="J2028">
        <v>13.25</v>
      </c>
      <c r="K2028" t="s">
        <v>59</v>
      </c>
      <c r="L2028" t="s">
        <v>13</v>
      </c>
      <c r="M2028" t="s">
        <v>14</v>
      </c>
      <c r="N2028" t="s">
        <v>15</v>
      </c>
    </row>
    <row r="2029" spans="1:14" x14ac:dyDescent="0.25">
      <c r="A2029">
        <v>16846</v>
      </c>
      <c r="B2029">
        <v>7412</v>
      </c>
      <c r="C2029">
        <f>1/COUNTIF(B:B,pizza_sales[[#This Row],[order_id]])</f>
        <v>1</v>
      </c>
      <c r="D2029" t="s">
        <v>34</v>
      </c>
      <c r="E2029">
        <v>1</v>
      </c>
      <c r="F2029" s="1">
        <v>42099</v>
      </c>
      <c r="G2029" s="1" t="str">
        <f>TEXT(pizza_sales[[#This Row],[order_date]],"dddd")</f>
        <v>Sunday</v>
      </c>
      <c r="H2029" s="2">
        <v>0.82465277777777779</v>
      </c>
      <c r="I2029">
        <v>16.25</v>
      </c>
      <c r="J2029">
        <v>16.25</v>
      </c>
      <c r="K2029" t="s">
        <v>59</v>
      </c>
      <c r="L2029" t="s">
        <v>35</v>
      </c>
      <c r="M2029" t="s">
        <v>36</v>
      </c>
      <c r="N2029" t="s">
        <v>37</v>
      </c>
    </row>
    <row r="2030" spans="1:14" x14ac:dyDescent="0.25">
      <c r="A2030">
        <v>16849</v>
      </c>
      <c r="B2030">
        <v>7415</v>
      </c>
      <c r="C2030">
        <f>1/COUNTIF(B:B,pizza_sales[[#This Row],[order_id]])</f>
        <v>1</v>
      </c>
      <c r="D2030" t="s">
        <v>51</v>
      </c>
      <c r="E2030">
        <v>1</v>
      </c>
      <c r="F2030" s="1">
        <v>42099</v>
      </c>
      <c r="G2030" s="1" t="str">
        <f>TEXT(pizza_sales[[#This Row],[order_date]],"dddd")</f>
        <v>Sunday</v>
      </c>
      <c r="H2030" s="2">
        <v>0.87321759259259257</v>
      </c>
      <c r="I2030">
        <v>23.65</v>
      </c>
      <c r="J2030">
        <v>23.65</v>
      </c>
      <c r="K2030" t="s">
        <v>60</v>
      </c>
      <c r="L2030" t="s">
        <v>35</v>
      </c>
      <c r="M2030" t="s">
        <v>52</v>
      </c>
      <c r="N2030" t="s">
        <v>53</v>
      </c>
    </row>
    <row r="2031" spans="1:14" x14ac:dyDescent="0.25">
      <c r="A2031">
        <v>16852</v>
      </c>
      <c r="B2031">
        <v>7416</v>
      </c>
      <c r="C2031">
        <f>1/COUNTIF(B:B,pizza_sales[[#This Row],[order_id]])</f>
        <v>1</v>
      </c>
      <c r="D2031" t="s">
        <v>38</v>
      </c>
      <c r="E2031">
        <v>1</v>
      </c>
      <c r="F2031" s="1">
        <v>42099</v>
      </c>
      <c r="G2031" s="1" t="str">
        <f>TEXT(pizza_sales[[#This Row],[order_date]],"dddd")</f>
        <v>Sunday</v>
      </c>
      <c r="H2031" s="2">
        <v>0.90300925925925923</v>
      </c>
      <c r="I2031">
        <v>20.5</v>
      </c>
      <c r="J2031">
        <v>20.5</v>
      </c>
      <c r="K2031" t="s">
        <v>58</v>
      </c>
      <c r="L2031" t="s">
        <v>13</v>
      </c>
      <c r="M2031" t="s">
        <v>32</v>
      </c>
      <c r="N2031" t="s">
        <v>33</v>
      </c>
    </row>
    <row r="2032" spans="1:14" x14ac:dyDescent="0.25">
      <c r="A2032">
        <v>16856</v>
      </c>
      <c r="B2032">
        <v>7419</v>
      </c>
      <c r="C2032">
        <f>1/COUNTIF(B:B,pizza_sales[[#This Row],[order_id]])</f>
        <v>1</v>
      </c>
      <c r="D2032" t="s">
        <v>47</v>
      </c>
      <c r="E2032">
        <v>1</v>
      </c>
      <c r="F2032" s="1">
        <v>42129</v>
      </c>
      <c r="G2032" s="1" t="str">
        <f>TEXT(pizza_sales[[#This Row],[order_date]],"dddd")</f>
        <v>Tuesday</v>
      </c>
      <c r="H2032" s="2">
        <v>0.4956712962962963</v>
      </c>
      <c r="I2032">
        <v>16.5</v>
      </c>
      <c r="J2032">
        <v>16.5</v>
      </c>
      <c r="K2032" t="s">
        <v>58</v>
      </c>
      <c r="L2032" t="s">
        <v>13</v>
      </c>
      <c r="M2032" t="s">
        <v>14</v>
      </c>
      <c r="N2032" t="s">
        <v>15</v>
      </c>
    </row>
    <row r="2033" spans="1:14" x14ac:dyDescent="0.25">
      <c r="A2033">
        <v>16858</v>
      </c>
      <c r="B2033">
        <v>7421</v>
      </c>
      <c r="C2033">
        <f>1/COUNTIF(B:B,pizza_sales[[#This Row],[order_id]])</f>
        <v>1</v>
      </c>
      <c r="D2033" t="s">
        <v>28</v>
      </c>
      <c r="E2033">
        <v>1</v>
      </c>
      <c r="F2033" s="1">
        <v>42129</v>
      </c>
      <c r="G2033" s="1" t="str">
        <f>TEXT(pizza_sales[[#This Row],[order_date]],"dddd")</f>
        <v>Tuesday</v>
      </c>
      <c r="H2033" s="2">
        <v>0.52827546296296302</v>
      </c>
      <c r="I2033">
        <v>12</v>
      </c>
      <c r="J2033">
        <v>12</v>
      </c>
      <c r="K2033" t="s">
        <v>60</v>
      </c>
      <c r="L2033" t="s">
        <v>13</v>
      </c>
      <c r="M2033" t="s">
        <v>29</v>
      </c>
      <c r="N2033" t="s">
        <v>30</v>
      </c>
    </row>
    <row r="2034" spans="1:14" x14ac:dyDescent="0.25">
      <c r="A2034">
        <v>16863</v>
      </c>
      <c r="B2034">
        <v>7423</v>
      </c>
      <c r="C2034">
        <f>1/COUNTIF(B:B,pizza_sales[[#This Row],[order_id]])</f>
        <v>1</v>
      </c>
      <c r="D2034" t="s">
        <v>28</v>
      </c>
      <c r="E2034">
        <v>1</v>
      </c>
      <c r="F2034" s="1">
        <v>42129</v>
      </c>
      <c r="G2034" s="1" t="str">
        <f>TEXT(pizza_sales[[#This Row],[order_date]],"dddd")</f>
        <v>Tuesday</v>
      </c>
      <c r="H2034" s="2">
        <v>0.54556712962962961</v>
      </c>
      <c r="I2034">
        <v>12</v>
      </c>
      <c r="J2034">
        <v>12</v>
      </c>
      <c r="K2034" t="s">
        <v>60</v>
      </c>
      <c r="L2034" t="s">
        <v>13</v>
      </c>
      <c r="M2034" t="s">
        <v>29</v>
      </c>
      <c r="N2034" t="s">
        <v>30</v>
      </c>
    </row>
    <row r="2035" spans="1:14" x14ac:dyDescent="0.25">
      <c r="A2035">
        <v>16864</v>
      </c>
      <c r="B2035">
        <v>7424</v>
      </c>
      <c r="C2035">
        <f>1/COUNTIF(B:B,pizza_sales[[#This Row],[order_id]])</f>
        <v>0.25</v>
      </c>
      <c r="D2035" t="s">
        <v>28</v>
      </c>
      <c r="E2035">
        <v>1</v>
      </c>
      <c r="F2035" s="1">
        <v>42129</v>
      </c>
      <c r="G2035" s="1" t="str">
        <f>TEXT(pizza_sales[[#This Row],[order_date]],"dddd")</f>
        <v>Tuesday</v>
      </c>
      <c r="H2035" s="2">
        <v>0.54861111111111116</v>
      </c>
      <c r="I2035">
        <v>12</v>
      </c>
      <c r="J2035">
        <v>12</v>
      </c>
      <c r="K2035" t="s">
        <v>60</v>
      </c>
      <c r="L2035" t="s">
        <v>13</v>
      </c>
      <c r="M2035" t="s">
        <v>29</v>
      </c>
      <c r="N2035" t="s">
        <v>30</v>
      </c>
    </row>
    <row r="2036" spans="1:14" x14ac:dyDescent="0.25">
      <c r="A2036">
        <v>16866</v>
      </c>
      <c r="B2036">
        <v>7424</v>
      </c>
      <c r="C2036">
        <f>1/COUNTIF(B:B,pizza_sales[[#This Row],[order_id]])</f>
        <v>0.25</v>
      </c>
      <c r="D2036" t="s">
        <v>12</v>
      </c>
      <c r="E2036">
        <v>2</v>
      </c>
      <c r="F2036" s="1">
        <v>42129</v>
      </c>
      <c r="G2036" s="1" t="str">
        <f>TEXT(pizza_sales[[#This Row],[order_date]],"dddd")</f>
        <v>Tuesday</v>
      </c>
      <c r="H2036" s="2">
        <v>0.54861111111111116</v>
      </c>
      <c r="I2036">
        <v>13.25</v>
      </c>
      <c r="J2036">
        <v>26.5</v>
      </c>
      <c r="K2036" t="s">
        <v>59</v>
      </c>
      <c r="L2036" t="s">
        <v>13</v>
      </c>
      <c r="M2036" t="s">
        <v>14</v>
      </c>
      <c r="N2036" t="s">
        <v>15</v>
      </c>
    </row>
    <row r="2037" spans="1:14" x14ac:dyDescent="0.25">
      <c r="A2037">
        <v>16867</v>
      </c>
      <c r="B2037">
        <v>7424</v>
      </c>
      <c r="C2037">
        <f>1/COUNTIF(B:B,pizza_sales[[#This Row],[order_id]])</f>
        <v>0.25</v>
      </c>
      <c r="D2037" t="s">
        <v>45</v>
      </c>
      <c r="E2037">
        <v>1</v>
      </c>
      <c r="F2037" s="1">
        <v>42129</v>
      </c>
      <c r="G2037" s="1" t="str">
        <f>TEXT(pizza_sales[[#This Row],[order_date]],"dddd")</f>
        <v>Tuesday</v>
      </c>
      <c r="H2037" s="2">
        <v>0.54861111111111116</v>
      </c>
      <c r="I2037">
        <v>10.5</v>
      </c>
      <c r="J2037">
        <v>10.5</v>
      </c>
      <c r="K2037" t="s">
        <v>60</v>
      </c>
      <c r="L2037" t="s">
        <v>13</v>
      </c>
      <c r="M2037" t="s">
        <v>14</v>
      </c>
      <c r="N2037" t="s">
        <v>15</v>
      </c>
    </row>
    <row r="2038" spans="1:14" x14ac:dyDescent="0.25">
      <c r="A2038">
        <v>16869</v>
      </c>
      <c r="B2038">
        <v>7424</v>
      </c>
      <c r="C2038">
        <f>1/COUNTIF(B:B,pizza_sales[[#This Row],[order_id]])</f>
        <v>0.25</v>
      </c>
      <c r="D2038" t="s">
        <v>42</v>
      </c>
      <c r="E2038">
        <v>1</v>
      </c>
      <c r="F2038" s="1">
        <v>42129</v>
      </c>
      <c r="G2038" s="1" t="str">
        <f>TEXT(pizza_sales[[#This Row],[order_date]],"dddd")</f>
        <v>Tuesday</v>
      </c>
      <c r="H2038" s="2">
        <v>0.54861111111111116</v>
      </c>
      <c r="I2038">
        <v>12.5</v>
      </c>
      <c r="J2038">
        <v>12.5</v>
      </c>
      <c r="K2038" t="s">
        <v>59</v>
      </c>
      <c r="L2038" t="s">
        <v>13</v>
      </c>
      <c r="M2038" t="s">
        <v>26</v>
      </c>
      <c r="N2038" t="s">
        <v>27</v>
      </c>
    </row>
    <row r="2039" spans="1:14" x14ac:dyDescent="0.25">
      <c r="A2039">
        <v>16874</v>
      </c>
      <c r="B2039">
        <v>7426</v>
      </c>
      <c r="C2039">
        <f>1/COUNTIF(B:B,pizza_sales[[#This Row],[order_id]])</f>
        <v>1</v>
      </c>
      <c r="D2039" t="s">
        <v>31</v>
      </c>
      <c r="E2039">
        <v>1</v>
      </c>
      <c r="F2039" s="1">
        <v>42129</v>
      </c>
      <c r="G2039" s="1" t="str">
        <f>TEXT(pizza_sales[[#This Row],[order_date]],"dddd")</f>
        <v>Tuesday</v>
      </c>
      <c r="H2039" s="2">
        <v>0.55452546296296301</v>
      </c>
      <c r="I2039">
        <v>12</v>
      </c>
      <c r="J2039">
        <v>12</v>
      </c>
      <c r="K2039" t="s">
        <v>60</v>
      </c>
      <c r="L2039" t="s">
        <v>13</v>
      </c>
      <c r="M2039" t="s">
        <v>32</v>
      </c>
      <c r="N2039" t="s">
        <v>33</v>
      </c>
    </row>
    <row r="2040" spans="1:14" x14ac:dyDescent="0.25">
      <c r="A2040">
        <v>16876</v>
      </c>
      <c r="B2040">
        <v>7428</v>
      </c>
      <c r="C2040">
        <f>1/COUNTIF(B:B,pizza_sales[[#This Row],[order_id]])</f>
        <v>0.5</v>
      </c>
      <c r="D2040" t="s">
        <v>45</v>
      </c>
      <c r="E2040">
        <v>1</v>
      </c>
      <c r="F2040" s="1">
        <v>42129</v>
      </c>
      <c r="G2040" s="1" t="str">
        <f>TEXT(pizza_sales[[#This Row],[order_date]],"dddd")</f>
        <v>Tuesday</v>
      </c>
      <c r="H2040" s="2">
        <v>0.59042824074074074</v>
      </c>
      <c r="I2040">
        <v>10.5</v>
      </c>
      <c r="J2040">
        <v>10.5</v>
      </c>
      <c r="K2040" t="s">
        <v>60</v>
      </c>
      <c r="L2040" t="s">
        <v>13</v>
      </c>
      <c r="M2040" t="s">
        <v>14</v>
      </c>
      <c r="N2040" t="s">
        <v>15</v>
      </c>
    </row>
    <row r="2041" spans="1:14" x14ac:dyDescent="0.25">
      <c r="A2041">
        <v>16877</v>
      </c>
      <c r="B2041">
        <v>7428</v>
      </c>
      <c r="C2041">
        <f>1/COUNTIF(B:B,pizza_sales[[#This Row],[order_id]])</f>
        <v>0.5</v>
      </c>
      <c r="D2041" t="s">
        <v>20</v>
      </c>
      <c r="E2041">
        <v>1</v>
      </c>
      <c r="F2041" s="1">
        <v>42129</v>
      </c>
      <c r="G2041" s="1" t="str">
        <f>TEXT(pizza_sales[[#This Row],[order_date]],"dddd")</f>
        <v>Tuesday</v>
      </c>
      <c r="H2041" s="2">
        <v>0.59042824074074074</v>
      </c>
      <c r="I2041">
        <v>12</v>
      </c>
      <c r="J2041">
        <v>12</v>
      </c>
      <c r="K2041" t="s">
        <v>60</v>
      </c>
      <c r="L2041" t="s">
        <v>13</v>
      </c>
      <c r="M2041" t="s">
        <v>21</v>
      </c>
      <c r="N2041" t="s">
        <v>22</v>
      </c>
    </row>
    <row r="2042" spans="1:14" x14ac:dyDescent="0.25">
      <c r="A2042">
        <v>16883</v>
      </c>
      <c r="B2042">
        <v>7429</v>
      </c>
      <c r="C2042">
        <f>1/COUNTIF(B:B,pizza_sales[[#This Row],[order_id]])</f>
        <v>0.5</v>
      </c>
      <c r="D2042" t="s">
        <v>24</v>
      </c>
      <c r="E2042">
        <v>1</v>
      </c>
      <c r="F2042" s="1">
        <v>42129</v>
      </c>
      <c r="G2042" s="1" t="str">
        <f>TEXT(pizza_sales[[#This Row],[order_date]],"dddd")</f>
        <v>Tuesday</v>
      </c>
      <c r="H2042" s="2">
        <v>0.59142361111111108</v>
      </c>
      <c r="I2042">
        <v>20.25</v>
      </c>
      <c r="J2042">
        <v>20.25</v>
      </c>
      <c r="K2042" t="s">
        <v>58</v>
      </c>
      <c r="L2042" t="s">
        <v>17</v>
      </c>
      <c r="M2042" t="s">
        <v>18</v>
      </c>
      <c r="N2042" t="s">
        <v>19</v>
      </c>
    </row>
    <row r="2043" spans="1:14" x14ac:dyDescent="0.25">
      <c r="A2043">
        <v>16884</v>
      </c>
      <c r="B2043">
        <v>7429</v>
      </c>
      <c r="C2043">
        <f>1/COUNTIF(B:B,pizza_sales[[#This Row],[order_id]])</f>
        <v>0.5</v>
      </c>
      <c r="D2043" t="s">
        <v>44</v>
      </c>
      <c r="E2043">
        <v>1</v>
      </c>
      <c r="F2043" s="1">
        <v>42129</v>
      </c>
      <c r="G2043" s="1" t="str">
        <f>TEXT(pizza_sales[[#This Row],[order_date]],"dddd")</f>
        <v>Tuesday</v>
      </c>
      <c r="H2043" s="2">
        <v>0.59142361111111108</v>
      </c>
      <c r="I2043">
        <v>9.75</v>
      </c>
      <c r="J2043">
        <v>9.75</v>
      </c>
      <c r="K2043" t="s">
        <v>60</v>
      </c>
      <c r="L2043" t="s">
        <v>13</v>
      </c>
      <c r="M2043" t="s">
        <v>26</v>
      </c>
      <c r="N2043" t="s">
        <v>27</v>
      </c>
    </row>
    <row r="2044" spans="1:14" x14ac:dyDescent="0.25">
      <c r="A2044">
        <v>16893</v>
      </c>
      <c r="B2044">
        <v>7433</v>
      </c>
      <c r="C2044">
        <f>1/COUNTIF(B:B,pizza_sales[[#This Row],[order_id]])</f>
        <v>0.5</v>
      </c>
      <c r="D2044" t="s">
        <v>47</v>
      </c>
      <c r="E2044">
        <v>1</v>
      </c>
      <c r="F2044" s="1">
        <v>42129</v>
      </c>
      <c r="G2044" s="1" t="str">
        <f>TEXT(pizza_sales[[#This Row],[order_date]],"dddd")</f>
        <v>Tuesday</v>
      </c>
      <c r="H2044" s="2">
        <v>0.67440972222222217</v>
      </c>
      <c r="I2044">
        <v>16.5</v>
      </c>
      <c r="J2044">
        <v>16.5</v>
      </c>
      <c r="K2044" t="s">
        <v>58</v>
      </c>
      <c r="L2044" t="s">
        <v>13</v>
      </c>
      <c r="M2044" t="s">
        <v>14</v>
      </c>
      <c r="N2044" t="s">
        <v>15</v>
      </c>
    </row>
    <row r="2045" spans="1:14" x14ac:dyDescent="0.25">
      <c r="A2045">
        <v>16895</v>
      </c>
      <c r="B2045">
        <v>7433</v>
      </c>
      <c r="C2045">
        <f>1/COUNTIF(B:B,pizza_sales[[#This Row],[order_id]])</f>
        <v>0.5</v>
      </c>
      <c r="D2045" t="s">
        <v>44</v>
      </c>
      <c r="E2045">
        <v>1</v>
      </c>
      <c r="F2045" s="1">
        <v>42129</v>
      </c>
      <c r="G2045" s="1" t="str">
        <f>TEXT(pizza_sales[[#This Row],[order_date]],"dddd")</f>
        <v>Tuesday</v>
      </c>
      <c r="H2045" s="2">
        <v>0.67440972222222217</v>
      </c>
      <c r="I2045">
        <v>9.75</v>
      </c>
      <c r="J2045">
        <v>9.75</v>
      </c>
      <c r="K2045" t="s">
        <v>60</v>
      </c>
      <c r="L2045" t="s">
        <v>13</v>
      </c>
      <c r="M2045" t="s">
        <v>26</v>
      </c>
      <c r="N2045" t="s">
        <v>27</v>
      </c>
    </row>
    <row r="2046" spans="1:14" x14ac:dyDescent="0.25">
      <c r="A2046">
        <v>16897</v>
      </c>
      <c r="B2046">
        <v>7435</v>
      </c>
      <c r="C2046">
        <f>1/COUNTIF(B:B,pizza_sales[[#This Row],[order_id]])</f>
        <v>1</v>
      </c>
      <c r="D2046" t="s">
        <v>24</v>
      </c>
      <c r="E2046">
        <v>1</v>
      </c>
      <c r="F2046" s="1">
        <v>42129</v>
      </c>
      <c r="G2046" s="1" t="str">
        <f>TEXT(pizza_sales[[#This Row],[order_date]],"dddd")</f>
        <v>Tuesday</v>
      </c>
      <c r="H2046" s="2">
        <v>0.68078703703703702</v>
      </c>
      <c r="I2046">
        <v>20.25</v>
      </c>
      <c r="J2046">
        <v>20.25</v>
      </c>
      <c r="K2046" t="s">
        <v>58</v>
      </c>
      <c r="L2046" t="s">
        <v>17</v>
      </c>
      <c r="M2046" t="s">
        <v>18</v>
      </c>
      <c r="N2046" t="s">
        <v>19</v>
      </c>
    </row>
    <row r="2047" spans="1:14" x14ac:dyDescent="0.25">
      <c r="A2047">
        <v>16899</v>
      </c>
      <c r="B2047">
        <v>7437</v>
      </c>
      <c r="C2047">
        <f>1/COUNTIF(B:B,pizza_sales[[#This Row],[order_id]])</f>
        <v>1</v>
      </c>
      <c r="D2047" t="s">
        <v>25</v>
      </c>
      <c r="E2047">
        <v>1</v>
      </c>
      <c r="F2047" s="1">
        <v>42129</v>
      </c>
      <c r="G2047" s="1" t="str">
        <f>TEXT(pizza_sales[[#This Row],[order_date]],"dddd")</f>
        <v>Tuesday</v>
      </c>
      <c r="H2047" s="2">
        <v>0.68961805555555555</v>
      </c>
      <c r="I2047">
        <v>15.25</v>
      </c>
      <c r="J2047">
        <v>15.25</v>
      </c>
      <c r="K2047" t="s">
        <v>58</v>
      </c>
      <c r="L2047" t="s">
        <v>13</v>
      </c>
      <c r="M2047" t="s">
        <v>26</v>
      </c>
      <c r="N2047" t="s">
        <v>27</v>
      </c>
    </row>
    <row r="2048" spans="1:14" x14ac:dyDescent="0.25">
      <c r="A2048">
        <v>16905</v>
      </c>
      <c r="B2048">
        <v>7440</v>
      </c>
      <c r="C2048">
        <f>1/COUNTIF(B:B,pizza_sales[[#This Row],[order_id]])</f>
        <v>1</v>
      </c>
      <c r="D2048" t="s">
        <v>38</v>
      </c>
      <c r="E2048">
        <v>1</v>
      </c>
      <c r="F2048" s="1">
        <v>42129</v>
      </c>
      <c r="G2048" s="1" t="str">
        <f>TEXT(pizza_sales[[#This Row],[order_date]],"dddd")</f>
        <v>Tuesday</v>
      </c>
      <c r="H2048" s="2">
        <v>0.70026620370370374</v>
      </c>
      <c r="I2048">
        <v>20.5</v>
      </c>
      <c r="J2048">
        <v>20.5</v>
      </c>
      <c r="K2048" t="s">
        <v>58</v>
      </c>
      <c r="L2048" t="s">
        <v>13</v>
      </c>
      <c r="M2048" t="s">
        <v>32</v>
      </c>
      <c r="N2048" t="s">
        <v>33</v>
      </c>
    </row>
    <row r="2049" spans="1:14" x14ac:dyDescent="0.25">
      <c r="A2049">
        <v>16911</v>
      </c>
      <c r="B2049">
        <v>7442</v>
      </c>
      <c r="C2049">
        <f>1/COUNTIF(B:B,pizza_sales[[#This Row],[order_id]])</f>
        <v>1</v>
      </c>
      <c r="D2049" t="s">
        <v>16</v>
      </c>
      <c r="E2049">
        <v>1</v>
      </c>
      <c r="F2049" s="1">
        <v>42129</v>
      </c>
      <c r="G2049" s="1" t="str">
        <f>TEXT(pizza_sales[[#This Row],[order_date]],"dddd")</f>
        <v>Tuesday</v>
      </c>
      <c r="H2049" s="2">
        <v>0.70969907407407407</v>
      </c>
      <c r="I2049">
        <v>16</v>
      </c>
      <c r="J2049">
        <v>16</v>
      </c>
      <c r="K2049" t="s">
        <v>59</v>
      </c>
      <c r="L2049" t="s">
        <v>17</v>
      </c>
      <c r="M2049" t="s">
        <v>18</v>
      </c>
      <c r="N2049" t="s">
        <v>19</v>
      </c>
    </row>
    <row r="2050" spans="1:14" x14ac:dyDescent="0.25">
      <c r="A2050">
        <v>16916</v>
      </c>
      <c r="B2050">
        <v>7443</v>
      </c>
      <c r="C2050">
        <f>1/COUNTIF(B:B,pizza_sales[[#This Row],[order_id]])</f>
        <v>1</v>
      </c>
      <c r="D2050" t="s">
        <v>45</v>
      </c>
      <c r="E2050">
        <v>1</v>
      </c>
      <c r="F2050" s="1">
        <v>42129</v>
      </c>
      <c r="G2050" s="1" t="str">
        <f>TEXT(pizza_sales[[#This Row],[order_date]],"dddd")</f>
        <v>Tuesday</v>
      </c>
      <c r="H2050" s="2">
        <v>0.71506944444444442</v>
      </c>
      <c r="I2050">
        <v>10.5</v>
      </c>
      <c r="J2050">
        <v>10.5</v>
      </c>
      <c r="K2050" t="s">
        <v>60</v>
      </c>
      <c r="L2050" t="s">
        <v>13</v>
      </c>
      <c r="M2050" t="s">
        <v>14</v>
      </c>
      <c r="N2050" t="s">
        <v>15</v>
      </c>
    </row>
    <row r="2051" spans="1:14" x14ac:dyDescent="0.25">
      <c r="A2051">
        <v>16920</v>
      </c>
      <c r="B2051">
        <v>7445</v>
      </c>
      <c r="C2051">
        <f>1/COUNTIF(B:B,pizza_sales[[#This Row],[order_id]])</f>
        <v>1</v>
      </c>
      <c r="D2051" t="s">
        <v>39</v>
      </c>
      <c r="E2051">
        <v>1</v>
      </c>
      <c r="F2051" s="1">
        <v>42129</v>
      </c>
      <c r="G2051" s="1" t="str">
        <f>TEXT(pizza_sales[[#This Row],[order_date]],"dddd")</f>
        <v>Tuesday</v>
      </c>
      <c r="H2051" s="2">
        <v>0.73952546296296295</v>
      </c>
      <c r="I2051">
        <v>20.25</v>
      </c>
      <c r="J2051">
        <v>20.25</v>
      </c>
      <c r="K2051" t="s">
        <v>58</v>
      </c>
      <c r="L2051" t="s">
        <v>35</v>
      </c>
      <c r="M2051" t="s">
        <v>40</v>
      </c>
      <c r="N2051" t="s">
        <v>41</v>
      </c>
    </row>
    <row r="2052" spans="1:14" x14ac:dyDescent="0.25">
      <c r="A2052">
        <v>16924</v>
      </c>
      <c r="B2052">
        <v>7446</v>
      </c>
      <c r="C2052">
        <f>1/COUNTIF(B:B,pizza_sales[[#This Row],[order_id]])</f>
        <v>0.5</v>
      </c>
      <c r="D2052" t="s">
        <v>45</v>
      </c>
      <c r="E2052">
        <v>1</v>
      </c>
      <c r="F2052" s="1">
        <v>42129</v>
      </c>
      <c r="G2052" s="1" t="str">
        <f>TEXT(pizza_sales[[#This Row],[order_date]],"dddd")</f>
        <v>Tuesday</v>
      </c>
      <c r="H2052" s="2">
        <v>0.74949074074074074</v>
      </c>
      <c r="I2052">
        <v>10.5</v>
      </c>
      <c r="J2052">
        <v>10.5</v>
      </c>
      <c r="K2052" t="s">
        <v>60</v>
      </c>
      <c r="L2052" t="s">
        <v>13</v>
      </c>
      <c r="M2052" t="s">
        <v>14</v>
      </c>
      <c r="N2052" t="s">
        <v>15</v>
      </c>
    </row>
    <row r="2053" spans="1:14" x14ac:dyDescent="0.25">
      <c r="A2053">
        <v>16925</v>
      </c>
      <c r="B2053">
        <v>7446</v>
      </c>
      <c r="C2053">
        <f>1/COUNTIF(B:B,pizza_sales[[#This Row],[order_id]])</f>
        <v>0.5</v>
      </c>
      <c r="D2053" t="s">
        <v>42</v>
      </c>
      <c r="E2053">
        <v>1</v>
      </c>
      <c r="F2053" s="1">
        <v>42129</v>
      </c>
      <c r="G2053" s="1" t="str">
        <f>TEXT(pizza_sales[[#This Row],[order_date]],"dddd")</f>
        <v>Tuesday</v>
      </c>
      <c r="H2053" s="2">
        <v>0.74949074074074074</v>
      </c>
      <c r="I2053">
        <v>12.5</v>
      </c>
      <c r="J2053">
        <v>12.5</v>
      </c>
      <c r="K2053" t="s">
        <v>59</v>
      </c>
      <c r="L2053" t="s">
        <v>13</v>
      </c>
      <c r="M2053" t="s">
        <v>26</v>
      </c>
      <c r="N2053" t="s">
        <v>27</v>
      </c>
    </row>
    <row r="2054" spans="1:14" x14ac:dyDescent="0.25">
      <c r="A2054">
        <v>16933</v>
      </c>
      <c r="B2054">
        <v>7452</v>
      </c>
      <c r="C2054">
        <f>1/COUNTIF(B:B,pizza_sales[[#This Row],[order_id]])</f>
        <v>1</v>
      </c>
      <c r="D2054" t="s">
        <v>47</v>
      </c>
      <c r="E2054">
        <v>1</v>
      </c>
      <c r="F2054" s="1">
        <v>42129</v>
      </c>
      <c r="G2054" s="1" t="str">
        <f>TEXT(pizza_sales[[#This Row],[order_date]],"dddd")</f>
        <v>Tuesday</v>
      </c>
      <c r="H2054" s="2">
        <v>0.77504629629629629</v>
      </c>
      <c r="I2054">
        <v>16.5</v>
      </c>
      <c r="J2054">
        <v>16.5</v>
      </c>
      <c r="K2054" t="s">
        <v>58</v>
      </c>
      <c r="L2054" t="s">
        <v>13</v>
      </c>
      <c r="M2054" t="s">
        <v>14</v>
      </c>
      <c r="N2054" t="s">
        <v>15</v>
      </c>
    </row>
    <row r="2055" spans="1:14" x14ac:dyDescent="0.25">
      <c r="A2055">
        <v>16939</v>
      </c>
      <c r="B2055">
        <v>7455</v>
      </c>
      <c r="C2055">
        <f>1/COUNTIF(B:B,pizza_sales[[#This Row],[order_id]])</f>
        <v>0.5</v>
      </c>
      <c r="D2055" t="s">
        <v>47</v>
      </c>
      <c r="E2055">
        <v>1</v>
      </c>
      <c r="F2055" s="1">
        <v>42129</v>
      </c>
      <c r="G2055" s="1" t="str">
        <f>TEXT(pizza_sales[[#This Row],[order_date]],"dddd")</f>
        <v>Tuesday</v>
      </c>
      <c r="H2055" s="2">
        <v>0.82878472222222221</v>
      </c>
      <c r="I2055">
        <v>16.5</v>
      </c>
      <c r="J2055">
        <v>16.5</v>
      </c>
      <c r="K2055" t="s">
        <v>58</v>
      </c>
      <c r="L2055" t="s">
        <v>13</v>
      </c>
      <c r="M2055" t="s">
        <v>14</v>
      </c>
      <c r="N2055" t="s">
        <v>15</v>
      </c>
    </row>
    <row r="2056" spans="1:14" x14ac:dyDescent="0.25">
      <c r="A2056">
        <v>16940</v>
      </c>
      <c r="B2056">
        <v>7455</v>
      </c>
      <c r="C2056">
        <f>1/COUNTIF(B:B,pizza_sales[[#This Row],[order_id]])</f>
        <v>0.5</v>
      </c>
      <c r="D2056" t="s">
        <v>50</v>
      </c>
      <c r="E2056">
        <v>1</v>
      </c>
      <c r="F2056" s="1">
        <v>42129</v>
      </c>
      <c r="G2056" s="1" t="str">
        <f>TEXT(pizza_sales[[#This Row],[order_date]],"dddd")</f>
        <v>Tuesday</v>
      </c>
      <c r="H2056" s="2">
        <v>0.82878472222222221</v>
      </c>
      <c r="I2056">
        <v>16</v>
      </c>
      <c r="J2056">
        <v>16</v>
      </c>
      <c r="K2056" t="s">
        <v>59</v>
      </c>
      <c r="L2056" t="s">
        <v>13</v>
      </c>
      <c r="M2056" t="s">
        <v>32</v>
      </c>
      <c r="N2056" t="s">
        <v>33</v>
      </c>
    </row>
    <row r="2057" spans="1:14" x14ac:dyDescent="0.25">
      <c r="A2057">
        <v>16941</v>
      </c>
      <c r="B2057">
        <v>7456</v>
      </c>
      <c r="C2057">
        <f>1/COUNTIF(B:B,pizza_sales[[#This Row],[order_id]])</f>
        <v>1</v>
      </c>
      <c r="D2057" t="s">
        <v>45</v>
      </c>
      <c r="E2057">
        <v>1</v>
      </c>
      <c r="F2057" s="1">
        <v>42129</v>
      </c>
      <c r="G2057" s="1" t="str">
        <f>TEXT(pizza_sales[[#This Row],[order_date]],"dddd")</f>
        <v>Tuesday</v>
      </c>
      <c r="H2057" s="2">
        <v>0.8347106481481481</v>
      </c>
      <c r="I2057">
        <v>10.5</v>
      </c>
      <c r="J2057">
        <v>10.5</v>
      </c>
      <c r="K2057" t="s">
        <v>60</v>
      </c>
      <c r="L2057" t="s">
        <v>13</v>
      </c>
      <c r="M2057" t="s">
        <v>14</v>
      </c>
      <c r="N2057" t="s">
        <v>15</v>
      </c>
    </row>
    <row r="2058" spans="1:14" x14ac:dyDescent="0.25">
      <c r="A2058">
        <v>16944</v>
      </c>
      <c r="B2058">
        <v>7457</v>
      </c>
      <c r="C2058">
        <f>1/COUNTIF(B:B,pizza_sales[[#This Row],[order_id]])</f>
        <v>1</v>
      </c>
      <c r="D2058" t="s">
        <v>45</v>
      </c>
      <c r="E2058">
        <v>1</v>
      </c>
      <c r="F2058" s="1">
        <v>42129</v>
      </c>
      <c r="G2058" s="1" t="str">
        <f>TEXT(pizza_sales[[#This Row],[order_date]],"dddd")</f>
        <v>Tuesday</v>
      </c>
      <c r="H2058" s="2">
        <v>0.84365740740740736</v>
      </c>
      <c r="I2058">
        <v>10.5</v>
      </c>
      <c r="J2058">
        <v>10.5</v>
      </c>
      <c r="K2058" t="s">
        <v>60</v>
      </c>
      <c r="L2058" t="s">
        <v>13</v>
      </c>
      <c r="M2058" t="s">
        <v>14</v>
      </c>
      <c r="N2058" t="s">
        <v>15</v>
      </c>
    </row>
    <row r="2059" spans="1:14" x14ac:dyDescent="0.25">
      <c r="A2059">
        <v>16948</v>
      </c>
      <c r="B2059">
        <v>7458</v>
      </c>
      <c r="C2059">
        <f>1/COUNTIF(B:B,pizza_sales[[#This Row],[order_id]])</f>
        <v>1</v>
      </c>
      <c r="D2059" t="s">
        <v>46</v>
      </c>
      <c r="E2059">
        <v>1</v>
      </c>
      <c r="F2059" s="1">
        <v>42129</v>
      </c>
      <c r="G2059" s="1" t="str">
        <f>TEXT(pizza_sales[[#This Row],[order_date]],"dddd")</f>
        <v>Tuesday</v>
      </c>
      <c r="H2059" s="2">
        <v>0.84438657407407403</v>
      </c>
      <c r="I2059">
        <v>25.5</v>
      </c>
      <c r="J2059">
        <v>25.5</v>
      </c>
      <c r="K2059" t="s">
        <v>61</v>
      </c>
      <c r="L2059" t="s">
        <v>13</v>
      </c>
      <c r="M2059" t="s">
        <v>21</v>
      </c>
      <c r="N2059" t="s">
        <v>22</v>
      </c>
    </row>
    <row r="2060" spans="1:14" x14ac:dyDescent="0.25">
      <c r="A2060">
        <v>16965</v>
      </c>
      <c r="B2060">
        <v>7468</v>
      </c>
      <c r="C2060">
        <f>1/COUNTIF(B:B,pizza_sales[[#This Row],[order_id]])</f>
        <v>1</v>
      </c>
      <c r="D2060" t="s">
        <v>28</v>
      </c>
      <c r="E2060">
        <v>1</v>
      </c>
      <c r="F2060" s="1">
        <v>42160</v>
      </c>
      <c r="G2060" s="1" t="str">
        <f>TEXT(pizza_sales[[#This Row],[order_date]],"dddd")</f>
        <v>Friday</v>
      </c>
      <c r="H2060" s="2">
        <v>0.50084490740740739</v>
      </c>
      <c r="I2060">
        <v>12</v>
      </c>
      <c r="J2060">
        <v>12</v>
      </c>
      <c r="K2060" t="s">
        <v>60</v>
      </c>
      <c r="L2060" t="s">
        <v>13</v>
      </c>
      <c r="M2060" t="s">
        <v>29</v>
      </c>
      <c r="N2060" t="s">
        <v>30</v>
      </c>
    </row>
    <row r="2061" spans="1:14" x14ac:dyDescent="0.25">
      <c r="A2061">
        <v>16968</v>
      </c>
      <c r="B2061">
        <v>7470</v>
      </c>
      <c r="C2061">
        <f>1/COUNTIF(B:B,pizza_sales[[#This Row],[order_id]])</f>
        <v>1</v>
      </c>
      <c r="D2061" t="s">
        <v>28</v>
      </c>
      <c r="E2061">
        <v>1</v>
      </c>
      <c r="F2061" s="1">
        <v>42160</v>
      </c>
      <c r="G2061" s="1" t="str">
        <f>TEXT(pizza_sales[[#This Row],[order_date]],"dddd")</f>
        <v>Friday</v>
      </c>
      <c r="H2061" s="2">
        <v>0.51543981481481482</v>
      </c>
      <c r="I2061">
        <v>12</v>
      </c>
      <c r="J2061">
        <v>12</v>
      </c>
      <c r="K2061" t="s">
        <v>60</v>
      </c>
      <c r="L2061" t="s">
        <v>13</v>
      </c>
      <c r="M2061" t="s">
        <v>29</v>
      </c>
      <c r="N2061" t="s">
        <v>30</v>
      </c>
    </row>
    <row r="2062" spans="1:14" x14ac:dyDescent="0.25">
      <c r="A2062">
        <v>16983</v>
      </c>
      <c r="B2062">
        <v>7476</v>
      </c>
      <c r="C2062">
        <f>1/COUNTIF(B:B,pizza_sales[[#This Row],[order_id]])</f>
        <v>0.33333333333333331</v>
      </c>
      <c r="D2062" t="s">
        <v>47</v>
      </c>
      <c r="E2062">
        <v>1</v>
      </c>
      <c r="F2062" s="1">
        <v>42160</v>
      </c>
      <c r="G2062" s="1" t="str">
        <f>TEXT(pizza_sales[[#This Row],[order_date]],"dddd")</f>
        <v>Friday</v>
      </c>
      <c r="H2062" s="2">
        <v>0.53590277777777773</v>
      </c>
      <c r="I2062">
        <v>16.5</v>
      </c>
      <c r="J2062">
        <v>16.5</v>
      </c>
      <c r="K2062" t="s">
        <v>58</v>
      </c>
      <c r="L2062" t="s">
        <v>13</v>
      </c>
      <c r="M2062" t="s">
        <v>14</v>
      </c>
      <c r="N2062" t="s">
        <v>15</v>
      </c>
    </row>
    <row r="2063" spans="1:14" x14ac:dyDescent="0.25">
      <c r="A2063">
        <v>16988</v>
      </c>
      <c r="B2063">
        <v>7476</v>
      </c>
      <c r="C2063">
        <f>1/COUNTIF(B:B,pizza_sales[[#This Row],[order_id]])</f>
        <v>0.33333333333333331</v>
      </c>
      <c r="D2063" t="s">
        <v>42</v>
      </c>
      <c r="E2063">
        <v>1</v>
      </c>
      <c r="F2063" s="1">
        <v>42160</v>
      </c>
      <c r="G2063" s="1" t="str">
        <f>TEXT(pizza_sales[[#This Row],[order_date]],"dddd")</f>
        <v>Friday</v>
      </c>
      <c r="H2063" s="2">
        <v>0.53590277777777773</v>
      </c>
      <c r="I2063">
        <v>12.5</v>
      </c>
      <c r="J2063">
        <v>12.5</v>
      </c>
      <c r="K2063" t="s">
        <v>59</v>
      </c>
      <c r="L2063" t="s">
        <v>13</v>
      </c>
      <c r="M2063" t="s">
        <v>26</v>
      </c>
      <c r="N2063" t="s">
        <v>27</v>
      </c>
    </row>
    <row r="2064" spans="1:14" x14ac:dyDescent="0.25">
      <c r="A2064">
        <v>16989</v>
      </c>
      <c r="B2064">
        <v>7476</v>
      </c>
      <c r="C2064">
        <f>1/COUNTIF(B:B,pizza_sales[[#This Row],[order_id]])</f>
        <v>0.33333333333333331</v>
      </c>
      <c r="D2064" t="s">
        <v>48</v>
      </c>
      <c r="E2064">
        <v>2</v>
      </c>
      <c r="F2064" s="1">
        <v>42160</v>
      </c>
      <c r="G2064" s="1" t="str">
        <f>TEXT(pizza_sales[[#This Row],[order_date]],"dddd")</f>
        <v>Friday</v>
      </c>
      <c r="H2064" s="2">
        <v>0.53590277777777773</v>
      </c>
      <c r="I2064">
        <v>12.25</v>
      </c>
      <c r="J2064">
        <v>24.5</v>
      </c>
      <c r="K2064" t="s">
        <v>60</v>
      </c>
      <c r="L2064" t="s">
        <v>35</v>
      </c>
      <c r="M2064" t="s">
        <v>40</v>
      </c>
      <c r="N2064" t="s">
        <v>41</v>
      </c>
    </row>
    <row r="2065" spans="1:14" x14ac:dyDescent="0.25">
      <c r="A2065">
        <v>16996</v>
      </c>
      <c r="B2065">
        <v>7477</v>
      </c>
      <c r="C2065">
        <f>1/COUNTIF(B:B,pizza_sales[[#This Row],[order_id]])</f>
        <v>1</v>
      </c>
      <c r="D2065" t="s">
        <v>50</v>
      </c>
      <c r="E2065">
        <v>1</v>
      </c>
      <c r="F2065" s="1">
        <v>42160</v>
      </c>
      <c r="G2065" s="1" t="str">
        <f>TEXT(pizza_sales[[#This Row],[order_date]],"dddd")</f>
        <v>Friday</v>
      </c>
      <c r="H2065" s="2">
        <v>0.5384606481481482</v>
      </c>
      <c r="I2065">
        <v>16</v>
      </c>
      <c r="J2065">
        <v>16</v>
      </c>
      <c r="K2065" t="s">
        <v>59</v>
      </c>
      <c r="L2065" t="s">
        <v>13</v>
      </c>
      <c r="M2065" t="s">
        <v>32</v>
      </c>
      <c r="N2065" t="s">
        <v>33</v>
      </c>
    </row>
    <row r="2066" spans="1:14" x14ac:dyDescent="0.25">
      <c r="A2066">
        <v>17001</v>
      </c>
      <c r="B2066">
        <v>7480</v>
      </c>
      <c r="C2066">
        <f>1/COUNTIF(B:B,pizza_sales[[#This Row],[order_id]])</f>
        <v>1</v>
      </c>
      <c r="D2066" t="s">
        <v>34</v>
      </c>
      <c r="E2066">
        <v>1</v>
      </c>
      <c r="F2066" s="1">
        <v>42160</v>
      </c>
      <c r="G2066" s="1" t="str">
        <f>TEXT(pizza_sales[[#This Row],[order_date]],"dddd")</f>
        <v>Friday</v>
      </c>
      <c r="H2066" s="2">
        <v>0.5569560185185185</v>
      </c>
      <c r="I2066">
        <v>16.25</v>
      </c>
      <c r="J2066">
        <v>16.25</v>
      </c>
      <c r="K2066" t="s">
        <v>59</v>
      </c>
      <c r="L2066" t="s">
        <v>35</v>
      </c>
      <c r="M2066" t="s">
        <v>36</v>
      </c>
      <c r="N2066" t="s">
        <v>37</v>
      </c>
    </row>
    <row r="2067" spans="1:14" x14ac:dyDescent="0.25">
      <c r="A2067">
        <v>17005</v>
      </c>
      <c r="B2067">
        <v>7481</v>
      </c>
      <c r="C2067">
        <f>1/COUNTIF(B:B,pizza_sales[[#This Row],[order_id]])</f>
        <v>1</v>
      </c>
      <c r="D2067" t="s">
        <v>46</v>
      </c>
      <c r="E2067">
        <v>1</v>
      </c>
      <c r="F2067" s="1">
        <v>42160</v>
      </c>
      <c r="G2067" s="1" t="str">
        <f>TEXT(pizza_sales[[#This Row],[order_date]],"dddd")</f>
        <v>Friday</v>
      </c>
      <c r="H2067" s="2">
        <v>0.56473379629629628</v>
      </c>
      <c r="I2067">
        <v>25.5</v>
      </c>
      <c r="J2067">
        <v>25.5</v>
      </c>
      <c r="K2067" t="s">
        <v>61</v>
      </c>
      <c r="L2067" t="s">
        <v>13</v>
      </c>
      <c r="M2067" t="s">
        <v>21</v>
      </c>
      <c r="N2067" t="s">
        <v>22</v>
      </c>
    </row>
    <row r="2068" spans="1:14" x14ac:dyDescent="0.25">
      <c r="A2068">
        <v>17013</v>
      </c>
      <c r="B2068">
        <v>7484</v>
      </c>
      <c r="C2068">
        <f>1/COUNTIF(B:B,pizza_sales[[#This Row],[order_id]])</f>
        <v>1</v>
      </c>
      <c r="D2068" t="s">
        <v>46</v>
      </c>
      <c r="E2068">
        <v>1</v>
      </c>
      <c r="F2068" s="1">
        <v>42160</v>
      </c>
      <c r="G2068" s="1" t="str">
        <f>TEXT(pizza_sales[[#This Row],[order_date]],"dddd")</f>
        <v>Friday</v>
      </c>
      <c r="H2068" s="2">
        <v>0.63039351851851855</v>
      </c>
      <c r="I2068">
        <v>25.5</v>
      </c>
      <c r="J2068">
        <v>25.5</v>
      </c>
      <c r="K2068" t="s">
        <v>61</v>
      </c>
      <c r="L2068" t="s">
        <v>13</v>
      </c>
      <c r="M2068" t="s">
        <v>21</v>
      </c>
      <c r="N2068" t="s">
        <v>22</v>
      </c>
    </row>
    <row r="2069" spans="1:14" x14ac:dyDescent="0.25">
      <c r="A2069">
        <v>17014</v>
      </c>
      <c r="B2069">
        <v>7485</v>
      </c>
      <c r="C2069">
        <f>1/COUNTIF(B:B,pizza_sales[[#This Row],[order_id]])</f>
        <v>1</v>
      </c>
      <c r="D2069" t="s">
        <v>28</v>
      </c>
      <c r="E2069">
        <v>1</v>
      </c>
      <c r="F2069" s="1">
        <v>42160</v>
      </c>
      <c r="G2069" s="1" t="str">
        <f>TEXT(pizza_sales[[#This Row],[order_date]],"dddd")</f>
        <v>Friday</v>
      </c>
      <c r="H2069" s="2">
        <v>0.64877314814814813</v>
      </c>
      <c r="I2069">
        <v>12</v>
      </c>
      <c r="J2069">
        <v>12</v>
      </c>
      <c r="K2069" t="s">
        <v>60</v>
      </c>
      <c r="L2069" t="s">
        <v>13</v>
      </c>
      <c r="M2069" t="s">
        <v>29</v>
      </c>
      <c r="N2069" t="s">
        <v>30</v>
      </c>
    </row>
    <row r="2070" spans="1:14" x14ac:dyDescent="0.25">
      <c r="A2070">
        <v>17019</v>
      </c>
      <c r="B2070">
        <v>7488</v>
      </c>
      <c r="C2070">
        <f>1/COUNTIF(B:B,pizza_sales[[#This Row],[order_id]])</f>
        <v>1</v>
      </c>
      <c r="D2070" t="s">
        <v>12</v>
      </c>
      <c r="E2070">
        <v>1</v>
      </c>
      <c r="F2070" s="1">
        <v>42160</v>
      </c>
      <c r="G2070" s="1" t="str">
        <f>TEXT(pizza_sales[[#This Row],[order_date]],"dddd")</f>
        <v>Friday</v>
      </c>
      <c r="H2070" s="2">
        <v>0.66018518518518521</v>
      </c>
      <c r="I2070">
        <v>13.25</v>
      </c>
      <c r="J2070">
        <v>13.25</v>
      </c>
      <c r="K2070" t="s">
        <v>59</v>
      </c>
      <c r="L2070" t="s">
        <v>13</v>
      </c>
      <c r="M2070" t="s">
        <v>14</v>
      </c>
      <c r="N2070" t="s">
        <v>15</v>
      </c>
    </row>
    <row r="2071" spans="1:14" x14ac:dyDescent="0.25">
      <c r="A2071">
        <v>17025</v>
      </c>
      <c r="B2071">
        <v>7490</v>
      </c>
      <c r="C2071">
        <f>1/COUNTIF(B:B,pizza_sales[[#This Row],[order_id]])</f>
        <v>1</v>
      </c>
      <c r="D2071" t="s">
        <v>25</v>
      </c>
      <c r="E2071">
        <v>1</v>
      </c>
      <c r="F2071" s="1">
        <v>42160</v>
      </c>
      <c r="G2071" s="1" t="str">
        <f>TEXT(pizza_sales[[#This Row],[order_date]],"dddd")</f>
        <v>Friday</v>
      </c>
      <c r="H2071" s="2">
        <v>0.67489583333333336</v>
      </c>
      <c r="I2071">
        <v>15.25</v>
      </c>
      <c r="J2071">
        <v>15.25</v>
      </c>
      <c r="K2071" t="s">
        <v>58</v>
      </c>
      <c r="L2071" t="s">
        <v>13</v>
      </c>
      <c r="M2071" t="s">
        <v>26</v>
      </c>
      <c r="N2071" t="s">
        <v>27</v>
      </c>
    </row>
    <row r="2072" spans="1:14" x14ac:dyDescent="0.25">
      <c r="A2072">
        <v>17026</v>
      </c>
      <c r="B2072">
        <v>7491</v>
      </c>
      <c r="C2072">
        <f>1/COUNTIF(B:B,pizza_sales[[#This Row],[order_id]])</f>
        <v>1</v>
      </c>
      <c r="D2072" t="s">
        <v>28</v>
      </c>
      <c r="E2072">
        <v>1</v>
      </c>
      <c r="F2072" s="1">
        <v>42160</v>
      </c>
      <c r="G2072" s="1" t="str">
        <f>TEXT(pizza_sales[[#This Row],[order_date]],"dddd")</f>
        <v>Friday</v>
      </c>
      <c r="H2072" s="2">
        <v>0.68399305555555556</v>
      </c>
      <c r="I2072">
        <v>12</v>
      </c>
      <c r="J2072">
        <v>12</v>
      </c>
      <c r="K2072" t="s">
        <v>60</v>
      </c>
      <c r="L2072" t="s">
        <v>13</v>
      </c>
      <c r="M2072" t="s">
        <v>29</v>
      </c>
      <c r="N2072" t="s">
        <v>30</v>
      </c>
    </row>
    <row r="2073" spans="1:14" x14ac:dyDescent="0.25">
      <c r="A2073">
        <v>17044</v>
      </c>
      <c r="B2073">
        <v>7498</v>
      </c>
      <c r="C2073">
        <f>1/COUNTIF(B:B,pizza_sales[[#This Row],[order_id]])</f>
        <v>1</v>
      </c>
      <c r="D2073" t="s">
        <v>48</v>
      </c>
      <c r="E2073">
        <v>1</v>
      </c>
      <c r="F2073" s="1">
        <v>42160</v>
      </c>
      <c r="G2073" s="1" t="str">
        <f>TEXT(pizza_sales[[#This Row],[order_date]],"dddd")</f>
        <v>Friday</v>
      </c>
      <c r="H2073" s="2">
        <v>0.73562499999999997</v>
      </c>
      <c r="I2073">
        <v>12.25</v>
      </c>
      <c r="J2073">
        <v>12.25</v>
      </c>
      <c r="K2073" t="s">
        <v>60</v>
      </c>
      <c r="L2073" t="s">
        <v>35</v>
      </c>
      <c r="M2073" t="s">
        <v>40</v>
      </c>
      <c r="N2073" t="s">
        <v>41</v>
      </c>
    </row>
    <row r="2074" spans="1:14" x14ac:dyDescent="0.25">
      <c r="A2074">
        <v>17048</v>
      </c>
      <c r="B2074">
        <v>7500</v>
      </c>
      <c r="C2074">
        <f>1/COUNTIF(B:B,pizza_sales[[#This Row],[order_id]])</f>
        <v>1</v>
      </c>
      <c r="D2074" t="s">
        <v>44</v>
      </c>
      <c r="E2074">
        <v>1</v>
      </c>
      <c r="F2074" s="1">
        <v>42160</v>
      </c>
      <c r="G2074" s="1" t="str">
        <f>TEXT(pizza_sales[[#This Row],[order_date]],"dddd")</f>
        <v>Friday</v>
      </c>
      <c r="H2074" s="2">
        <v>0.74016203703703709</v>
      </c>
      <c r="I2074">
        <v>9.75</v>
      </c>
      <c r="J2074">
        <v>9.75</v>
      </c>
      <c r="K2074" t="s">
        <v>60</v>
      </c>
      <c r="L2074" t="s">
        <v>13</v>
      </c>
      <c r="M2074" t="s">
        <v>26</v>
      </c>
      <c r="N2074" t="s">
        <v>27</v>
      </c>
    </row>
    <row r="2075" spans="1:14" x14ac:dyDescent="0.25">
      <c r="A2075">
        <v>17052</v>
      </c>
      <c r="B2075">
        <v>7501</v>
      </c>
      <c r="C2075">
        <f>1/COUNTIF(B:B,pizza_sales[[#This Row],[order_id]])</f>
        <v>1</v>
      </c>
      <c r="D2075" t="s">
        <v>24</v>
      </c>
      <c r="E2075">
        <v>2</v>
      </c>
      <c r="F2075" s="1">
        <v>42160</v>
      </c>
      <c r="G2075" s="1" t="str">
        <f>TEXT(pizza_sales[[#This Row],[order_date]],"dddd")</f>
        <v>Friday</v>
      </c>
      <c r="H2075" s="2">
        <v>0.74557870370370372</v>
      </c>
      <c r="I2075">
        <v>20.25</v>
      </c>
      <c r="J2075">
        <v>40.5</v>
      </c>
      <c r="K2075" t="s">
        <v>58</v>
      </c>
      <c r="L2075" t="s">
        <v>17</v>
      </c>
      <c r="M2075" t="s">
        <v>18</v>
      </c>
      <c r="N2075" t="s">
        <v>19</v>
      </c>
    </row>
    <row r="2076" spans="1:14" x14ac:dyDescent="0.25">
      <c r="A2076">
        <v>17060</v>
      </c>
      <c r="B2076">
        <v>7505</v>
      </c>
      <c r="C2076">
        <f>1/COUNTIF(B:B,pizza_sales[[#This Row],[order_id]])</f>
        <v>1</v>
      </c>
      <c r="D2076" t="s">
        <v>45</v>
      </c>
      <c r="E2076">
        <v>1</v>
      </c>
      <c r="F2076" s="1">
        <v>42160</v>
      </c>
      <c r="G2076" s="1" t="str">
        <f>TEXT(pizza_sales[[#This Row],[order_date]],"dddd")</f>
        <v>Friday</v>
      </c>
      <c r="H2076" s="2">
        <v>0.75391203703703702</v>
      </c>
      <c r="I2076">
        <v>10.5</v>
      </c>
      <c r="J2076">
        <v>10.5</v>
      </c>
      <c r="K2076" t="s">
        <v>60</v>
      </c>
      <c r="L2076" t="s">
        <v>13</v>
      </c>
      <c r="M2076" t="s">
        <v>14</v>
      </c>
      <c r="N2076" t="s">
        <v>15</v>
      </c>
    </row>
    <row r="2077" spans="1:14" x14ac:dyDescent="0.25">
      <c r="A2077">
        <v>17064</v>
      </c>
      <c r="B2077">
        <v>7507</v>
      </c>
      <c r="C2077">
        <f>1/COUNTIF(B:B,pizza_sales[[#This Row],[order_id]])</f>
        <v>1</v>
      </c>
      <c r="D2077" t="s">
        <v>12</v>
      </c>
      <c r="E2077">
        <v>1</v>
      </c>
      <c r="F2077" s="1">
        <v>42160</v>
      </c>
      <c r="G2077" s="1" t="str">
        <f>TEXT(pizza_sales[[#This Row],[order_date]],"dddd")</f>
        <v>Friday</v>
      </c>
      <c r="H2077" s="2">
        <v>0.76946759259259256</v>
      </c>
      <c r="I2077">
        <v>13.25</v>
      </c>
      <c r="J2077">
        <v>13.25</v>
      </c>
      <c r="K2077" t="s">
        <v>59</v>
      </c>
      <c r="L2077" t="s">
        <v>13</v>
      </c>
      <c r="M2077" t="s">
        <v>14</v>
      </c>
      <c r="N2077" t="s">
        <v>15</v>
      </c>
    </row>
    <row r="2078" spans="1:14" x14ac:dyDescent="0.25">
      <c r="A2078">
        <v>17070</v>
      </c>
      <c r="B2078">
        <v>7509</v>
      </c>
      <c r="C2078">
        <f>1/COUNTIF(B:B,pizza_sales[[#This Row],[order_id]])</f>
        <v>1</v>
      </c>
      <c r="D2078" t="s">
        <v>45</v>
      </c>
      <c r="E2078">
        <v>1</v>
      </c>
      <c r="F2078" s="1">
        <v>42160</v>
      </c>
      <c r="G2078" s="1" t="str">
        <f>TEXT(pizza_sales[[#This Row],[order_date]],"dddd")</f>
        <v>Friday</v>
      </c>
      <c r="H2078" s="2">
        <v>0.78916666666666668</v>
      </c>
      <c r="I2078">
        <v>10.5</v>
      </c>
      <c r="J2078">
        <v>10.5</v>
      </c>
      <c r="K2078" t="s">
        <v>60</v>
      </c>
      <c r="L2078" t="s">
        <v>13</v>
      </c>
      <c r="M2078" t="s">
        <v>14</v>
      </c>
      <c r="N2078" t="s">
        <v>15</v>
      </c>
    </row>
    <row r="2079" spans="1:14" x14ac:dyDescent="0.25">
      <c r="A2079">
        <v>17078</v>
      </c>
      <c r="B2079">
        <v>7513</v>
      </c>
      <c r="C2079">
        <f>1/COUNTIF(B:B,pizza_sales[[#This Row],[order_id]])</f>
        <v>1</v>
      </c>
      <c r="D2079" t="s">
        <v>38</v>
      </c>
      <c r="E2079">
        <v>1</v>
      </c>
      <c r="F2079" s="1">
        <v>42160</v>
      </c>
      <c r="G2079" s="1" t="str">
        <f>TEXT(pizza_sales[[#This Row],[order_date]],"dddd")</f>
        <v>Friday</v>
      </c>
      <c r="H2079" s="2">
        <v>0.80945601851851856</v>
      </c>
      <c r="I2079">
        <v>20.5</v>
      </c>
      <c r="J2079">
        <v>20.5</v>
      </c>
      <c r="K2079" t="s">
        <v>58</v>
      </c>
      <c r="L2079" t="s">
        <v>13</v>
      </c>
      <c r="M2079" t="s">
        <v>32</v>
      </c>
      <c r="N2079" t="s">
        <v>33</v>
      </c>
    </row>
    <row r="2080" spans="1:14" x14ac:dyDescent="0.25">
      <c r="A2080">
        <v>17085</v>
      </c>
      <c r="B2080">
        <v>7516</v>
      </c>
      <c r="C2080">
        <f>1/COUNTIF(B:B,pizza_sales[[#This Row],[order_id]])</f>
        <v>1</v>
      </c>
      <c r="D2080" t="s">
        <v>24</v>
      </c>
      <c r="E2080">
        <v>1</v>
      </c>
      <c r="F2080" s="1">
        <v>42160</v>
      </c>
      <c r="G2080" s="1" t="str">
        <f>TEXT(pizza_sales[[#This Row],[order_date]],"dddd")</f>
        <v>Friday</v>
      </c>
      <c r="H2080" s="2">
        <v>0.84753472222222226</v>
      </c>
      <c r="I2080">
        <v>20.25</v>
      </c>
      <c r="J2080">
        <v>20.25</v>
      </c>
      <c r="K2080" t="s">
        <v>58</v>
      </c>
      <c r="L2080" t="s">
        <v>17</v>
      </c>
      <c r="M2080" t="s">
        <v>18</v>
      </c>
      <c r="N2080" t="s">
        <v>19</v>
      </c>
    </row>
    <row r="2081" spans="1:14" x14ac:dyDescent="0.25">
      <c r="A2081">
        <v>17087</v>
      </c>
      <c r="B2081">
        <v>7517</v>
      </c>
      <c r="C2081">
        <f>1/COUNTIF(B:B,pizza_sales[[#This Row],[order_id]])</f>
        <v>1</v>
      </c>
      <c r="D2081" t="s">
        <v>24</v>
      </c>
      <c r="E2081">
        <v>1</v>
      </c>
      <c r="F2081" s="1">
        <v>42160</v>
      </c>
      <c r="G2081" s="1" t="str">
        <f>TEXT(pizza_sales[[#This Row],[order_date]],"dddd")</f>
        <v>Friday</v>
      </c>
      <c r="H2081" s="2">
        <v>0.88436342592592587</v>
      </c>
      <c r="I2081">
        <v>20.25</v>
      </c>
      <c r="J2081">
        <v>20.25</v>
      </c>
      <c r="K2081" t="s">
        <v>58</v>
      </c>
      <c r="L2081" t="s">
        <v>17</v>
      </c>
      <c r="M2081" t="s">
        <v>18</v>
      </c>
      <c r="N2081" t="s">
        <v>19</v>
      </c>
    </row>
    <row r="2082" spans="1:14" x14ac:dyDescent="0.25">
      <c r="A2082">
        <v>17090</v>
      </c>
      <c r="B2082">
        <v>7518</v>
      </c>
      <c r="C2082">
        <f>1/COUNTIF(B:B,pizza_sales[[#This Row],[order_id]])</f>
        <v>0.5</v>
      </c>
      <c r="D2082" t="s">
        <v>28</v>
      </c>
      <c r="E2082">
        <v>1</v>
      </c>
      <c r="F2082" s="1">
        <v>42160</v>
      </c>
      <c r="G2082" s="1" t="str">
        <f>TEXT(pizza_sales[[#This Row],[order_date]],"dddd")</f>
        <v>Friday</v>
      </c>
      <c r="H2082" s="2">
        <v>0.89030092592592591</v>
      </c>
      <c r="I2082">
        <v>12</v>
      </c>
      <c r="J2082">
        <v>12</v>
      </c>
      <c r="K2082" t="s">
        <v>60</v>
      </c>
      <c r="L2082" t="s">
        <v>13</v>
      </c>
      <c r="M2082" t="s">
        <v>29</v>
      </c>
      <c r="N2082" t="s">
        <v>30</v>
      </c>
    </row>
    <row r="2083" spans="1:14" x14ac:dyDescent="0.25">
      <c r="A2083">
        <v>17091</v>
      </c>
      <c r="B2083">
        <v>7518</v>
      </c>
      <c r="C2083">
        <f>1/COUNTIF(B:B,pizza_sales[[#This Row],[order_id]])</f>
        <v>0.5</v>
      </c>
      <c r="D2083" t="s">
        <v>45</v>
      </c>
      <c r="E2083">
        <v>1</v>
      </c>
      <c r="F2083" s="1">
        <v>42160</v>
      </c>
      <c r="G2083" s="1" t="str">
        <f>TEXT(pizza_sales[[#This Row],[order_date]],"dddd")</f>
        <v>Friday</v>
      </c>
      <c r="H2083" s="2">
        <v>0.89030092592592591</v>
      </c>
      <c r="I2083">
        <v>10.5</v>
      </c>
      <c r="J2083">
        <v>10.5</v>
      </c>
      <c r="K2083" t="s">
        <v>60</v>
      </c>
      <c r="L2083" t="s">
        <v>13</v>
      </c>
      <c r="M2083" t="s">
        <v>14</v>
      </c>
      <c r="N2083" t="s">
        <v>15</v>
      </c>
    </row>
    <row r="2084" spans="1:14" x14ac:dyDescent="0.25">
      <c r="A2084">
        <v>17095</v>
      </c>
      <c r="B2084">
        <v>7520</v>
      </c>
      <c r="C2084">
        <f>1/COUNTIF(B:B,pizza_sales[[#This Row],[order_id]])</f>
        <v>1</v>
      </c>
      <c r="D2084" t="s">
        <v>47</v>
      </c>
      <c r="E2084">
        <v>1</v>
      </c>
      <c r="F2084" s="1">
        <v>42160</v>
      </c>
      <c r="G2084" s="1" t="str">
        <f>TEXT(pizza_sales[[#This Row],[order_date]],"dddd")</f>
        <v>Friday</v>
      </c>
      <c r="H2084" s="2">
        <v>0.91608796296296291</v>
      </c>
      <c r="I2084">
        <v>16.5</v>
      </c>
      <c r="J2084">
        <v>16.5</v>
      </c>
      <c r="K2084" t="s">
        <v>58</v>
      </c>
      <c r="L2084" t="s">
        <v>13</v>
      </c>
      <c r="M2084" t="s">
        <v>14</v>
      </c>
      <c r="N2084" t="s">
        <v>15</v>
      </c>
    </row>
    <row r="2085" spans="1:14" x14ac:dyDescent="0.25">
      <c r="A2085">
        <v>17098</v>
      </c>
      <c r="B2085">
        <v>7522</v>
      </c>
      <c r="C2085">
        <f>1/COUNTIF(B:B,pizza_sales[[#This Row],[order_id]])</f>
        <v>1</v>
      </c>
      <c r="D2085" t="s">
        <v>51</v>
      </c>
      <c r="E2085">
        <v>1</v>
      </c>
      <c r="F2085" s="1">
        <v>42190</v>
      </c>
      <c r="G2085" s="1" t="str">
        <f>TEXT(pizza_sales[[#This Row],[order_date]],"dddd")</f>
        <v>Sunday</v>
      </c>
      <c r="H2085" s="2">
        <v>0.49070601851851853</v>
      </c>
      <c r="I2085">
        <v>23.65</v>
      </c>
      <c r="J2085">
        <v>23.65</v>
      </c>
      <c r="K2085" t="s">
        <v>60</v>
      </c>
      <c r="L2085" t="s">
        <v>35</v>
      </c>
      <c r="M2085" t="s">
        <v>52</v>
      </c>
      <c r="N2085" t="s">
        <v>53</v>
      </c>
    </row>
    <row r="2086" spans="1:14" x14ac:dyDescent="0.25">
      <c r="A2086">
        <v>17106</v>
      </c>
      <c r="B2086">
        <v>7525</v>
      </c>
      <c r="C2086">
        <f>1/COUNTIF(B:B,pizza_sales[[#This Row],[order_id]])</f>
        <v>1</v>
      </c>
      <c r="D2086" t="s">
        <v>46</v>
      </c>
      <c r="E2086">
        <v>1</v>
      </c>
      <c r="F2086" s="1">
        <v>42190</v>
      </c>
      <c r="G2086" s="1" t="str">
        <f>TEXT(pizza_sales[[#This Row],[order_date]],"dddd")</f>
        <v>Sunday</v>
      </c>
      <c r="H2086" s="2">
        <v>0.49674768518518519</v>
      </c>
      <c r="I2086">
        <v>25.5</v>
      </c>
      <c r="J2086">
        <v>25.5</v>
      </c>
      <c r="K2086" t="s">
        <v>61</v>
      </c>
      <c r="L2086" t="s">
        <v>13</v>
      </c>
      <c r="M2086" t="s">
        <v>21</v>
      </c>
      <c r="N2086" t="s">
        <v>22</v>
      </c>
    </row>
    <row r="2087" spans="1:14" x14ac:dyDescent="0.25">
      <c r="A2087">
        <v>17109</v>
      </c>
      <c r="B2087">
        <v>7528</v>
      </c>
      <c r="C2087">
        <f>1/COUNTIF(B:B,pizza_sales[[#This Row],[order_id]])</f>
        <v>0.25</v>
      </c>
      <c r="D2087" t="s">
        <v>28</v>
      </c>
      <c r="E2087">
        <v>2</v>
      </c>
      <c r="F2087" s="1">
        <v>42190</v>
      </c>
      <c r="G2087" s="1" t="str">
        <f>TEXT(pizza_sales[[#This Row],[order_date]],"dddd")</f>
        <v>Sunday</v>
      </c>
      <c r="H2087" s="2">
        <v>0.53192129629629625</v>
      </c>
      <c r="I2087">
        <v>12</v>
      </c>
      <c r="J2087">
        <v>24</v>
      </c>
      <c r="K2087" t="s">
        <v>60</v>
      </c>
      <c r="L2087" t="s">
        <v>13</v>
      </c>
      <c r="M2087" t="s">
        <v>29</v>
      </c>
      <c r="N2087" t="s">
        <v>30</v>
      </c>
    </row>
    <row r="2088" spans="1:14" x14ac:dyDescent="0.25">
      <c r="A2088">
        <v>17110</v>
      </c>
      <c r="B2088">
        <v>7528</v>
      </c>
      <c r="C2088">
        <f>1/COUNTIF(B:B,pizza_sales[[#This Row],[order_id]])</f>
        <v>0.25</v>
      </c>
      <c r="D2088" t="s">
        <v>51</v>
      </c>
      <c r="E2088">
        <v>1</v>
      </c>
      <c r="F2088" s="1">
        <v>42190</v>
      </c>
      <c r="G2088" s="1" t="str">
        <f>TEXT(pizza_sales[[#This Row],[order_date]],"dddd")</f>
        <v>Sunday</v>
      </c>
      <c r="H2088" s="2">
        <v>0.53192129629629625</v>
      </c>
      <c r="I2088">
        <v>23.65</v>
      </c>
      <c r="J2088">
        <v>23.65</v>
      </c>
      <c r="K2088" t="s">
        <v>60</v>
      </c>
      <c r="L2088" t="s">
        <v>35</v>
      </c>
      <c r="M2088" t="s">
        <v>52</v>
      </c>
      <c r="N2088" t="s">
        <v>53</v>
      </c>
    </row>
    <row r="2089" spans="1:14" x14ac:dyDescent="0.25">
      <c r="A2089">
        <v>17112</v>
      </c>
      <c r="B2089">
        <v>7528</v>
      </c>
      <c r="C2089">
        <f>1/COUNTIF(B:B,pizza_sales[[#This Row],[order_id]])</f>
        <v>0.25</v>
      </c>
      <c r="D2089" t="s">
        <v>25</v>
      </c>
      <c r="E2089">
        <v>1</v>
      </c>
      <c r="F2089" s="1">
        <v>42190</v>
      </c>
      <c r="G2089" s="1" t="str">
        <f>TEXT(pizza_sales[[#This Row],[order_date]],"dddd")</f>
        <v>Sunday</v>
      </c>
      <c r="H2089" s="2">
        <v>0.53192129629629625</v>
      </c>
      <c r="I2089">
        <v>15.25</v>
      </c>
      <c r="J2089">
        <v>15.25</v>
      </c>
      <c r="K2089" t="s">
        <v>58</v>
      </c>
      <c r="L2089" t="s">
        <v>13</v>
      </c>
      <c r="M2089" t="s">
        <v>26</v>
      </c>
      <c r="N2089" t="s">
        <v>27</v>
      </c>
    </row>
    <row r="2090" spans="1:14" x14ac:dyDescent="0.25">
      <c r="A2090">
        <v>17115</v>
      </c>
      <c r="B2090">
        <v>7528</v>
      </c>
      <c r="C2090">
        <f>1/COUNTIF(B:B,pizza_sales[[#This Row],[order_id]])</f>
        <v>0.25</v>
      </c>
      <c r="D2090" t="s">
        <v>57</v>
      </c>
      <c r="E2090">
        <v>1</v>
      </c>
      <c r="F2090" s="1">
        <v>42190</v>
      </c>
      <c r="G2090" s="1" t="str">
        <f>TEXT(pizza_sales[[#This Row],[order_date]],"dddd")</f>
        <v>Sunday</v>
      </c>
      <c r="H2090" s="2">
        <v>0.53192129629629625</v>
      </c>
      <c r="I2090">
        <v>35.950000000000003</v>
      </c>
      <c r="J2090">
        <v>35.950000000000003</v>
      </c>
      <c r="K2090" t="s">
        <v>62</v>
      </c>
      <c r="L2090" t="s">
        <v>13</v>
      </c>
      <c r="M2090" t="s">
        <v>21</v>
      </c>
      <c r="N2090" t="s">
        <v>22</v>
      </c>
    </row>
    <row r="2091" spans="1:14" x14ac:dyDescent="0.25">
      <c r="A2091">
        <v>17118</v>
      </c>
      <c r="B2091">
        <v>7530</v>
      </c>
      <c r="C2091">
        <f>1/COUNTIF(B:B,pizza_sales[[#This Row],[order_id]])</f>
        <v>0.5</v>
      </c>
      <c r="D2091" t="s">
        <v>47</v>
      </c>
      <c r="E2091">
        <v>1</v>
      </c>
      <c r="F2091" s="1">
        <v>42190</v>
      </c>
      <c r="G2091" s="1" t="str">
        <f>TEXT(pizza_sales[[#This Row],[order_date]],"dddd")</f>
        <v>Sunday</v>
      </c>
      <c r="H2091" s="2">
        <v>0.53762731481481485</v>
      </c>
      <c r="I2091">
        <v>16.5</v>
      </c>
      <c r="J2091">
        <v>16.5</v>
      </c>
      <c r="K2091" t="s">
        <v>58</v>
      </c>
      <c r="L2091" t="s">
        <v>13</v>
      </c>
      <c r="M2091" t="s">
        <v>14</v>
      </c>
      <c r="N2091" t="s">
        <v>15</v>
      </c>
    </row>
    <row r="2092" spans="1:14" x14ac:dyDescent="0.25">
      <c r="A2092">
        <v>17119</v>
      </c>
      <c r="B2092">
        <v>7530</v>
      </c>
      <c r="C2092">
        <f>1/COUNTIF(B:B,pizza_sales[[#This Row],[order_id]])</f>
        <v>0.5</v>
      </c>
      <c r="D2092" t="s">
        <v>48</v>
      </c>
      <c r="E2092">
        <v>1</v>
      </c>
      <c r="F2092" s="1">
        <v>42190</v>
      </c>
      <c r="G2092" s="1" t="str">
        <f>TEXT(pizza_sales[[#This Row],[order_date]],"dddd")</f>
        <v>Sunday</v>
      </c>
      <c r="H2092" s="2">
        <v>0.53762731481481485</v>
      </c>
      <c r="I2092">
        <v>12.25</v>
      </c>
      <c r="J2092">
        <v>12.25</v>
      </c>
      <c r="K2092" t="s">
        <v>60</v>
      </c>
      <c r="L2092" t="s">
        <v>35</v>
      </c>
      <c r="M2092" t="s">
        <v>40</v>
      </c>
      <c r="N2092" t="s">
        <v>41</v>
      </c>
    </row>
    <row r="2093" spans="1:14" x14ac:dyDescent="0.25">
      <c r="A2093">
        <v>17122</v>
      </c>
      <c r="B2093">
        <v>7532</v>
      </c>
      <c r="C2093">
        <f>1/COUNTIF(B:B,pizza_sales[[#This Row],[order_id]])</f>
        <v>1</v>
      </c>
      <c r="D2093" t="s">
        <v>38</v>
      </c>
      <c r="E2093">
        <v>1</v>
      </c>
      <c r="F2093" s="1">
        <v>42190</v>
      </c>
      <c r="G2093" s="1" t="str">
        <f>TEXT(pizza_sales[[#This Row],[order_date]],"dddd")</f>
        <v>Sunday</v>
      </c>
      <c r="H2093" s="2">
        <v>0.54915509259259254</v>
      </c>
      <c r="I2093">
        <v>20.5</v>
      </c>
      <c r="J2093">
        <v>20.5</v>
      </c>
      <c r="K2093" t="s">
        <v>58</v>
      </c>
      <c r="L2093" t="s">
        <v>13</v>
      </c>
      <c r="M2093" t="s">
        <v>32</v>
      </c>
      <c r="N2093" t="s">
        <v>33</v>
      </c>
    </row>
    <row r="2094" spans="1:14" x14ac:dyDescent="0.25">
      <c r="A2094">
        <v>17123</v>
      </c>
      <c r="B2094">
        <v>7533</v>
      </c>
      <c r="C2094">
        <f>1/COUNTIF(B:B,pizza_sales[[#This Row],[order_id]])</f>
        <v>0.33333333333333331</v>
      </c>
      <c r="D2094" t="s">
        <v>28</v>
      </c>
      <c r="E2094">
        <v>1</v>
      </c>
      <c r="F2094" s="1">
        <v>42190</v>
      </c>
      <c r="G2094" s="1" t="str">
        <f>TEXT(pizza_sales[[#This Row],[order_date]],"dddd")</f>
        <v>Sunday</v>
      </c>
      <c r="H2094" s="2">
        <v>0.55600694444444443</v>
      </c>
      <c r="I2094">
        <v>12</v>
      </c>
      <c r="J2094">
        <v>12</v>
      </c>
      <c r="K2094" t="s">
        <v>60</v>
      </c>
      <c r="L2094" t="s">
        <v>13</v>
      </c>
      <c r="M2094" t="s">
        <v>29</v>
      </c>
      <c r="N2094" t="s">
        <v>30</v>
      </c>
    </row>
    <row r="2095" spans="1:14" x14ac:dyDescent="0.25">
      <c r="A2095">
        <v>17124</v>
      </c>
      <c r="B2095">
        <v>7533</v>
      </c>
      <c r="C2095">
        <f>1/COUNTIF(B:B,pizza_sales[[#This Row],[order_id]])</f>
        <v>0.33333333333333331</v>
      </c>
      <c r="D2095" t="s">
        <v>34</v>
      </c>
      <c r="E2095">
        <v>1</v>
      </c>
      <c r="F2095" s="1">
        <v>42190</v>
      </c>
      <c r="G2095" s="1" t="str">
        <f>TEXT(pizza_sales[[#This Row],[order_date]],"dddd")</f>
        <v>Sunday</v>
      </c>
      <c r="H2095" s="2">
        <v>0.55600694444444443</v>
      </c>
      <c r="I2095">
        <v>16.25</v>
      </c>
      <c r="J2095">
        <v>16.25</v>
      </c>
      <c r="K2095" t="s">
        <v>59</v>
      </c>
      <c r="L2095" t="s">
        <v>35</v>
      </c>
      <c r="M2095" t="s">
        <v>36</v>
      </c>
      <c r="N2095" t="s">
        <v>37</v>
      </c>
    </row>
    <row r="2096" spans="1:14" x14ac:dyDescent="0.25">
      <c r="A2096">
        <v>17130</v>
      </c>
      <c r="B2096">
        <v>7533</v>
      </c>
      <c r="C2096">
        <f>1/COUNTIF(B:B,pizza_sales[[#This Row],[order_id]])</f>
        <v>0.33333333333333331</v>
      </c>
      <c r="D2096" t="s">
        <v>44</v>
      </c>
      <c r="E2096">
        <v>1</v>
      </c>
      <c r="F2096" s="1">
        <v>42190</v>
      </c>
      <c r="G2096" s="1" t="str">
        <f>TEXT(pizza_sales[[#This Row],[order_date]],"dddd")</f>
        <v>Sunday</v>
      </c>
      <c r="H2096" s="2">
        <v>0.55600694444444443</v>
      </c>
      <c r="I2096">
        <v>9.75</v>
      </c>
      <c r="J2096">
        <v>9.75</v>
      </c>
      <c r="K2096" t="s">
        <v>60</v>
      </c>
      <c r="L2096" t="s">
        <v>13</v>
      </c>
      <c r="M2096" t="s">
        <v>26</v>
      </c>
      <c r="N2096" t="s">
        <v>27</v>
      </c>
    </row>
    <row r="2097" spans="1:14" x14ac:dyDescent="0.25">
      <c r="A2097">
        <v>17139</v>
      </c>
      <c r="B2097">
        <v>7537</v>
      </c>
      <c r="C2097">
        <f>1/COUNTIF(B:B,pizza_sales[[#This Row],[order_id]])</f>
        <v>1</v>
      </c>
      <c r="D2097" t="s">
        <v>24</v>
      </c>
      <c r="E2097">
        <v>1</v>
      </c>
      <c r="F2097" s="1">
        <v>42190</v>
      </c>
      <c r="G2097" s="1" t="str">
        <f>TEXT(pizza_sales[[#This Row],[order_date]],"dddd")</f>
        <v>Sunday</v>
      </c>
      <c r="H2097" s="2">
        <v>0.55937499999999996</v>
      </c>
      <c r="I2097">
        <v>20.25</v>
      </c>
      <c r="J2097">
        <v>20.25</v>
      </c>
      <c r="K2097" t="s">
        <v>58</v>
      </c>
      <c r="L2097" t="s">
        <v>17</v>
      </c>
      <c r="M2097" t="s">
        <v>18</v>
      </c>
      <c r="N2097" t="s">
        <v>19</v>
      </c>
    </row>
    <row r="2098" spans="1:14" x14ac:dyDescent="0.25">
      <c r="A2098">
        <v>17156</v>
      </c>
      <c r="B2098">
        <v>7548</v>
      </c>
      <c r="C2098">
        <f>1/COUNTIF(B:B,pizza_sales[[#This Row],[order_id]])</f>
        <v>1</v>
      </c>
      <c r="D2098" t="s">
        <v>50</v>
      </c>
      <c r="E2098">
        <v>1</v>
      </c>
      <c r="F2098" s="1">
        <v>42190</v>
      </c>
      <c r="G2098" s="1" t="str">
        <f>TEXT(pizza_sales[[#This Row],[order_date]],"dddd")</f>
        <v>Sunday</v>
      </c>
      <c r="H2098" s="2">
        <v>0.66105324074074079</v>
      </c>
      <c r="I2098">
        <v>16</v>
      </c>
      <c r="J2098">
        <v>16</v>
      </c>
      <c r="K2098" t="s">
        <v>59</v>
      </c>
      <c r="L2098" t="s">
        <v>13</v>
      </c>
      <c r="M2098" t="s">
        <v>32</v>
      </c>
      <c r="N2098" t="s">
        <v>33</v>
      </c>
    </row>
    <row r="2099" spans="1:14" x14ac:dyDescent="0.25">
      <c r="A2099">
        <v>17158</v>
      </c>
      <c r="B2099">
        <v>7549</v>
      </c>
      <c r="C2099">
        <f>1/COUNTIF(B:B,pizza_sales[[#This Row],[order_id]])</f>
        <v>0.5</v>
      </c>
      <c r="D2099" t="s">
        <v>24</v>
      </c>
      <c r="E2099">
        <v>1</v>
      </c>
      <c r="F2099" s="1">
        <v>42190</v>
      </c>
      <c r="G2099" s="1" t="str">
        <f>TEXT(pizza_sales[[#This Row],[order_date]],"dddd")</f>
        <v>Sunday</v>
      </c>
      <c r="H2099" s="2">
        <v>0.69048611111111113</v>
      </c>
      <c r="I2099">
        <v>20.25</v>
      </c>
      <c r="J2099">
        <v>20.25</v>
      </c>
      <c r="K2099" t="s">
        <v>58</v>
      </c>
      <c r="L2099" t="s">
        <v>17</v>
      </c>
      <c r="M2099" t="s">
        <v>18</v>
      </c>
      <c r="N2099" t="s">
        <v>19</v>
      </c>
    </row>
    <row r="2100" spans="1:14" x14ac:dyDescent="0.25">
      <c r="A2100">
        <v>17159</v>
      </c>
      <c r="B2100">
        <v>7549</v>
      </c>
      <c r="C2100">
        <f>1/COUNTIF(B:B,pizza_sales[[#This Row],[order_id]])</f>
        <v>0.5</v>
      </c>
      <c r="D2100" t="s">
        <v>50</v>
      </c>
      <c r="E2100">
        <v>1</v>
      </c>
      <c r="F2100" s="1">
        <v>42190</v>
      </c>
      <c r="G2100" s="1" t="str">
        <f>TEXT(pizza_sales[[#This Row],[order_date]],"dddd")</f>
        <v>Sunday</v>
      </c>
      <c r="H2100" s="2">
        <v>0.69048611111111113</v>
      </c>
      <c r="I2100">
        <v>16</v>
      </c>
      <c r="J2100">
        <v>16</v>
      </c>
      <c r="K2100" t="s">
        <v>59</v>
      </c>
      <c r="L2100" t="s">
        <v>13</v>
      </c>
      <c r="M2100" t="s">
        <v>32</v>
      </c>
      <c r="N2100" t="s">
        <v>33</v>
      </c>
    </row>
    <row r="2101" spans="1:14" x14ac:dyDescent="0.25">
      <c r="A2101">
        <v>17160</v>
      </c>
      <c r="B2101">
        <v>7550</v>
      </c>
      <c r="C2101">
        <f>1/COUNTIF(B:B,pizza_sales[[#This Row],[order_id]])</f>
        <v>0.5</v>
      </c>
      <c r="D2101" t="s">
        <v>51</v>
      </c>
      <c r="E2101">
        <v>2</v>
      </c>
      <c r="F2101" s="1">
        <v>42190</v>
      </c>
      <c r="G2101" s="1" t="str">
        <f>TEXT(pizza_sales[[#This Row],[order_date]],"dddd")</f>
        <v>Sunday</v>
      </c>
      <c r="H2101" s="2">
        <v>0.69208333333333338</v>
      </c>
      <c r="I2101">
        <v>23.65</v>
      </c>
      <c r="J2101">
        <v>47.3</v>
      </c>
      <c r="K2101" t="s">
        <v>60</v>
      </c>
      <c r="L2101" t="s">
        <v>35</v>
      </c>
      <c r="M2101" t="s">
        <v>52</v>
      </c>
      <c r="N2101" t="s">
        <v>53</v>
      </c>
    </row>
    <row r="2102" spans="1:14" x14ac:dyDescent="0.25">
      <c r="A2102">
        <v>17161</v>
      </c>
      <c r="B2102">
        <v>7550</v>
      </c>
      <c r="C2102">
        <f>1/COUNTIF(B:B,pizza_sales[[#This Row],[order_id]])</f>
        <v>0.5</v>
      </c>
      <c r="D2102" t="s">
        <v>48</v>
      </c>
      <c r="E2102">
        <v>1</v>
      </c>
      <c r="F2102" s="1">
        <v>42190</v>
      </c>
      <c r="G2102" s="1" t="str">
        <f>TEXT(pizza_sales[[#This Row],[order_date]],"dddd")</f>
        <v>Sunday</v>
      </c>
      <c r="H2102" s="2">
        <v>0.69208333333333338</v>
      </c>
      <c r="I2102">
        <v>12.25</v>
      </c>
      <c r="J2102">
        <v>12.25</v>
      </c>
      <c r="K2102" t="s">
        <v>60</v>
      </c>
      <c r="L2102" t="s">
        <v>35</v>
      </c>
      <c r="M2102" t="s">
        <v>40</v>
      </c>
      <c r="N2102" t="s">
        <v>41</v>
      </c>
    </row>
    <row r="2103" spans="1:14" x14ac:dyDescent="0.25">
      <c r="A2103">
        <v>17163</v>
      </c>
      <c r="B2103">
        <v>7551</v>
      </c>
      <c r="C2103">
        <f>1/COUNTIF(B:B,pizza_sales[[#This Row],[order_id]])</f>
        <v>1</v>
      </c>
      <c r="D2103" t="s">
        <v>16</v>
      </c>
      <c r="E2103">
        <v>1</v>
      </c>
      <c r="F2103" s="1">
        <v>42190</v>
      </c>
      <c r="G2103" s="1" t="str">
        <f>TEXT(pizza_sales[[#This Row],[order_date]],"dddd")</f>
        <v>Sunday</v>
      </c>
      <c r="H2103" s="2">
        <v>0.69214120370370369</v>
      </c>
      <c r="I2103">
        <v>16</v>
      </c>
      <c r="J2103">
        <v>16</v>
      </c>
      <c r="K2103" t="s">
        <v>59</v>
      </c>
      <c r="L2103" t="s">
        <v>17</v>
      </c>
      <c r="M2103" t="s">
        <v>18</v>
      </c>
      <c r="N2103" t="s">
        <v>19</v>
      </c>
    </row>
    <row r="2104" spans="1:14" x14ac:dyDescent="0.25">
      <c r="A2104">
        <v>17164</v>
      </c>
      <c r="B2104">
        <v>7552</v>
      </c>
      <c r="C2104">
        <f>1/COUNTIF(B:B,pizza_sales[[#This Row],[order_id]])</f>
        <v>1</v>
      </c>
      <c r="D2104" t="s">
        <v>47</v>
      </c>
      <c r="E2104">
        <v>1</v>
      </c>
      <c r="F2104" s="1">
        <v>42190</v>
      </c>
      <c r="G2104" s="1" t="str">
        <f>TEXT(pizza_sales[[#This Row],[order_date]],"dddd")</f>
        <v>Sunday</v>
      </c>
      <c r="H2104" s="2">
        <v>0.70719907407407412</v>
      </c>
      <c r="I2104">
        <v>16.5</v>
      </c>
      <c r="J2104">
        <v>16.5</v>
      </c>
      <c r="K2104" t="s">
        <v>58</v>
      </c>
      <c r="L2104" t="s">
        <v>13</v>
      </c>
      <c r="M2104" t="s">
        <v>14</v>
      </c>
      <c r="N2104" t="s">
        <v>15</v>
      </c>
    </row>
    <row r="2105" spans="1:14" x14ac:dyDescent="0.25">
      <c r="A2105">
        <v>17172</v>
      </c>
      <c r="B2105">
        <v>7555</v>
      </c>
      <c r="C2105">
        <f>1/COUNTIF(B:B,pizza_sales[[#This Row],[order_id]])</f>
        <v>1</v>
      </c>
      <c r="D2105" t="s">
        <v>44</v>
      </c>
      <c r="E2105">
        <v>1</v>
      </c>
      <c r="F2105" s="1">
        <v>42190</v>
      </c>
      <c r="G2105" s="1" t="str">
        <f>TEXT(pizza_sales[[#This Row],[order_date]],"dddd")</f>
        <v>Sunday</v>
      </c>
      <c r="H2105" s="2">
        <v>0.7154166666666667</v>
      </c>
      <c r="I2105">
        <v>9.75</v>
      </c>
      <c r="J2105">
        <v>9.75</v>
      </c>
      <c r="K2105" t="s">
        <v>60</v>
      </c>
      <c r="L2105" t="s">
        <v>13</v>
      </c>
      <c r="M2105" t="s">
        <v>26</v>
      </c>
      <c r="N2105" t="s">
        <v>27</v>
      </c>
    </row>
    <row r="2106" spans="1:14" x14ac:dyDescent="0.25">
      <c r="A2106">
        <v>17173</v>
      </c>
      <c r="B2106">
        <v>7556</v>
      </c>
      <c r="C2106">
        <f>1/COUNTIF(B:B,pizza_sales[[#This Row],[order_id]])</f>
        <v>0.5</v>
      </c>
      <c r="D2106" t="s">
        <v>56</v>
      </c>
      <c r="E2106">
        <v>1</v>
      </c>
      <c r="F2106" s="1">
        <v>42190</v>
      </c>
      <c r="G2106" s="1" t="str">
        <f>TEXT(pizza_sales[[#This Row],[order_date]],"dddd")</f>
        <v>Sunday</v>
      </c>
      <c r="H2106" s="2">
        <v>0.71743055555555557</v>
      </c>
      <c r="I2106">
        <v>20.25</v>
      </c>
      <c r="J2106">
        <v>20.25</v>
      </c>
      <c r="K2106" t="s">
        <v>58</v>
      </c>
      <c r="L2106" t="s">
        <v>35</v>
      </c>
      <c r="M2106" t="s">
        <v>36</v>
      </c>
      <c r="N2106" t="s">
        <v>37</v>
      </c>
    </row>
    <row r="2107" spans="1:14" x14ac:dyDescent="0.25">
      <c r="A2107">
        <v>17174</v>
      </c>
      <c r="B2107">
        <v>7556</v>
      </c>
      <c r="C2107">
        <f>1/COUNTIF(B:B,pizza_sales[[#This Row],[order_id]])</f>
        <v>0.5</v>
      </c>
      <c r="D2107" t="s">
        <v>31</v>
      </c>
      <c r="E2107">
        <v>1</v>
      </c>
      <c r="F2107" s="1">
        <v>42190</v>
      </c>
      <c r="G2107" s="1" t="str">
        <f>TEXT(pizza_sales[[#This Row],[order_date]],"dddd")</f>
        <v>Sunday</v>
      </c>
      <c r="H2107" s="2">
        <v>0.71743055555555557</v>
      </c>
      <c r="I2107">
        <v>12</v>
      </c>
      <c r="J2107">
        <v>12</v>
      </c>
      <c r="K2107" t="s">
        <v>60</v>
      </c>
      <c r="L2107" t="s">
        <v>13</v>
      </c>
      <c r="M2107" t="s">
        <v>32</v>
      </c>
      <c r="N2107" t="s">
        <v>33</v>
      </c>
    </row>
    <row r="2108" spans="1:14" x14ac:dyDescent="0.25">
      <c r="A2108">
        <v>17178</v>
      </c>
      <c r="B2108">
        <v>7557</v>
      </c>
      <c r="C2108">
        <f>1/COUNTIF(B:B,pizza_sales[[#This Row],[order_id]])</f>
        <v>1</v>
      </c>
      <c r="D2108" t="s">
        <v>42</v>
      </c>
      <c r="E2108">
        <v>1</v>
      </c>
      <c r="F2108" s="1">
        <v>42190</v>
      </c>
      <c r="G2108" s="1" t="str">
        <f>TEXT(pizza_sales[[#This Row],[order_date]],"dddd")</f>
        <v>Sunday</v>
      </c>
      <c r="H2108" s="2">
        <v>0.74208333333333332</v>
      </c>
      <c r="I2108">
        <v>12.5</v>
      </c>
      <c r="J2108">
        <v>12.5</v>
      </c>
      <c r="K2108" t="s">
        <v>59</v>
      </c>
      <c r="L2108" t="s">
        <v>13</v>
      </c>
      <c r="M2108" t="s">
        <v>26</v>
      </c>
      <c r="N2108" t="s">
        <v>27</v>
      </c>
    </row>
    <row r="2109" spans="1:14" x14ac:dyDescent="0.25">
      <c r="A2109">
        <v>17182</v>
      </c>
      <c r="B2109">
        <v>7558</v>
      </c>
      <c r="C2109">
        <f>1/COUNTIF(B:B,pizza_sales[[#This Row],[order_id]])</f>
        <v>1</v>
      </c>
      <c r="D2109" t="s">
        <v>28</v>
      </c>
      <c r="E2109">
        <v>1</v>
      </c>
      <c r="F2109" s="1">
        <v>42190</v>
      </c>
      <c r="G2109" s="1" t="str">
        <f>TEXT(pizza_sales[[#This Row],[order_date]],"dddd")</f>
        <v>Sunday</v>
      </c>
      <c r="H2109" s="2">
        <v>0.74322916666666672</v>
      </c>
      <c r="I2109">
        <v>12</v>
      </c>
      <c r="J2109">
        <v>12</v>
      </c>
      <c r="K2109" t="s">
        <v>60</v>
      </c>
      <c r="L2109" t="s">
        <v>13</v>
      </c>
      <c r="M2109" t="s">
        <v>29</v>
      </c>
      <c r="N2109" t="s">
        <v>30</v>
      </c>
    </row>
    <row r="2110" spans="1:14" x14ac:dyDescent="0.25">
      <c r="A2110">
        <v>17184</v>
      </c>
      <c r="B2110">
        <v>7559</v>
      </c>
      <c r="C2110">
        <f>1/COUNTIF(B:B,pizza_sales[[#This Row],[order_id]])</f>
        <v>0.5</v>
      </c>
      <c r="D2110" t="s">
        <v>12</v>
      </c>
      <c r="E2110">
        <v>1</v>
      </c>
      <c r="F2110" s="1">
        <v>42190</v>
      </c>
      <c r="G2110" s="1" t="str">
        <f>TEXT(pizza_sales[[#This Row],[order_date]],"dddd")</f>
        <v>Sunday</v>
      </c>
      <c r="H2110" s="2">
        <v>0.74400462962962965</v>
      </c>
      <c r="I2110">
        <v>13.25</v>
      </c>
      <c r="J2110">
        <v>13.25</v>
      </c>
      <c r="K2110" t="s">
        <v>59</v>
      </c>
      <c r="L2110" t="s">
        <v>13</v>
      </c>
      <c r="M2110" t="s">
        <v>14</v>
      </c>
      <c r="N2110" t="s">
        <v>15</v>
      </c>
    </row>
    <row r="2111" spans="1:14" x14ac:dyDescent="0.25">
      <c r="A2111">
        <v>17185</v>
      </c>
      <c r="B2111">
        <v>7559</v>
      </c>
      <c r="C2111">
        <f>1/COUNTIF(B:B,pizza_sales[[#This Row],[order_id]])</f>
        <v>0.5</v>
      </c>
      <c r="D2111" t="s">
        <v>23</v>
      </c>
      <c r="E2111">
        <v>1</v>
      </c>
      <c r="F2111" s="1">
        <v>42190</v>
      </c>
      <c r="G2111" s="1" t="str">
        <f>TEXT(pizza_sales[[#This Row],[order_date]],"dddd")</f>
        <v>Sunday</v>
      </c>
      <c r="H2111" s="2">
        <v>0.74400462962962965</v>
      </c>
      <c r="I2111">
        <v>12</v>
      </c>
      <c r="J2111">
        <v>12</v>
      </c>
      <c r="K2111" t="s">
        <v>60</v>
      </c>
      <c r="L2111" t="s">
        <v>17</v>
      </c>
      <c r="M2111" t="s">
        <v>18</v>
      </c>
      <c r="N2111" t="s">
        <v>19</v>
      </c>
    </row>
    <row r="2112" spans="1:14" x14ac:dyDescent="0.25">
      <c r="A2112">
        <v>17187</v>
      </c>
      <c r="B2112">
        <v>7560</v>
      </c>
      <c r="C2112">
        <f>1/COUNTIF(B:B,pizza_sales[[#This Row],[order_id]])</f>
        <v>1</v>
      </c>
      <c r="D2112" t="s">
        <v>28</v>
      </c>
      <c r="E2112">
        <v>1</v>
      </c>
      <c r="F2112" s="1">
        <v>42190</v>
      </c>
      <c r="G2112" s="1" t="str">
        <f>TEXT(pizza_sales[[#This Row],[order_date]],"dddd")</f>
        <v>Sunday</v>
      </c>
      <c r="H2112" s="2">
        <v>0.75307870370370367</v>
      </c>
      <c r="I2112">
        <v>12</v>
      </c>
      <c r="J2112">
        <v>12</v>
      </c>
      <c r="K2112" t="s">
        <v>60</v>
      </c>
      <c r="L2112" t="s">
        <v>13</v>
      </c>
      <c r="M2112" t="s">
        <v>29</v>
      </c>
      <c r="N2112" t="s">
        <v>30</v>
      </c>
    </row>
    <row r="2113" spans="1:14" x14ac:dyDescent="0.25">
      <c r="A2113">
        <v>17193</v>
      </c>
      <c r="B2113">
        <v>7562</v>
      </c>
      <c r="C2113">
        <f>1/COUNTIF(B:B,pizza_sales[[#This Row],[order_id]])</f>
        <v>1</v>
      </c>
      <c r="D2113" t="s">
        <v>31</v>
      </c>
      <c r="E2113">
        <v>1</v>
      </c>
      <c r="F2113" s="1">
        <v>42190</v>
      </c>
      <c r="G2113" s="1" t="str">
        <f>TEXT(pizza_sales[[#This Row],[order_date]],"dddd")</f>
        <v>Sunday</v>
      </c>
      <c r="H2113" s="2">
        <v>0.76601851851851854</v>
      </c>
      <c r="I2113">
        <v>12</v>
      </c>
      <c r="J2113">
        <v>12</v>
      </c>
      <c r="K2113" t="s">
        <v>60</v>
      </c>
      <c r="L2113" t="s">
        <v>13</v>
      </c>
      <c r="M2113" t="s">
        <v>32</v>
      </c>
      <c r="N2113" t="s">
        <v>33</v>
      </c>
    </row>
    <row r="2114" spans="1:14" x14ac:dyDescent="0.25">
      <c r="A2114">
        <v>17195</v>
      </c>
      <c r="B2114">
        <v>7563</v>
      </c>
      <c r="C2114">
        <f>1/COUNTIF(B:B,pizza_sales[[#This Row],[order_id]])</f>
        <v>1</v>
      </c>
      <c r="D2114" t="s">
        <v>34</v>
      </c>
      <c r="E2114">
        <v>1</v>
      </c>
      <c r="F2114" s="1">
        <v>42190</v>
      </c>
      <c r="G2114" s="1" t="str">
        <f>TEXT(pizza_sales[[#This Row],[order_date]],"dddd")</f>
        <v>Sunday</v>
      </c>
      <c r="H2114" s="2">
        <v>0.76872685185185186</v>
      </c>
      <c r="I2114">
        <v>16.25</v>
      </c>
      <c r="J2114">
        <v>16.25</v>
      </c>
      <c r="K2114" t="s">
        <v>59</v>
      </c>
      <c r="L2114" t="s">
        <v>35</v>
      </c>
      <c r="M2114" t="s">
        <v>36</v>
      </c>
      <c r="N2114" t="s">
        <v>37</v>
      </c>
    </row>
    <row r="2115" spans="1:14" x14ac:dyDescent="0.25">
      <c r="A2115">
        <v>17199</v>
      </c>
      <c r="B2115">
        <v>7567</v>
      </c>
      <c r="C2115">
        <f>1/COUNTIF(B:B,pizza_sales[[#This Row],[order_id]])</f>
        <v>0.5</v>
      </c>
      <c r="D2115" t="s">
        <v>44</v>
      </c>
      <c r="E2115">
        <v>1</v>
      </c>
      <c r="F2115" s="1">
        <v>42190</v>
      </c>
      <c r="G2115" s="1" t="str">
        <f>TEXT(pizza_sales[[#This Row],[order_date]],"dddd")</f>
        <v>Sunday</v>
      </c>
      <c r="H2115" s="2">
        <v>0.80753472222222222</v>
      </c>
      <c r="I2115">
        <v>9.75</v>
      </c>
      <c r="J2115">
        <v>9.75</v>
      </c>
      <c r="K2115" t="s">
        <v>60</v>
      </c>
      <c r="L2115" t="s">
        <v>13</v>
      </c>
      <c r="M2115" t="s">
        <v>26</v>
      </c>
      <c r="N2115" t="s">
        <v>27</v>
      </c>
    </row>
    <row r="2116" spans="1:14" x14ac:dyDescent="0.25">
      <c r="A2116">
        <v>17200</v>
      </c>
      <c r="B2116">
        <v>7567</v>
      </c>
      <c r="C2116">
        <f>1/COUNTIF(B:B,pizza_sales[[#This Row],[order_id]])</f>
        <v>0.5</v>
      </c>
      <c r="D2116" t="s">
        <v>46</v>
      </c>
      <c r="E2116">
        <v>1</v>
      </c>
      <c r="F2116" s="1">
        <v>42190</v>
      </c>
      <c r="G2116" s="1" t="str">
        <f>TEXT(pizza_sales[[#This Row],[order_date]],"dddd")</f>
        <v>Sunday</v>
      </c>
      <c r="H2116" s="2">
        <v>0.80753472222222222</v>
      </c>
      <c r="I2116">
        <v>25.5</v>
      </c>
      <c r="J2116">
        <v>25.5</v>
      </c>
      <c r="K2116" t="s">
        <v>61</v>
      </c>
      <c r="L2116" t="s">
        <v>13</v>
      </c>
      <c r="M2116" t="s">
        <v>21</v>
      </c>
      <c r="N2116" t="s">
        <v>22</v>
      </c>
    </row>
    <row r="2117" spans="1:14" x14ac:dyDescent="0.25">
      <c r="A2117">
        <v>17201</v>
      </c>
      <c r="B2117">
        <v>7568</v>
      </c>
      <c r="C2117">
        <f>1/COUNTIF(B:B,pizza_sales[[#This Row],[order_id]])</f>
        <v>1</v>
      </c>
      <c r="D2117" t="s">
        <v>56</v>
      </c>
      <c r="E2117">
        <v>1</v>
      </c>
      <c r="F2117" s="1">
        <v>42190</v>
      </c>
      <c r="G2117" s="1" t="str">
        <f>TEXT(pizza_sales[[#This Row],[order_date]],"dddd")</f>
        <v>Sunday</v>
      </c>
      <c r="H2117" s="2">
        <v>0.82082175925925926</v>
      </c>
      <c r="I2117">
        <v>20.25</v>
      </c>
      <c r="J2117">
        <v>20.25</v>
      </c>
      <c r="K2117" t="s">
        <v>58</v>
      </c>
      <c r="L2117" t="s">
        <v>35</v>
      </c>
      <c r="M2117" t="s">
        <v>36</v>
      </c>
      <c r="N2117" t="s">
        <v>37</v>
      </c>
    </row>
    <row r="2118" spans="1:14" x14ac:dyDescent="0.25">
      <c r="A2118">
        <v>17205</v>
      </c>
      <c r="B2118">
        <v>7569</v>
      </c>
      <c r="C2118">
        <f>1/COUNTIF(B:B,pizza_sales[[#This Row],[order_id]])</f>
        <v>1</v>
      </c>
      <c r="D2118" t="s">
        <v>45</v>
      </c>
      <c r="E2118">
        <v>1</v>
      </c>
      <c r="F2118" s="1">
        <v>42190</v>
      </c>
      <c r="G2118" s="1" t="str">
        <f>TEXT(pizza_sales[[#This Row],[order_date]],"dddd")</f>
        <v>Sunday</v>
      </c>
      <c r="H2118" s="2">
        <v>0.82225694444444442</v>
      </c>
      <c r="I2118">
        <v>10.5</v>
      </c>
      <c r="J2118">
        <v>10.5</v>
      </c>
      <c r="K2118" t="s">
        <v>60</v>
      </c>
      <c r="L2118" t="s">
        <v>13</v>
      </c>
      <c r="M2118" t="s">
        <v>14</v>
      </c>
      <c r="N2118" t="s">
        <v>15</v>
      </c>
    </row>
    <row r="2119" spans="1:14" x14ac:dyDescent="0.25">
      <c r="A2119">
        <v>17209</v>
      </c>
      <c r="B2119">
        <v>7571</v>
      </c>
      <c r="C2119">
        <f>1/COUNTIF(B:B,pizza_sales[[#This Row],[order_id]])</f>
        <v>1</v>
      </c>
      <c r="D2119" t="s">
        <v>39</v>
      </c>
      <c r="E2119">
        <v>1</v>
      </c>
      <c r="F2119" s="1">
        <v>42190</v>
      </c>
      <c r="G2119" s="1" t="str">
        <f>TEXT(pizza_sales[[#This Row],[order_date]],"dddd")</f>
        <v>Sunday</v>
      </c>
      <c r="H2119" s="2">
        <v>0.83964120370370365</v>
      </c>
      <c r="I2119">
        <v>20.25</v>
      </c>
      <c r="J2119">
        <v>20.25</v>
      </c>
      <c r="K2119" t="s">
        <v>58</v>
      </c>
      <c r="L2119" t="s">
        <v>35</v>
      </c>
      <c r="M2119" t="s">
        <v>40</v>
      </c>
      <c r="N2119" t="s">
        <v>41</v>
      </c>
    </row>
    <row r="2120" spans="1:14" x14ac:dyDescent="0.25">
      <c r="A2120">
        <v>17211</v>
      </c>
      <c r="B2120">
        <v>7573</v>
      </c>
      <c r="C2120">
        <f>1/COUNTIF(B:B,pizza_sales[[#This Row],[order_id]])</f>
        <v>0.5</v>
      </c>
      <c r="D2120" t="s">
        <v>51</v>
      </c>
      <c r="E2120">
        <v>1</v>
      </c>
      <c r="F2120" s="1">
        <v>42190</v>
      </c>
      <c r="G2120" s="1" t="str">
        <f>TEXT(pizza_sales[[#This Row],[order_date]],"dddd")</f>
        <v>Sunday</v>
      </c>
      <c r="H2120" s="2">
        <v>0.84627314814814814</v>
      </c>
      <c r="I2120">
        <v>23.65</v>
      </c>
      <c r="J2120">
        <v>23.65</v>
      </c>
      <c r="K2120" t="s">
        <v>60</v>
      </c>
      <c r="L2120" t="s">
        <v>35</v>
      </c>
      <c r="M2120" t="s">
        <v>52</v>
      </c>
      <c r="N2120" t="s">
        <v>53</v>
      </c>
    </row>
    <row r="2121" spans="1:14" x14ac:dyDescent="0.25">
      <c r="A2121">
        <v>17212</v>
      </c>
      <c r="B2121">
        <v>7573</v>
      </c>
      <c r="C2121">
        <f>1/COUNTIF(B:B,pizza_sales[[#This Row],[order_id]])</f>
        <v>0.5</v>
      </c>
      <c r="D2121" t="s">
        <v>45</v>
      </c>
      <c r="E2121">
        <v>1</v>
      </c>
      <c r="F2121" s="1">
        <v>42190</v>
      </c>
      <c r="G2121" s="1" t="str">
        <f>TEXT(pizza_sales[[#This Row],[order_date]],"dddd")</f>
        <v>Sunday</v>
      </c>
      <c r="H2121" s="2">
        <v>0.84627314814814814</v>
      </c>
      <c r="I2121">
        <v>10.5</v>
      </c>
      <c r="J2121">
        <v>10.5</v>
      </c>
      <c r="K2121" t="s">
        <v>60</v>
      </c>
      <c r="L2121" t="s">
        <v>13</v>
      </c>
      <c r="M2121" t="s">
        <v>14</v>
      </c>
      <c r="N2121" t="s">
        <v>15</v>
      </c>
    </row>
    <row r="2122" spans="1:14" x14ac:dyDescent="0.25">
      <c r="A2122">
        <v>17214</v>
      </c>
      <c r="B2122">
        <v>7574</v>
      </c>
      <c r="C2122">
        <f>1/COUNTIF(B:B,pizza_sales[[#This Row],[order_id]])</f>
        <v>1</v>
      </c>
      <c r="D2122" t="s">
        <v>43</v>
      </c>
      <c r="E2122">
        <v>1</v>
      </c>
      <c r="F2122" s="1">
        <v>42190</v>
      </c>
      <c r="G2122" s="1" t="str">
        <f>TEXT(pizza_sales[[#This Row],[order_date]],"dddd")</f>
        <v>Sunday</v>
      </c>
      <c r="H2122" s="2">
        <v>0.84765046296296298</v>
      </c>
      <c r="I2122">
        <v>16.25</v>
      </c>
      <c r="J2122">
        <v>16.25</v>
      </c>
      <c r="K2122" t="s">
        <v>59</v>
      </c>
      <c r="L2122" t="s">
        <v>35</v>
      </c>
      <c r="M2122" t="s">
        <v>40</v>
      </c>
      <c r="N2122" t="s">
        <v>41</v>
      </c>
    </row>
    <row r="2123" spans="1:14" x14ac:dyDescent="0.25">
      <c r="A2123">
        <v>17217</v>
      </c>
      <c r="B2123">
        <v>7576</v>
      </c>
      <c r="C2123">
        <f>1/COUNTIF(B:B,pizza_sales[[#This Row],[order_id]])</f>
        <v>1</v>
      </c>
      <c r="D2123" t="s">
        <v>28</v>
      </c>
      <c r="E2123">
        <v>1</v>
      </c>
      <c r="F2123" s="1">
        <v>42190</v>
      </c>
      <c r="G2123" s="1" t="str">
        <f>TEXT(pizza_sales[[#This Row],[order_date]],"dddd")</f>
        <v>Sunday</v>
      </c>
      <c r="H2123" s="2">
        <v>0.86879629629629629</v>
      </c>
      <c r="I2123">
        <v>12</v>
      </c>
      <c r="J2123">
        <v>12</v>
      </c>
      <c r="K2123" t="s">
        <v>60</v>
      </c>
      <c r="L2123" t="s">
        <v>13</v>
      </c>
      <c r="M2123" t="s">
        <v>29</v>
      </c>
      <c r="N2123" t="s">
        <v>30</v>
      </c>
    </row>
    <row r="2124" spans="1:14" x14ac:dyDescent="0.25">
      <c r="A2124">
        <v>17220</v>
      </c>
      <c r="B2124">
        <v>7577</v>
      </c>
      <c r="C2124">
        <f>1/COUNTIF(B:B,pizza_sales[[#This Row],[order_id]])</f>
        <v>1</v>
      </c>
      <c r="D2124" t="s">
        <v>25</v>
      </c>
      <c r="E2124">
        <v>1</v>
      </c>
      <c r="F2124" s="1">
        <v>42190</v>
      </c>
      <c r="G2124" s="1" t="str">
        <f>TEXT(pizza_sales[[#This Row],[order_date]],"dddd")</f>
        <v>Sunday</v>
      </c>
      <c r="H2124" s="2">
        <v>0.87668981481481478</v>
      </c>
      <c r="I2124">
        <v>15.25</v>
      </c>
      <c r="J2124">
        <v>15.25</v>
      </c>
      <c r="K2124" t="s">
        <v>58</v>
      </c>
      <c r="L2124" t="s">
        <v>13</v>
      </c>
      <c r="M2124" t="s">
        <v>26</v>
      </c>
      <c r="N2124" t="s">
        <v>27</v>
      </c>
    </row>
    <row r="2125" spans="1:14" x14ac:dyDescent="0.25">
      <c r="A2125">
        <v>17221</v>
      </c>
      <c r="B2125">
        <v>7578</v>
      </c>
      <c r="C2125">
        <f>1/COUNTIF(B:B,pizza_sales[[#This Row],[order_id]])</f>
        <v>1</v>
      </c>
      <c r="D2125" t="s">
        <v>24</v>
      </c>
      <c r="E2125">
        <v>1</v>
      </c>
      <c r="F2125" s="1">
        <v>42190</v>
      </c>
      <c r="G2125" s="1" t="str">
        <f>TEXT(pizza_sales[[#This Row],[order_date]],"dddd")</f>
        <v>Sunday</v>
      </c>
      <c r="H2125" s="2">
        <v>0.92018518518518522</v>
      </c>
      <c r="I2125">
        <v>20.25</v>
      </c>
      <c r="J2125">
        <v>20.25</v>
      </c>
      <c r="K2125" t="s">
        <v>58</v>
      </c>
      <c r="L2125" t="s">
        <v>17</v>
      </c>
      <c r="M2125" t="s">
        <v>18</v>
      </c>
      <c r="N2125" t="s">
        <v>19</v>
      </c>
    </row>
    <row r="2126" spans="1:14" x14ac:dyDescent="0.25">
      <c r="A2126">
        <v>17222</v>
      </c>
      <c r="B2126">
        <v>7579</v>
      </c>
      <c r="C2126">
        <f>1/COUNTIF(B:B,pizza_sales[[#This Row],[order_id]])</f>
        <v>1</v>
      </c>
      <c r="D2126" t="s">
        <v>47</v>
      </c>
      <c r="E2126">
        <v>1</v>
      </c>
      <c r="F2126" s="1">
        <v>42221</v>
      </c>
      <c r="G2126" s="1" t="str">
        <f>TEXT(pizza_sales[[#This Row],[order_date]],"dddd")</f>
        <v>Wednesday</v>
      </c>
      <c r="H2126" s="2">
        <v>0.48395833333333332</v>
      </c>
      <c r="I2126">
        <v>16.5</v>
      </c>
      <c r="J2126">
        <v>16.5</v>
      </c>
      <c r="K2126" t="s">
        <v>58</v>
      </c>
      <c r="L2126" t="s">
        <v>13</v>
      </c>
      <c r="M2126" t="s">
        <v>14</v>
      </c>
      <c r="N2126" t="s">
        <v>15</v>
      </c>
    </row>
    <row r="2127" spans="1:14" x14ac:dyDescent="0.25">
      <c r="A2127">
        <v>17223</v>
      </c>
      <c r="B2127">
        <v>7580</v>
      </c>
      <c r="C2127">
        <f>1/COUNTIF(B:B,pizza_sales[[#This Row],[order_id]])</f>
        <v>1</v>
      </c>
      <c r="D2127" t="s">
        <v>24</v>
      </c>
      <c r="E2127">
        <v>1</v>
      </c>
      <c r="F2127" s="1">
        <v>42221</v>
      </c>
      <c r="G2127" s="1" t="str">
        <f>TEXT(pizza_sales[[#This Row],[order_date]],"dddd")</f>
        <v>Wednesday</v>
      </c>
      <c r="H2127" s="2">
        <v>0.48961805555555554</v>
      </c>
      <c r="I2127">
        <v>20.25</v>
      </c>
      <c r="J2127">
        <v>20.25</v>
      </c>
      <c r="K2127" t="s">
        <v>58</v>
      </c>
      <c r="L2127" t="s">
        <v>17</v>
      </c>
      <c r="M2127" t="s">
        <v>18</v>
      </c>
      <c r="N2127" t="s">
        <v>19</v>
      </c>
    </row>
    <row r="2128" spans="1:14" x14ac:dyDescent="0.25">
      <c r="A2128">
        <v>17230</v>
      </c>
      <c r="B2128">
        <v>7583</v>
      </c>
      <c r="C2128">
        <f>1/COUNTIF(B:B,pizza_sales[[#This Row],[order_id]])</f>
        <v>1</v>
      </c>
      <c r="D2128" t="s">
        <v>28</v>
      </c>
      <c r="E2128">
        <v>2</v>
      </c>
      <c r="F2128" s="1">
        <v>42221</v>
      </c>
      <c r="G2128" s="1" t="str">
        <f>TEXT(pizza_sales[[#This Row],[order_date]],"dddd")</f>
        <v>Wednesday</v>
      </c>
      <c r="H2128" s="2">
        <v>0.50091435185185185</v>
      </c>
      <c r="I2128">
        <v>12</v>
      </c>
      <c r="J2128">
        <v>24</v>
      </c>
      <c r="K2128" t="s">
        <v>60</v>
      </c>
      <c r="L2128" t="s">
        <v>13</v>
      </c>
      <c r="M2128" t="s">
        <v>29</v>
      </c>
      <c r="N2128" t="s">
        <v>30</v>
      </c>
    </row>
    <row r="2129" spans="1:14" x14ac:dyDescent="0.25">
      <c r="A2129">
        <v>17236</v>
      </c>
      <c r="B2129">
        <v>7586</v>
      </c>
      <c r="C2129">
        <f>1/COUNTIF(B:B,pizza_sales[[#This Row],[order_id]])</f>
        <v>1</v>
      </c>
      <c r="D2129" t="s">
        <v>31</v>
      </c>
      <c r="E2129">
        <v>1</v>
      </c>
      <c r="F2129" s="1">
        <v>42221</v>
      </c>
      <c r="G2129" s="1" t="str">
        <f>TEXT(pizza_sales[[#This Row],[order_date]],"dddd")</f>
        <v>Wednesday</v>
      </c>
      <c r="H2129" s="2">
        <v>0.50605324074074076</v>
      </c>
      <c r="I2129">
        <v>12</v>
      </c>
      <c r="J2129">
        <v>12</v>
      </c>
      <c r="K2129" t="s">
        <v>60</v>
      </c>
      <c r="L2129" t="s">
        <v>13</v>
      </c>
      <c r="M2129" t="s">
        <v>32</v>
      </c>
      <c r="N2129" t="s">
        <v>33</v>
      </c>
    </row>
    <row r="2130" spans="1:14" x14ac:dyDescent="0.25">
      <c r="A2130">
        <v>17243</v>
      </c>
      <c r="B2130">
        <v>7589</v>
      </c>
      <c r="C2130">
        <f>1/COUNTIF(B:B,pizza_sales[[#This Row],[order_id]])</f>
        <v>0.5</v>
      </c>
      <c r="D2130" t="s">
        <v>38</v>
      </c>
      <c r="E2130">
        <v>1</v>
      </c>
      <c r="F2130" s="1">
        <v>42221</v>
      </c>
      <c r="G2130" s="1" t="str">
        <f>TEXT(pizza_sales[[#This Row],[order_date]],"dddd")</f>
        <v>Wednesday</v>
      </c>
      <c r="H2130" s="2">
        <v>0.51946759259259256</v>
      </c>
      <c r="I2130">
        <v>20.5</v>
      </c>
      <c r="J2130">
        <v>20.5</v>
      </c>
      <c r="K2130" t="s">
        <v>58</v>
      </c>
      <c r="L2130" t="s">
        <v>13</v>
      </c>
      <c r="M2130" t="s">
        <v>32</v>
      </c>
      <c r="N2130" t="s">
        <v>33</v>
      </c>
    </row>
    <row r="2131" spans="1:14" x14ac:dyDescent="0.25">
      <c r="A2131">
        <v>17244</v>
      </c>
      <c r="B2131">
        <v>7589</v>
      </c>
      <c r="C2131">
        <f>1/COUNTIF(B:B,pizza_sales[[#This Row],[order_id]])</f>
        <v>0.5</v>
      </c>
      <c r="D2131" t="s">
        <v>42</v>
      </c>
      <c r="E2131">
        <v>1</v>
      </c>
      <c r="F2131" s="1">
        <v>42221</v>
      </c>
      <c r="G2131" s="1" t="str">
        <f>TEXT(pizza_sales[[#This Row],[order_date]],"dddd")</f>
        <v>Wednesday</v>
      </c>
      <c r="H2131" s="2">
        <v>0.51946759259259256</v>
      </c>
      <c r="I2131">
        <v>12.5</v>
      </c>
      <c r="J2131">
        <v>12.5</v>
      </c>
      <c r="K2131" t="s">
        <v>59</v>
      </c>
      <c r="L2131" t="s">
        <v>13</v>
      </c>
      <c r="M2131" t="s">
        <v>26</v>
      </c>
      <c r="N2131" t="s">
        <v>27</v>
      </c>
    </row>
    <row r="2132" spans="1:14" x14ac:dyDescent="0.25">
      <c r="A2132">
        <v>17249</v>
      </c>
      <c r="B2132">
        <v>7590</v>
      </c>
      <c r="C2132">
        <f>1/COUNTIF(B:B,pizza_sales[[#This Row],[order_id]])</f>
        <v>0.2</v>
      </c>
      <c r="D2132" t="s">
        <v>47</v>
      </c>
      <c r="E2132">
        <v>1</v>
      </c>
      <c r="F2132" s="1">
        <v>42221</v>
      </c>
      <c r="G2132" s="1" t="str">
        <f>TEXT(pizza_sales[[#This Row],[order_date]],"dddd")</f>
        <v>Wednesday</v>
      </c>
      <c r="H2132" s="2">
        <v>0.52226851851851852</v>
      </c>
      <c r="I2132">
        <v>16.5</v>
      </c>
      <c r="J2132">
        <v>16.5</v>
      </c>
      <c r="K2132" t="s">
        <v>58</v>
      </c>
      <c r="L2132" t="s">
        <v>13</v>
      </c>
      <c r="M2132" t="s">
        <v>14</v>
      </c>
      <c r="N2132" t="s">
        <v>15</v>
      </c>
    </row>
    <row r="2133" spans="1:14" x14ac:dyDescent="0.25">
      <c r="A2133">
        <v>17250</v>
      </c>
      <c r="B2133">
        <v>7590</v>
      </c>
      <c r="C2133">
        <f>1/COUNTIF(B:B,pizza_sales[[#This Row],[order_id]])</f>
        <v>0.2</v>
      </c>
      <c r="D2133" t="s">
        <v>45</v>
      </c>
      <c r="E2133">
        <v>1</v>
      </c>
      <c r="F2133" s="1">
        <v>42221</v>
      </c>
      <c r="G2133" s="1" t="str">
        <f>TEXT(pizza_sales[[#This Row],[order_date]],"dddd")</f>
        <v>Wednesday</v>
      </c>
      <c r="H2133" s="2">
        <v>0.52226851851851852</v>
      </c>
      <c r="I2133">
        <v>10.5</v>
      </c>
      <c r="J2133">
        <v>10.5</v>
      </c>
      <c r="K2133" t="s">
        <v>60</v>
      </c>
      <c r="L2133" t="s">
        <v>13</v>
      </c>
      <c r="M2133" t="s">
        <v>14</v>
      </c>
      <c r="N2133" t="s">
        <v>15</v>
      </c>
    </row>
    <row r="2134" spans="1:14" x14ac:dyDescent="0.25">
      <c r="A2134">
        <v>17251</v>
      </c>
      <c r="B2134">
        <v>7590</v>
      </c>
      <c r="C2134">
        <f>1/COUNTIF(B:B,pizza_sales[[#This Row],[order_id]])</f>
        <v>0.2</v>
      </c>
      <c r="D2134" t="s">
        <v>16</v>
      </c>
      <c r="E2134">
        <v>1</v>
      </c>
      <c r="F2134" s="1">
        <v>42221</v>
      </c>
      <c r="G2134" s="1" t="str">
        <f>TEXT(pizza_sales[[#This Row],[order_date]],"dddd")</f>
        <v>Wednesday</v>
      </c>
      <c r="H2134" s="2">
        <v>0.52226851851851852</v>
      </c>
      <c r="I2134">
        <v>16</v>
      </c>
      <c r="J2134">
        <v>16</v>
      </c>
      <c r="K2134" t="s">
        <v>59</v>
      </c>
      <c r="L2134" t="s">
        <v>17</v>
      </c>
      <c r="M2134" t="s">
        <v>18</v>
      </c>
      <c r="N2134" t="s">
        <v>19</v>
      </c>
    </row>
    <row r="2135" spans="1:14" x14ac:dyDescent="0.25">
      <c r="A2135">
        <v>17252</v>
      </c>
      <c r="B2135">
        <v>7590</v>
      </c>
      <c r="C2135">
        <f>1/COUNTIF(B:B,pizza_sales[[#This Row],[order_id]])</f>
        <v>0.2</v>
      </c>
      <c r="D2135" t="s">
        <v>31</v>
      </c>
      <c r="E2135">
        <v>1</v>
      </c>
      <c r="F2135" s="1">
        <v>42221</v>
      </c>
      <c r="G2135" s="1" t="str">
        <f>TEXT(pizza_sales[[#This Row],[order_date]],"dddd")</f>
        <v>Wednesday</v>
      </c>
      <c r="H2135" s="2">
        <v>0.52226851851851852</v>
      </c>
      <c r="I2135">
        <v>12</v>
      </c>
      <c r="J2135">
        <v>12</v>
      </c>
      <c r="K2135" t="s">
        <v>60</v>
      </c>
      <c r="L2135" t="s">
        <v>13</v>
      </c>
      <c r="M2135" t="s">
        <v>32</v>
      </c>
      <c r="N2135" t="s">
        <v>33</v>
      </c>
    </row>
    <row r="2136" spans="1:14" x14ac:dyDescent="0.25">
      <c r="A2136">
        <v>17253</v>
      </c>
      <c r="B2136">
        <v>7590</v>
      </c>
      <c r="C2136">
        <f>1/COUNTIF(B:B,pizza_sales[[#This Row],[order_id]])</f>
        <v>0.2</v>
      </c>
      <c r="D2136" t="s">
        <v>44</v>
      </c>
      <c r="E2136">
        <v>1</v>
      </c>
      <c r="F2136" s="1">
        <v>42221</v>
      </c>
      <c r="G2136" s="1" t="str">
        <f>TEXT(pizza_sales[[#This Row],[order_date]],"dddd")</f>
        <v>Wednesday</v>
      </c>
      <c r="H2136" s="2">
        <v>0.52226851851851852</v>
      </c>
      <c r="I2136">
        <v>9.75</v>
      </c>
      <c r="J2136">
        <v>9.75</v>
      </c>
      <c r="K2136" t="s">
        <v>60</v>
      </c>
      <c r="L2136" t="s">
        <v>13</v>
      </c>
      <c r="M2136" t="s">
        <v>26</v>
      </c>
      <c r="N2136" t="s">
        <v>27</v>
      </c>
    </row>
    <row r="2137" spans="1:14" x14ac:dyDescent="0.25">
      <c r="A2137">
        <v>17256</v>
      </c>
      <c r="B2137">
        <v>7591</v>
      </c>
      <c r="C2137">
        <f>1/COUNTIF(B:B,pizza_sales[[#This Row],[order_id]])</f>
        <v>0.33333333333333331</v>
      </c>
      <c r="D2137" t="s">
        <v>28</v>
      </c>
      <c r="E2137">
        <v>1</v>
      </c>
      <c r="F2137" s="1">
        <v>42221</v>
      </c>
      <c r="G2137" s="1" t="str">
        <f>TEXT(pizza_sales[[#This Row],[order_date]],"dddd")</f>
        <v>Wednesday</v>
      </c>
      <c r="H2137" s="2">
        <v>0.5296643518518519</v>
      </c>
      <c r="I2137">
        <v>12</v>
      </c>
      <c r="J2137">
        <v>12</v>
      </c>
      <c r="K2137" t="s">
        <v>60</v>
      </c>
      <c r="L2137" t="s">
        <v>13</v>
      </c>
      <c r="M2137" t="s">
        <v>29</v>
      </c>
      <c r="N2137" t="s">
        <v>30</v>
      </c>
    </row>
    <row r="2138" spans="1:14" x14ac:dyDescent="0.25">
      <c r="A2138">
        <v>17261</v>
      </c>
      <c r="B2138">
        <v>7591</v>
      </c>
      <c r="C2138">
        <f>1/COUNTIF(B:B,pizza_sales[[#This Row],[order_id]])</f>
        <v>0.33333333333333331</v>
      </c>
      <c r="D2138" t="s">
        <v>25</v>
      </c>
      <c r="E2138">
        <v>1</v>
      </c>
      <c r="F2138" s="1">
        <v>42221</v>
      </c>
      <c r="G2138" s="1" t="str">
        <f>TEXT(pizza_sales[[#This Row],[order_date]],"dddd")</f>
        <v>Wednesday</v>
      </c>
      <c r="H2138" s="2">
        <v>0.5296643518518519</v>
      </c>
      <c r="I2138">
        <v>15.25</v>
      </c>
      <c r="J2138">
        <v>15.25</v>
      </c>
      <c r="K2138" t="s">
        <v>58</v>
      </c>
      <c r="L2138" t="s">
        <v>13</v>
      </c>
      <c r="M2138" t="s">
        <v>26</v>
      </c>
      <c r="N2138" t="s">
        <v>27</v>
      </c>
    </row>
    <row r="2139" spans="1:14" x14ac:dyDescent="0.25">
      <c r="A2139">
        <v>17264</v>
      </c>
      <c r="B2139">
        <v>7591</v>
      </c>
      <c r="C2139">
        <f>1/COUNTIF(B:B,pizza_sales[[#This Row],[order_id]])</f>
        <v>0.33333333333333331</v>
      </c>
      <c r="D2139" t="s">
        <v>43</v>
      </c>
      <c r="E2139">
        <v>1</v>
      </c>
      <c r="F2139" s="1">
        <v>42221</v>
      </c>
      <c r="G2139" s="1" t="str">
        <f>TEXT(pizza_sales[[#This Row],[order_date]],"dddd")</f>
        <v>Wednesday</v>
      </c>
      <c r="H2139" s="2">
        <v>0.5296643518518519</v>
      </c>
      <c r="I2139">
        <v>16.25</v>
      </c>
      <c r="J2139">
        <v>16.25</v>
      </c>
      <c r="K2139" t="s">
        <v>59</v>
      </c>
      <c r="L2139" t="s">
        <v>35</v>
      </c>
      <c r="M2139" t="s">
        <v>40</v>
      </c>
      <c r="N2139" t="s">
        <v>41</v>
      </c>
    </row>
    <row r="2140" spans="1:14" x14ac:dyDescent="0.25">
      <c r="A2140">
        <v>17273</v>
      </c>
      <c r="B2140">
        <v>7595</v>
      </c>
      <c r="C2140">
        <f>1/COUNTIF(B:B,pizza_sales[[#This Row],[order_id]])</f>
        <v>1</v>
      </c>
      <c r="D2140" t="s">
        <v>28</v>
      </c>
      <c r="E2140">
        <v>1</v>
      </c>
      <c r="F2140" s="1">
        <v>42221</v>
      </c>
      <c r="G2140" s="1" t="str">
        <f>TEXT(pizza_sales[[#This Row],[order_date]],"dddd")</f>
        <v>Wednesday</v>
      </c>
      <c r="H2140" s="2">
        <v>0.55865740740740744</v>
      </c>
      <c r="I2140">
        <v>12</v>
      </c>
      <c r="J2140">
        <v>12</v>
      </c>
      <c r="K2140" t="s">
        <v>60</v>
      </c>
      <c r="L2140" t="s">
        <v>13</v>
      </c>
      <c r="M2140" t="s">
        <v>29</v>
      </c>
      <c r="N2140" t="s">
        <v>30</v>
      </c>
    </row>
    <row r="2141" spans="1:14" x14ac:dyDescent="0.25">
      <c r="A2141">
        <v>17275</v>
      </c>
      <c r="B2141">
        <v>7596</v>
      </c>
      <c r="C2141">
        <f>1/COUNTIF(B:B,pizza_sales[[#This Row],[order_id]])</f>
        <v>1</v>
      </c>
      <c r="D2141" t="s">
        <v>55</v>
      </c>
      <c r="E2141">
        <v>1</v>
      </c>
      <c r="F2141" s="1">
        <v>42221</v>
      </c>
      <c r="G2141" s="1" t="str">
        <f>TEXT(pizza_sales[[#This Row],[order_date]],"dddd")</f>
        <v>Wednesday</v>
      </c>
      <c r="H2141" s="2">
        <v>0.56082175925925926</v>
      </c>
      <c r="I2141">
        <v>20.5</v>
      </c>
      <c r="J2141">
        <v>20.5</v>
      </c>
      <c r="K2141" t="s">
        <v>58</v>
      </c>
      <c r="L2141" t="s">
        <v>13</v>
      </c>
      <c r="M2141" t="s">
        <v>21</v>
      </c>
      <c r="N2141" t="s">
        <v>22</v>
      </c>
    </row>
    <row r="2142" spans="1:14" x14ac:dyDescent="0.25">
      <c r="A2142">
        <v>17278</v>
      </c>
      <c r="B2142">
        <v>7598</v>
      </c>
      <c r="C2142">
        <f>1/COUNTIF(B:B,pizza_sales[[#This Row],[order_id]])</f>
        <v>1</v>
      </c>
      <c r="D2142" t="s">
        <v>48</v>
      </c>
      <c r="E2142">
        <v>1</v>
      </c>
      <c r="F2142" s="1">
        <v>42221</v>
      </c>
      <c r="G2142" s="1" t="str">
        <f>TEXT(pizza_sales[[#This Row],[order_date]],"dddd")</f>
        <v>Wednesday</v>
      </c>
      <c r="H2142" s="2">
        <v>0.56546296296296295</v>
      </c>
      <c r="I2142">
        <v>12.25</v>
      </c>
      <c r="J2142">
        <v>12.25</v>
      </c>
      <c r="K2142" t="s">
        <v>60</v>
      </c>
      <c r="L2142" t="s">
        <v>35</v>
      </c>
      <c r="M2142" t="s">
        <v>40</v>
      </c>
      <c r="N2142" t="s">
        <v>41</v>
      </c>
    </row>
    <row r="2143" spans="1:14" x14ac:dyDescent="0.25">
      <c r="A2143">
        <v>17281</v>
      </c>
      <c r="B2143">
        <v>7600</v>
      </c>
      <c r="C2143">
        <f>1/COUNTIF(B:B,pizza_sales[[#This Row],[order_id]])</f>
        <v>1</v>
      </c>
      <c r="D2143" t="s">
        <v>42</v>
      </c>
      <c r="E2143">
        <v>1</v>
      </c>
      <c r="F2143" s="1">
        <v>42221</v>
      </c>
      <c r="G2143" s="1" t="str">
        <f>TEXT(pizza_sales[[#This Row],[order_date]],"dddd")</f>
        <v>Wednesday</v>
      </c>
      <c r="H2143" s="2">
        <v>0.58304398148148151</v>
      </c>
      <c r="I2143">
        <v>12.5</v>
      </c>
      <c r="J2143">
        <v>12.5</v>
      </c>
      <c r="K2143" t="s">
        <v>59</v>
      </c>
      <c r="L2143" t="s">
        <v>13</v>
      </c>
      <c r="M2143" t="s">
        <v>26</v>
      </c>
      <c r="N2143" t="s">
        <v>27</v>
      </c>
    </row>
    <row r="2144" spans="1:14" x14ac:dyDescent="0.25">
      <c r="A2144">
        <v>17288</v>
      </c>
      <c r="B2144">
        <v>7603</v>
      </c>
      <c r="C2144">
        <f>1/COUNTIF(B:B,pizza_sales[[#This Row],[order_id]])</f>
        <v>1</v>
      </c>
      <c r="D2144" t="s">
        <v>46</v>
      </c>
      <c r="E2144">
        <v>1</v>
      </c>
      <c r="F2144" s="1">
        <v>42221</v>
      </c>
      <c r="G2144" s="1" t="str">
        <f>TEXT(pizza_sales[[#This Row],[order_date]],"dddd")</f>
        <v>Wednesday</v>
      </c>
      <c r="H2144" s="2">
        <v>0.63930555555555557</v>
      </c>
      <c r="I2144">
        <v>25.5</v>
      </c>
      <c r="J2144">
        <v>25.5</v>
      </c>
      <c r="K2144" t="s">
        <v>61</v>
      </c>
      <c r="L2144" t="s">
        <v>13</v>
      </c>
      <c r="M2144" t="s">
        <v>21</v>
      </c>
      <c r="N2144" t="s">
        <v>22</v>
      </c>
    </row>
    <row r="2145" spans="1:14" x14ac:dyDescent="0.25">
      <c r="A2145">
        <v>17290</v>
      </c>
      <c r="B2145">
        <v>7605</v>
      </c>
      <c r="C2145">
        <f>1/COUNTIF(B:B,pizza_sales[[#This Row],[order_id]])</f>
        <v>1</v>
      </c>
      <c r="D2145" t="s">
        <v>28</v>
      </c>
      <c r="E2145">
        <v>1</v>
      </c>
      <c r="F2145" s="1">
        <v>42221</v>
      </c>
      <c r="G2145" s="1" t="str">
        <f>TEXT(pizza_sales[[#This Row],[order_date]],"dddd")</f>
        <v>Wednesday</v>
      </c>
      <c r="H2145" s="2">
        <v>0.68373842592592593</v>
      </c>
      <c r="I2145">
        <v>12</v>
      </c>
      <c r="J2145">
        <v>12</v>
      </c>
      <c r="K2145" t="s">
        <v>60</v>
      </c>
      <c r="L2145" t="s">
        <v>13</v>
      </c>
      <c r="M2145" t="s">
        <v>29</v>
      </c>
      <c r="N2145" t="s">
        <v>30</v>
      </c>
    </row>
    <row r="2146" spans="1:14" x14ac:dyDescent="0.25">
      <c r="A2146">
        <v>17294</v>
      </c>
      <c r="B2146">
        <v>7606</v>
      </c>
      <c r="C2146">
        <f>1/COUNTIF(B:B,pizza_sales[[#This Row],[order_id]])</f>
        <v>1</v>
      </c>
      <c r="D2146" t="s">
        <v>43</v>
      </c>
      <c r="E2146">
        <v>1</v>
      </c>
      <c r="F2146" s="1">
        <v>42221</v>
      </c>
      <c r="G2146" s="1" t="str">
        <f>TEXT(pizza_sales[[#This Row],[order_date]],"dddd")</f>
        <v>Wednesday</v>
      </c>
      <c r="H2146" s="2">
        <v>0.68547453703703709</v>
      </c>
      <c r="I2146">
        <v>16.25</v>
      </c>
      <c r="J2146">
        <v>16.25</v>
      </c>
      <c r="K2146" t="s">
        <v>59</v>
      </c>
      <c r="L2146" t="s">
        <v>35</v>
      </c>
      <c r="M2146" t="s">
        <v>40</v>
      </c>
      <c r="N2146" t="s">
        <v>41</v>
      </c>
    </row>
    <row r="2147" spans="1:14" x14ac:dyDescent="0.25">
      <c r="A2147">
        <v>17295</v>
      </c>
      <c r="B2147">
        <v>7607</v>
      </c>
      <c r="C2147">
        <f>1/COUNTIF(B:B,pizza_sales[[#This Row],[order_id]])</f>
        <v>1</v>
      </c>
      <c r="D2147" t="s">
        <v>24</v>
      </c>
      <c r="E2147">
        <v>1</v>
      </c>
      <c r="F2147" s="1">
        <v>42221</v>
      </c>
      <c r="G2147" s="1" t="str">
        <f>TEXT(pizza_sales[[#This Row],[order_date]],"dddd")</f>
        <v>Wednesday</v>
      </c>
      <c r="H2147" s="2">
        <v>0.6895486111111111</v>
      </c>
      <c r="I2147">
        <v>20.25</v>
      </c>
      <c r="J2147">
        <v>20.25</v>
      </c>
      <c r="K2147" t="s">
        <v>58</v>
      </c>
      <c r="L2147" t="s">
        <v>17</v>
      </c>
      <c r="M2147" t="s">
        <v>18</v>
      </c>
      <c r="N2147" t="s">
        <v>19</v>
      </c>
    </row>
    <row r="2148" spans="1:14" x14ac:dyDescent="0.25">
      <c r="A2148">
        <v>17297</v>
      </c>
      <c r="B2148">
        <v>7608</v>
      </c>
      <c r="C2148">
        <f>1/COUNTIF(B:B,pizza_sales[[#This Row],[order_id]])</f>
        <v>1</v>
      </c>
      <c r="D2148" t="s">
        <v>38</v>
      </c>
      <c r="E2148">
        <v>1</v>
      </c>
      <c r="F2148" s="1">
        <v>42221</v>
      </c>
      <c r="G2148" s="1" t="str">
        <f>TEXT(pizza_sales[[#This Row],[order_date]],"dddd")</f>
        <v>Wednesday</v>
      </c>
      <c r="H2148" s="2">
        <v>0.70484953703703701</v>
      </c>
      <c r="I2148">
        <v>20.5</v>
      </c>
      <c r="J2148">
        <v>20.5</v>
      </c>
      <c r="K2148" t="s">
        <v>58</v>
      </c>
      <c r="L2148" t="s">
        <v>13</v>
      </c>
      <c r="M2148" t="s">
        <v>32</v>
      </c>
      <c r="N2148" t="s">
        <v>33</v>
      </c>
    </row>
    <row r="2149" spans="1:14" x14ac:dyDescent="0.25">
      <c r="A2149">
        <v>17299</v>
      </c>
      <c r="B2149">
        <v>7610</v>
      </c>
      <c r="C2149">
        <f>1/COUNTIF(B:B,pizza_sales[[#This Row],[order_id]])</f>
        <v>1</v>
      </c>
      <c r="D2149" t="s">
        <v>24</v>
      </c>
      <c r="E2149">
        <v>1</v>
      </c>
      <c r="F2149" s="1">
        <v>42221</v>
      </c>
      <c r="G2149" s="1" t="str">
        <f>TEXT(pizza_sales[[#This Row],[order_date]],"dddd")</f>
        <v>Wednesday</v>
      </c>
      <c r="H2149" s="2">
        <v>0.70599537037037041</v>
      </c>
      <c r="I2149">
        <v>20.25</v>
      </c>
      <c r="J2149">
        <v>20.25</v>
      </c>
      <c r="K2149" t="s">
        <v>58</v>
      </c>
      <c r="L2149" t="s">
        <v>17</v>
      </c>
      <c r="M2149" t="s">
        <v>18</v>
      </c>
      <c r="N2149" t="s">
        <v>19</v>
      </c>
    </row>
    <row r="2150" spans="1:14" x14ac:dyDescent="0.25">
      <c r="A2150">
        <v>17302</v>
      </c>
      <c r="B2150">
        <v>7612</v>
      </c>
      <c r="C2150">
        <f>1/COUNTIF(B:B,pizza_sales[[#This Row],[order_id]])</f>
        <v>0.5</v>
      </c>
      <c r="D2150" t="s">
        <v>28</v>
      </c>
      <c r="E2150">
        <v>1</v>
      </c>
      <c r="F2150" s="1">
        <v>42221</v>
      </c>
      <c r="G2150" s="1" t="str">
        <f>TEXT(pizza_sales[[#This Row],[order_date]],"dddd")</f>
        <v>Wednesday</v>
      </c>
      <c r="H2150" s="2">
        <v>0.7133680555555556</v>
      </c>
      <c r="I2150">
        <v>12</v>
      </c>
      <c r="J2150">
        <v>12</v>
      </c>
      <c r="K2150" t="s">
        <v>60</v>
      </c>
      <c r="L2150" t="s">
        <v>13</v>
      </c>
      <c r="M2150" t="s">
        <v>29</v>
      </c>
      <c r="N2150" t="s">
        <v>30</v>
      </c>
    </row>
    <row r="2151" spans="1:14" x14ac:dyDescent="0.25">
      <c r="A2151">
        <v>17304</v>
      </c>
      <c r="B2151">
        <v>7612</v>
      </c>
      <c r="C2151">
        <f>1/COUNTIF(B:B,pizza_sales[[#This Row],[order_id]])</f>
        <v>0.5</v>
      </c>
      <c r="D2151" t="s">
        <v>25</v>
      </c>
      <c r="E2151">
        <v>1</v>
      </c>
      <c r="F2151" s="1">
        <v>42221</v>
      </c>
      <c r="G2151" s="1" t="str">
        <f>TEXT(pizza_sales[[#This Row],[order_date]],"dddd")</f>
        <v>Wednesday</v>
      </c>
      <c r="H2151" s="2">
        <v>0.7133680555555556</v>
      </c>
      <c r="I2151">
        <v>15.25</v>
      </c>
      <c r="J2151">
        <v>15.25</v>
      </c>
      <c r="K2151" t="s">
        <v>58</v>
      </c>
      <c r="L2151" t="s">
        <v>13</v>
      </c>
      <c r="M2151" t="s">
        <v>26</v>
      </c>
      <c r="N2151" t="s">
        <v>27</v>
      </c>
    </row>
    <row r="2152" spans="1:14" x14ac:dyDescent="0.25">
      <c r="A2152">
        <v>17307</v>
      </c>
      <c r="B2152">
        <v>7613</v>
      </c>
      <c r="C2152">
        <f>1/COUNTIF(B:B,pizza_sales[[#This Row],[order_id]])</f>
        <v>1</v>
      </c>
      <c r="D2152" t="s">
        <v>38</v>
      </c>
      <c r="E2152">
        <v>1</v>
      </c>
      <c r="F2152" s="1">
        <v>42221</v>
      </c>
      <c r="G2152" s="1" t="str">
        <f>TEXT(pizza_sales[[#This Row],[order_date]],"dddd")</f>
        <v>Wednesday</v>
      </c>
      <c r="H2152" s="2">
        <v>0.72335648148148146</v>
      </c>
      <c r="I2152">
        <v>20.5</v>
      </c>
      <c r="J2152">
        <v>20.5</v>
      </c>
      <c r="K2152" t="s">
        <v>58</v>
      </c>
      <c r="L2152" t="s">
        <v>13</v>
      </c>
      <c r="M2152" t="s">
        <v>32</v>
      </c>
      <c r="N2152" t="s">
        <v>33</v>
      </c>
    </row>
    <row r="2153" spans="1:14" x14ac:dyDescent="0.25">
      <c r="A2153">
        <v>17316</v>
      </c>
      <c r="B2153">
        <v>7617</v>
      </c>
      <c r="C2153">
        <f>1/COUNTIF(B:B,pizza_sales[[#This Row],[order_id]])</f>
        <v>1</v>
      </c>
      <c r="D2153" t="s">
        <v>44</v>
      </c>
      <c r="E2153">
        <v>1</v>
      </c>
      <c r="F2153" s="1">
        <v>42221</v>
      </c>
      <c r="G2153" s="1" t="str">
        <f>TEXT(pizza_sales[[#This Row],[order_date]],"dddd")</f>
        <v>Wednesday</v>
      </c>
      <c r="H2153" s="2">
        <v>0.74059027777777775</v>
      </c>
      <c r="I2153">
        <v>9.75</v>
      </c>
      <c r="J2153">
        <v>9.75</v>
      </c>
      <c r="K2153" t="s">
        <v>60</v>
      </c>
      <c r="L2153" t="s">
        <v>13</v>
      </c>
      <c r="M2153" t="s">
        <v>26</v>
      </c>
      <c r="N2153" t="s">
        <v>27</v>
      </c>
    </row>
    <row r="2154" spans="1:14" x14ac:dyDescent="0.25">
      <c r="A2154">
        <v>17319</v>
      </c>
      <c r="B2154">
        <v>7619</v>
      </c>
      <c r="C2154">
        <f>1/COUNTIF(B:B,pizza_sales[[#This Row],[order_id]])</f>
        <v>1</v>
      </c>
      <c r="D2154" t="s">
        <v>28</v>
      </c>
      <c r="E2154">
        <v>1</v>
      </c>
      <c r="F2154" s="1">
        <v>42221</v>
      </c>
      <c r="G2154" s="1" t="str">
        <f>TEXT(pizza_sales[[#This Row],[order_date]],"dddd")</f>
        <v>Wednesday</v>
      </c>
      <c r="H2154" s="2">
        <v>0.74846064814814817</v>
      </c>
      <c r="I2154">
        <v>12</v>
      </c>
      <c r="J2154">
        <v>12</v>
      </c>
      <c r="K2154" t="s">
        <v>60</v>
      </c>
      <c r="L2154" t="s">
        <v>13</v>
      </c>
      <c r="M2154" t="s">
        <v>29</v>
      </c>
      <c r="N2154" t="s">
        <v>30</v>
      </c>
    </row>
    <row r="2155" spans="1:14" x14ac:dyDescent="0.25">
      <c r="A2155">
        <v>17323</v>
      </c>
      <c r="B2155">
        <v>7620</v>
      </c>
      <c r="C2155">
        <f>1/COUNTIF(B:B,pizza_sales[[#This Row],[order_id]])</f>
        <v>1</v>
      </c>
      <c r="D2155" t="s">
        <v>28</v>
      </c>
      <c r="E2155">
        <v>1</v>
      </c>
      <c r="F2155" s="1">
        <v>42221</v>
      </c>
      <c r="G2155" s="1" t="str">
        <f>TEXT(pizza_sales[[#This Row],[order_date]],"dddd")</f>
        <v>Wednesday</v>
      </c>
      <c r="H2155" s="2">
        <v>0.75064814814814818</v>
      </c>
      <c r="I2155">
        <v>12</v>
      </c>
      <c r="J2155">
        <v>12</v>
      </c>
      <c r="K2155" t="s">
        <v>60</v>
      </c>
      <c r="L2155" t="s">
        <v>13</v>
      </c>
      <c r="M2155" t="s">
        <v>29</v>
      </c>
      <c r="N2155" t="s">
        <v>30</v>
      </c>
    </row>
    <row r="2156" spans="1:14" x14ac:dyDescent="0.25">
      <c r="A2156">
        <v>17325</v>
      </c>
      <c r="B2156">
        <v>7621</v>
      </c>
      <c r="C2156">
        <f>1/COUNTIF(B:B,pizza_sales[[#This Row],[order_id]])</f>
        <v>1</v>
      </c>
      <c r="D2156" t="s">
        <v>42</v>
      </c>
      <c r="E2156">
        <v>1</v>
      </c>
      <c r="F2156" s="1">
        <v>42221</v>
      </c>
      <c r="G2156" s="1" t="str">
        <f>TEXT(pizza_sales[[#This Row],[order_date]],"dddd")</f>
        <v>Wednesday</v>
      </c>
      <c r="H2156" s="2">
        <v>0.76055555555555554</v>
      </c>
      <c r="I2156">
        <v>12.5</v>
      </c>
      <c r="J2156">
        <v>12.5</v>
      </c>
      <c r="K2156" t="s">
        <v>59</v>
      </c>
      <c r="L2156" t="s">
        <v>13</v>
      </c>
      <c r="M2156" t="s">
        <v>26</v>
      </c>
      <c r="N2156" t="s">
        <v>27</v>
      </c>
    </row>
    <row r="2157" spans="1:14" x14ac:dyDescent="0.25">
      <c r="A2157">
        <v>17326</v>
      </c>
      <c r="B2157">
        <v>7622</v>
      </c>
      <c r="C2157">
        <f>1/COUNTIF(B:B,pizza_sales[[#This Row],[order_id]])</f>
        <v>1</v>
      </c>
      <c r="D2157" t="s">
        <v>31</v>
      </c>
      <c r="E2157">
        <v>1</v>
      </c>
      <c r="F2157" s="1">
        <v>42221</v>
      </c>
      <c r="G2157" s="1" t="str">
        <f>TEXT(pizza_sales[[#This Row],[order_date]],"dddd")</f>
        <v>Wednesday</v>
      </c>
      <c r="H2157" s="2">
        <v>0.77741898148148147</v>
      </c>
      <c r="I2157">
        <v>12</v>
      </c>
      <c r="J2157">
        <v>12</v>
      </c>
      <c r="K2157" t="s">
        <v>60</v>
      </c>
      <c r="L2157" t="s">
        <v>13</v>
      </c>
      <c r="M2157" t="s">
        <v>32</v>
      </c>
      <c r="N2157" t="s">
        <v>33</v>
      </c>
    </row>
    <row r="2158" spans="1:14" x14ac:dyDescent="0.25">
      <c r="A2158">
        <v>17329</v>
      </c>
      <c r="B2158">
        <v>7623</v>
      </c>
      <c r="C2158">
        <f>1/COUNTIF(B:B,pizza_sales[[#This Row],[order_id]])</f>
        <v>0.5</v>
      </c>
      <c r="D2158" t="s">
        <v>47</v>
      </c>
      <c r="E2158">
        <v>1</v>
      </c>
      <c r="F2158" s="1">
        <v>42221</v>
      </c>
      <c r="G2158" s="1" t="str">
        <f>TEXT(pizza_sales[[#This Row],[order_date]],"dddd")</f>
        <v>Wednesday</v>
      </c>
      <c r="H2158" s="2">
        <v>0.78336805555555555</v>
      </c>
      <c r="I2158">
        <v>16.5</v>
      </c>
      <c r="J2158">
        <v>16.5</v>
      </c>
      <c r="K2158" t="s">
        <v>58</v>
      </c>
      <c r="L2158" t="s">
        <v>13</v>
      </c>
      <c r="M2158" t="s">
        <v>14</v>
      </c>
      <c r="N2158" t="s">
        <v>15</v>
      </c>
    </row>
    <row r="2159" spans="1:14" x14ac:dyDescent="0.25">
      <c r="A2159">
        <v>17331</v>
      </c>
      <c r="B2159">
        <v>7623</v>
      </c>
      <c r="C2159">
        <f>1/COUNTIF(B:B,pizza_sales[[#This Row],[order_id]])</f>
        <v>0.5</v>
      </c>
      <c r="D2159" t="s">
        <v>46</v>
      </c>
      <c r="E2159">
        <v>1</v>
      </c>
      <c r="F2159" s="1">
        <v>42221</v>
      </c>
      <c r="G2159" s="1" t="str">
        <f>TEXT(pizza_sales[[#This Row],[order_date]],"dddd")</f>
        <v>Wednesday</v>
      </c>
      <c r="H2159" s="2">
        <v>0.78336805555555555</v>
      </c>
      <c r="I2159">
        <v>25.5</v>
      </c>
      <c r="J2159">
        <v>25.5</v>
      </c>
      <c r="K2159" t="s">
        <v>61</v>
      </c>
      <c r="L2159" t="s">
        <v>13</v>
      </c>
      <c r="M2159" t="s">
        <v>21</v>
      </c>
      <c r="N2159" t="s">
        <v>22</v>
      </c>
    </row>
    <row r="2160" spans="1:14" x14ac:dyDescent="0.25">
      <c r="A2160">
        <v>17333</v>
      </c>
      <c r="B2160">
        <v>7624</v>
      </c>
      <c r="C2160">
        <f>1/COUNTIF(B:B,pizza_sales[[#This Row],[order_id]])</f>
        <v>1</v>
      </c>
      <c r="D2160" t="s">
        <v>45</v>
      </c>
      <c r="E2160">
        <v>1</v>
      </c>
      <c r="F2160" s="1">
        <v>42221</v>
      </c>
      <c r="G2160" s="1" t="str">
        <f>TEXT(pizza_sales[[#This Row],[order_date]],"dddd")</f>
        <v>Wednesday</v>
      </c>
      <c r="H2160" s="2">
        <v>0.783599537037037</v>
      </c>
      <c r="I2160">
        <v>10.5</v>
      </c>
      <c r="J2160">
        <v>10.5</v>
      </c>
      <c r="K2160" t="s">
        <v>60</v>
      </c>
      <c r="L2160" t="s">
        <v>13</v>
      </c>
      <c r="M2160" t="s">
        <v>14</v>
      </c>
      <c r="N2160" t="s">
        <v>15</v>
      </c>
    </row>
    <row r="2161" spans="1:14" x14ac:dyDescent="0.25">
      <c r="A2161">
        <v>17337</v>
      </c>
      <c r="B2161">
        <v>7626</v>
      </c>
      <c r="C2161">
        <f>1/COUNTIF(B:B,pizza_sales[[#This Row],[order_id]])</f>
        <v>1</v>
      </c>
      <c r="D2161" t="s">
        <v>28</v>
      </c>
      <c r="E2161">
        <v>1</v>
      </c>
      <c r="F2161" s="1">
        <v>42221</v>
      </c>
      <c r="G2161" s="1" t="str">
        <f>TEXT(pizza_sales[[#This Row],[order_date]],"dddd")</f>
        <v>Wednesday</v>
      </c>
      <c r="H2161" s="2">
        <v>0.79252314814814817</v>
      </c>
      <c r="I2161">
        <v>12</v>
      </c>
      <c r="J2161">
        <v>12</v>
      </c>
      <c r="K2161" t="s">
        <v>60</v>
      </c>
      <c r="L2161" t="s">
        <v>13</v>
      </c>
      <c r="M2161" t="s">
        <v>29</v>
      </c>
      <c r="N2161" t="s">
        <v>30</v>
      </c>
    </row>
    <row r="2162" spans="1:14" x14ac:dyDescent="0.25">
      <c r="A2162">
        <v>17343</v>
      </c>
      <c r="B2162">
        <v>7628</v>
      </c>
      <c r="C2162">
        <f>1/COUNTIF(B:B,pizza_sales[[#This Row],[order_id]])</f>
        <v>1</v>
      </c>
      <c r="D2162" t="s">
        <v>31</v>
      </c>
      <c r="E2162">
        <v>1</v>
      </c>
      <c r="F2162" s="1">
        <v>42221</v>
      </c>
      <c r="G2162" s="1" t="str">
        <f>TEXT(pizza_sales[[#This Row],[order_date]],"dddd")</f>
        <v>Wednesday</v>
      </c>
      <c r="H2162" s="2">
        <v>0.79574074074074075</v>
      </c>
      <c r="I2162">
        <v>12</v>
      </c>
      <c r="J2162">
        <v>12</v>
      </c>
      <c r="K2162" t="s">
        <v>60</v>
      </c>
      <c r="L2162" t="s">
        <v>13</v>
      </c>
      <c r="M2162" t="s">
        <v>32</v>
      </c>
      <c r="N2162" t="s">
        <v>33</v>
      </c>
    </row>
    <row r="2163" spans="1:14" x14ac:dyDescent="0.25">
      <c r="A2163">
        <v>17354</v>
      </c>
      <c r="B2163">
        <v>7632</v>
      </c>
      <c r="C2163">
        <f>1/COUNTIF(B:B,pizza_sales[[#This Row],[order_id]])</f>
        <v>1</v>
      </c>
      <c r="D2163" t="s">
        <v>24</v>
      </c>
      <c r="E2163">
        <v>1</v>
      </c>
      <c r="F2163" s="1">
        <v>42221</v>
      </c>
      <c r="G2163" s="1" t="str">
        <f>TEXT(pizza_sales[[#This Row],[order_date]],"dddd")</f>
        <v>Wednesday</v>
      </c>
      <c r="H2163" s="2">
        <v>0.81791666666666663</v>
      </c>
      <c r="I2163">
        <v>20.25</v>
      </c>
      <c r="J2163">
        <v>20.25</v>
      </c>
      <c r="K2163" t="s">
        <v>58</v>
      </c>
      <c r="L2163" t="s">
        <v>17</v>
      </c>
      <c r="M2163" t="s">
        <v>18</v>
      </c>
      <c r="N2163" t="s">
        <v>19</v>
      </c>
    </row>
    <row r="2164" spans="1:14" x14ac:dyDescent="0.25">
      <c r="A2164">
        <v>17357</v>
      </c>
      <c r="B2164">
        <v>7633</v>
      </c>
      <c r="C2164">
        <f>1/COUNTIF(B:B,pizza_sales[[#This Row],[order_id]])</f>
        <v>1</v>
      </c>
      <c r="D2164" t="s">
        <v>42</v>
      </c>
      <c r="E2164">
        <v>1</v>
      </c>
      <c r="F2164" s="1">
        <v>42221</v>
      </c>
      <c r="G2164" s="1" t="str">
        <f>TEXT(pizza_sales[[#This Row],[order_date]],"dddd")</f>
        <v>Wednesday</v>
      </c>
      <c r="H2164" s="2">
        <v>0.8271412037037037</v>
      </c>
      <c r="I2164">
        <v>12.5</v>
      </c>
      <c r="J2164">
        <v>12.5</v>
      </c>
      <c r="K2164" t="s">
        <v>59</v>
      </c>
      <c r="L2164" t="s">
        <v>13</v>
      </c>
      <c r="M2164" t="s">
        <v>26</v>
      </c>
      <c r="N2164" t="s">
        <v>27</v>
      </c>
    </row>
    <row r="2165" spans="1:14" x14ac:dyDescent="0.25">
      <c r="A2165">
        <v>17361</v>
      </c>
      <c r="B2165">
        <v>7635</v>
      </c>
      <c r="C2165">
        <f>1/COUNTIF(B:B,pizza_sales[[#This Row],[order_id]])</f>
        <v>1</v>
      </c>
      <c r="D2165" t="s">
        <v>42</v>
      </c>
      <c r="E2165">
        <v>1</v>
      </c>
      <c r="F2165" s="1">
        <v>42221</v>
      </c>
      <c r="G2165" s="1" t="str">
        <f>TEXT(pizza_sales[[#This Row],[order_date]],"dddd")</f>
        <v>Wednesday</v>
      </c>
      <c r="H2165" s="2">
        <v>0.83332175925925922</v>
      </c>
      <c r="I2165">
        <v>12.5</v>
      </c>
      <c r="J2165">
        <v>12.5</v>
      </c>
      <c r="K2165" t="s">
        <v>59</v>
      </c>
      <c r="L2165" t="s">
        <v>13</v>
      </c>
      <c r="M2165" t="s">
        <v>26</v>
      </c>
      <c r="N2165" t="s">
        <v>27</v>
      </c>
    </row>
    <row r="2166" spans="1:14" x14ac:dyDescent="0.25">
      <c r="A2166">
        <v>17362</v>
      </c>
      <c r="B2166">
        <v>7636</v>
      </c>
      <c r="C2166">
        <f>1/COUNTIF(B:B,pizza_sales[[#This Row],[order_id]])</f>
        <v>0.5</v>
      </c>
      <c r="D2166" t="s">
        <v>28</v>
      </c>
      <c r="E2166">
        <v>1</v>
      </c>
      <c r="F2166" s="1">
        <v>42221</v>
      </c>
      <c r="G2166" s="1" t="str">
        <f>TEXT(pizza_sales[[#This Row],[order_date]],"dddd")</f>
        <v>Wednesday</v>
      </c>
      <c r="H2166" s="2">
        <v>0.83456018518518515</v>
      </c>
      <c r="I2166">
        <v>12</v>
      </c>
      <c r="J2166">
        <v>12</v>
      </c>
      <c r="K2166" t="s">
        <v>60</v>
      </c>
      <c r="L2166" t="s">
        <v>13</v>
      </c>
      <c r="M2166" t="s">
        <v>29</v>
      </c>
      <c r="N2166" t="s">
        <v>30</v>
      </c>
    </row>
    <row r="2167" spans="1:14" x14ac:dyDescent="0.25">
      <c r="A2167">
        <v>17363</v>
      </c>
      <c r="B2167">
        <v>7636</v>
      </c>
      <c r="C2167">
        <f>1/COUNTIF(B:B,pizza_sales[[#This Row],[order_id]])</f>
        <v>0.5</v>
      </c>
      <c r="D2167" t="s">
        <v>25</v>
      </c>
      <c r="E2167">
        <v>1</v>
      </c>
      <c r="F2167" s="1">
        <v>42221</v>
      </c>
      <c r="G2167" s="1" t="str">
        <f>TEXT(pizza_sales[[#This Row],[order_date]],"dddd")</f>
        <v>Wednesday</v>
      </c>
      <c r="H2167" s="2">
        <v>0.83456018518518515</v>
      </c>
      <c r="I2167">
        <v>15.25</v>
      </c>
      <c r="J2167">
        <v>15.25</v>
      </c>
      <c r="K2167" t="s">
        <v>58</v>
      </c>
      <c r="L2167" t="s">
        <v>13</v>
      </c>
      <c r="M2167" t="s">
        <v>26</v>
      </c>
      <c r="N2167" t="s">
        <v>27</v>
      </c>
    </row>
    <row r="2168" spans="1:14" x14ac:dyDescent="0.25">
      <c r="A2168">
        <v>17366</v>
      </c>
      <c r="B2168">
        <v>7639</v>
      </c>
      <c r="C2168">
        <f>1/COUNTIF(B:B,pizza_sales[[#This Row],[order_id]])</f>
        <v>1</v>
      </c>
      <c r="D2168" t="s">
        <v>48</v>
      </c>
      <c r="E2168">
        <v>1</v>
      </c>
      <c r="F2168" s="1">
        <v>42221</v>
      </c>
      <c r="G2168" s="1" t="str">
        <f>TEXT(pizza_sales[[#This Row],[order_date]],"dddd")</f>
        <v>Wednesday</v>
      </c>
      <c r="H2168" s="2">
        <v>0.85668981481481477</v>
      </c>
      <c r="I2168">
        <v>12.25</v>
      </c>
      <c r="J2168">
        <v>12.25</v>
      </c>
      <c r="K2168" t="s">
        <v>60</v>
      </c>
      <c r="L2168" t="s">
        <v>35</v>
      </c>
      <c r="M2168" t="s">
        <v>40</v>
      </c>
      <c r="N2168" t="s">
        <v>41</v>
      </c>
    </row>
    <row r="2169" spans="1:14" x14ac:dyDescent="0.25">
      <c r="A2169">
        <v>17367</v>
      </c>
      <c r="B2169">
        <v>7640</v>
      </c>
      <c r="C2169">
        <f>1/COUNTIF(B:B,pizza_sales[[#This Row],[order_id]])</f>
        <v>0.5</v>
      </c>
      <c r="D2169" t="s">
        <v>54</v>
      </c>
      <c r="E2169">
        <v>1</v>
      </c>
      <c r="F2169" s="1">
        <v>42221</v>
      </c>
      <c r="G2169" s="1" t="str">
        <f>TEXT(pizza_sales[[#This Row],[order_date]],"dddd")</f>
        <v>Wednesday</v>
      </c>
      <c r="H2169" s="2">
        <v>0.86607638888888894</v>
      </c>
      <c r="I2169">
        <v>12.25</v>
      </c>
      <c r="J2169">
        <v>12.25</v>
      </c>
      <c r="K2169" t="s">
        <v>60</v>
      </c>
      <c r="L2169" t="s">
        <v>35</v>
      </c>
      <c r="M2169" t="s">
        <v>36</v>
      </c>
      <c r="N2169" t="s">
        <v>37</v>
      </c>
    </row>
    <row r="2170" spans="1:14" x14ac:dyDescent="0.25">
      <c r="A2170">
        <v>17369</v>
      </c>
      <c r="B2170">
        <v>7640</v>
      </c>
      <c r="C2170">
        <f>1/COUNTIF(B:B,pizza_sales[[#This Row],[order_id]])</f>
        <v>0.5</v>
      </c>
      <c r="D2170" t="s">
        <v>55</v>
      </c>
      <c r="E2170">
        <v>1</v>
      </c>
      <c r="F2170" s="1">
        <v>42221</v>
      </c>
      <c r="G2170" s="1" t="str">
        <f>TEXT(pizza_sales[[#This Row],[order_date]],"dddd")</f>
        <v>Wednesday</v>
      </c>
      <c r="H2170" s="2">
        <v>0.86607638888888894</v>
      </c>
      <c r="I2170">
        <v>20.5</v>
      </c>
      <c r="J2170">
        <v>20.5</v>
      </c>
      <c r="K2170" t="s">
        <v>58</v>
      </c>
      <c r="L2170" t="s">
        <v>13</v>
      </c>
      <c r="M2170" t="s">
        <v>21</v>
      </c>
      <c r="N2170" t="s">
        <v>22</v>
      </c>
    </row>
    <row r="2171" spans="1:14" x14ac:dyDescent="0.25">
      <c r="A2171">
        <v>17372</v>
      </c>
      <c r="B2171">
        <v>7641</v>
      </c>
      <c r="C2171">
        <f>1/COUNTIF(B:B,pizza_sales[[#This Row],[order_id]])</f>
        <v>1</v>
      </c>
      <c r="D2171" t="s">
        <v>39</v>
      </c>
      <c r="E2171">
        <v>1</v>
      </c>
      <c r="F2171" s="1">
        <v>42221</v>
      </c>
      <c r="G2171" s="1" t="str">
        <f>TEXT(pizza_sales[[#This Row],[order_date]],"dddd")</f>
        <v>Wednesday</v>
      </c>
      <c r="H2171" s="2">
        <v>0.87806712962962963</v>
      </c>
      <c r="I2171">
        <v>20.25</v>
      </c>
      <c r="J2171">
        <v>20.25</v>
      </c>
      <c r="K2171" t="s">
        <v>58</v>
      </c>
      <c r="L2171" t="s">
        <v>35</v>
      </c>
      <c r="M2171" t="s">
        <v>40</v>
      </c>
      <c r="N2171" t="s">
        <v>41</v>
      </c>
    </row>
    <row r="2172" spans="1:14" x14ac:dyDescent="0.25">
      <c r="A2172">
        <v>17375</v>
      </c>
      <c r="B2172">
        <v>7642</v>
      </c>
      <c r="C2172">
        <f>1/COUNTIF(B:B,pizza_sales[[#This Row],[order_id]])</f>
        <v>1</v>
      </c>
      <c r="D2172" t="s">
        <v>25</v>
      </c>
      <c r="E2172">
        <v>1</v>
      </c>
      <c r="F2172" s="1">
        <v>42221</v>
      </c>
      <c r="G2172" s="1" t="str">
        <f>TEXT(pizza_sales[[#This Row],[order_date]],"dddd")</f>
        <v>Wednesday</v>
      </c>
      <c r="H2172" s="2">
        <v>0.89290509259259254</v>
      </c>
      <c r="I2172">
        <v>15.25</v>
      </c>
      <c r="J2172">
        <v>15.25</v>
      </c>
      <c r="K2172" t="s">
        <v>58</v>
      </c>
      <c r="L2172" t="s">
        <v>13</v>
      </c>
      <c r="M2172" t="s">
        <v>26</v>
      </c>
      <c r="N2172" t="s">
        <v>27</v>
      </c>
    </row>
    <row r="2173" spans="1:14" x14ac:dyDescent="0.25">
      <c r="A2173">
        <v>17379</v>
      </c>
      <c r="B2173">
        <v>7644</v>
      </c>
      <c r="C2173">
        <f>1/COUNTIF(B:B,pizza_sales[[#This Row],[order_id]])</f>
        <v>0.5</v>
      </c>
      <c r="D2173" t="s">
        <v>54</v>
      </c>
      <c r="E2173">
        <v>1</v>
      </c>
      <c r="F2173" s="1">
        <v>42221</v>
      </c>
      <c r="G2173" s="1" t="str">
        <f>TEXT(pizza_sales[[#This Row],[order_date]],"dddd")</f>
        <v>Wednesday</v>
      </c>
      <c r="H2173" s="2">
        <v>0.90422453703703709</v>
      </c>
      <c r="I2173">
        <v>12.25</v>
      </c>
      <c r="J2173">
        <v>12.25</v>
      </c>
      <c r="K2173" t="s">
        <v>60</v>
      </c>
      <c r="L2173" t="s">
        <v>35</v>
      </c>
      <c r="M2173" t="s">
        <v>36</v>
      </c>
      <c r="N2173" t="s">
        <v>37</v>
      </c>
    </row>
    <row r="2174" spans="1:14" x14ac:dyDescent="0.25">
      <c r="A2174">
        <v>17380</v>
      </c>
      <c r="B2174">
        <v>7644</v>
      </c>
      <c r="C2174">
        <f>1/COUNTIF(B:B,pizza_sales[[#This Row],[order_id]])</f>
        <v>0.5</v>
      </c>
      <c r="D2174" t="s">
        <v>24</v>
      </c>
      <c r="E2174">
        <v>1</v>
      </c>
      <c r="F2174" s="1">
        <v>42221</v>
      </c>
      <c r="G2174" s="1" t="str">
        <f>TEXT(pizza_sales[[#This Row],[order_date]],"dddd")</f>
        <v>Wednesday</v>
      </c>
      <c r="H2174" s="2">
        <v>0.90422453703703709</v>
      </c>
      <c r="I2174">
        <v>20.25</v>
      </c>
      <c r="J2174">
        <v>20.25</v>
      </c>
      <c r="K2174" t="s">
        <v>58</v>
      </c>
      <c r="L2174" t="s">
        <v>17</v>
      </c>
      <c r="M2174" t="s">
        <v>18</v>
      </c>
      <c r="N2174" t="s">
        <v>19</v>
      </c>
    </row>
    <row r="2175" spans="1:14" x14ac:dyDescent="0.25">
      <c r="A2175">
        <v>17382</v>
      </c>
      <c r="B2175">
        <v>7645</v>
      </c>
      <c r="C2175">
        <f>1/COUNTIF(B:B,pizza_sales[[#This Row],[order_id]])</f>
        <v>1</v>
      </c>
      <c r="D2175" t="s">
        <v>54</v>
      </c>
      <c r="E2175">
        <v>1</v>
      </c>
      <c r="F2175" s="1">
        <v>42221</v>
      </c>
      <c r="G2175" s="1" t="str">
        <f>TEXT(pizza_sales[[#This Row],[order_date]],"dddd")</f>
        <v>Wednesday</v>
      </c>
      <c r="H2175" s="2">
        <v>0.90431712962962962</v>
      </c>
      <c r="I2175">
        <v>12.25</v>
      </c>
      <c r="J2175">
        <v>12.25</v>
      </c>
      <c r="K2175" t="s">
        <v>60</v>
      </c>
      <c r="L2175" t="s">
        <v>35</v>
      </c>
      <c r="M2175" t="s">
        <v>36</v>
      </c>
      <c r="N2175" t="s">
        <v>37</v>
      </c>
    </row>
    <row r="2176" spans="1:14" x14ac:dyDescent="0.25">
      <c r="A2176">
        <v>17388</v>
      </c>
      <c r="B2176">
        <v>7646</v>
      </c>
      <c r="C2176">
        <f>1/COUNTIF(B:B,pizza_sales[[#This Row],[order_id]])</f>
        <v>1</v>
      </c>
      <c r="D2176" t="s">
        <v>24</v>
      </c>
      <c r="E2176">
        <v>1</v>
      </c>
      <c r="F2176" s="1">
        <v>42221</v>
      </c>
      <c r="G2176" s="1" t="str">
        <f>TEXT(pizza_sales[[#This Row],[order_date]],"dddd")</f>
        <v>Wednesday</v>
      </c>
      <c r="H2176" s="2">
        <v>0.90659722222222228</v>
      </c>
      <c r="I2176">
        <v>20.25</v>
      </c>
      <c r="J2176">
        <v>20.25</v>
      </c>
      <c r="K2176" t="s">
        <v>58</v>
      </c>
      <c r="L2176" t="s">
        <v>17</v>
      </c>
      <c r="M2176" t="s">
        <v>18</v>
      </c>
      <c r="N2176" t="s">
        <v>19</v>
      </c>
    </row>
    <row r="2177" spans="1:14" x14ac:dyDescent="0.25">
      <c r="A2177">
        <v>17391</v>
      </c>
      <c r="B2177">
        <v>7647</v>
      </c>
      <c r="C2177">
        <f>1/COUNTIF(B:B,pizza_sales[[#This Row],[order_id]])</f>
        <v>0.5</v>
      </c>
      <c r="D2177" t="s">
        <v>39</v>
      </c>
      <c r="E2177">
        <v>1</v>
      </c>
      <c r="F2177" s="1">
        <v>42221</v>
      </c>
      <c r="G2177" s="1" t="str">
        <f>TEXT(pizza_sales[[#This Row],[order_date]],"dddd")</f>
        <v>Wednesday</v>
      </c>
      <c r="H2177" s="2">
        <v>0.90920138888888891</v>
      </c>
      <c r="I2177">
        <v>20.25</v>
      </c>
      <c r="J2177">
        <v>20.25</v>
      </c>
      <c r="K2177" t="s">
        <v>58</v>
      </c>
      <c r="L2177" t="s">
        <v>35</v>
      </c>
      <c r="M2177" t="s">
        <v>40</v>
      </c>
      <c r="N2177" t="s">
        <v>41</v>
      </c>
    </row>
    <row r="2178" spans="1:14" x14ac:dyDescent="0.25">
      <c r="A2178">
        <v>17393</v>
      </c>
      <c r="B2178">
        <v>7647</v>
      </c>
      <c r="C2178">
        <f>1/COUNTIF(B:B,pizza_sales[[#This Row],[order_id]])</f>
        <v>0.5</v>
      </c>
      <c r="D2178" t="s">
        <v>46</v>
      </c>
      <c r="E2178">
        <v>1</v>
      </c>
      <c r="F2178" s="1">
        <v>42221</v>
      </c>
      <c r="G2178" s="1" t="str">
        <f>TEXT(pizza_sales[[#This Row],[order_date]],"dddd")</f>
        <v>Wednesday</v>
      </c>
      <c r="H2178" s="2">
        <v>0.90920138888888891</v>
      </c>
      <c r="I2178">
        <v>25.5</v>
      </c>
      <c r="J2178">
        <v>25.5</v>
      </c>
      <c r="K2178" t="s">
        <v>61</v>
      </c>
      <c r="L2178" t="s">
        <v>13</v>
      </c>
      <c r="M2178" t="s">
        <v>21</v>
      </c>
      <c r="N2178" t="s">
        <v>22</v>
      </c>
    </row>
    <row r="2179" spans="1:14" x14ac:dyDescent="0.25">
      <c r="A2179">
        <v>17394</v>
      </c>
      <c r="B2179">
        <v>7648</v>
      </c>
      <c r="C2179">
        <f>1/COUNTIF(B:B,pizza_sales[[#This Row],[order_id]])</f>
        <v>1</v>
      </c>
      <c r="D2179" t="s">
        <v>20</v>
      </c>
      <c r="E2179">
        <v>1</v>
      </c>
      <c r="F2179" s="1">
        <v>42221</v>
      </c>
      <c r="G2179" s="1" t="str">
        <f>TEXT(pizza_sales[[#This Row],[order_date]],"dddd")</f>
        <v>Wednesday</v>
      </c>
      <c r="H2179" s="2">
        <v>0.91490740740740739</v>
      </c>
      <c r="I2179">
        <v>12</v>
      </c>
      <c r="J2179">
        <v>12</v>
      </c>
      <c r="K2179" t="s">
        <v>60</v>
      </c>
      <c r="L2179" t="s">
        <v>13</v>
      </c>
      <c r="M2179" t="s">
        <v>21</v>
      </c>
      <c r="N2179" t="s">
        <v>22</v>
      </c>
    </row>
    <row r="2180" spans="1:14" x14ac:dyDescent="0.25">
      <c r="A2180">
        <v>17397</v>
      </c>
      <c r="B2180">
        <v>7649</v>
      </c>
      <c r="C2180">
        <f>1/COUNTIF(B:B,pizza_sales[[#This Row],[order_id]])</f>
        <v>0.5</v>
      </c>
      <c r="D2180" t="s">
        <v>24</v>
      </c>
      <c r="E2180">
        <v>1</v>
      </c>
      <c r="F2180" s="1">
        <v>42221</v>
      </c>
      <c r="G2180" s="1" t="str">
        <f>TEXT(pizza_sales[[#This Row],[order_date]],"dddd")</f>
        <v>Wednesday</v>
      </c>
      <c r="H2180" s="2">
        <v>0.91582175925925924</v>
      </c>
      <c r="I2180">
        <v>20.25</v>
      </c>
      <c r="J2180">
        <v>20.25</v>
      </c>
      <c r="K2180" t="s">
        <v>58</v>
      </c>
      <c r="L2180" t="s">
        <v>17</v>
      </c>
      <c r="M2180" t="s">
        <v>18</v>
      </c>
      <c r="N2180" t="s">
        <v>19</v>
      </c>
    </row>
    <row r="2181" spans="1:14" x14ac:dyDescent="0.25">
      <c r="A2181">
        <v>17398</v>
      </c>
      <c r="B2181">
        <v>7649</v>
      </c>
      <c r="C2181">
        <f>1/COUNTIF(B:B,pizza_sales[[#This Row],[order_id]])</f>
        <v>0.5</v>
      </c>
      <c r="D2181" t="s">
        <v>49</v>
      </c>
      <c r="E2181">
        <v>1</v>
      </c>
      <c r="F2181" s="1">
        <v>42221</v>
      </c>
      <c r="G2181" s="1" t="str">
        <f>TEXT(pizza_sales[[#This Row],[order_date]],"dddd")</f>
        <v>Wednesday</v>
      </c>
      <c r="H2181" s="2">
        <v>0.91582175925925924</v>
      </c>
      <c r="I2181">
        <v>16</v>
      </c>
      <c r="J2181">
        <v>16</v>
      </c>
      <c r="K2181" t="s">
        <v>59</v>
      </c>
      <c r="L2181" t="s">
        <v>13</v>
      </c>
      <c r="M2181" t="s">
        <v>21</v>
      </c>
      <c r="N2181" t="s">
        <v>22</v>
      </c>
    </row>
    <row r="2182" spans="1:14" x14ac:dyDescent="0.25">
      <c r="A2182">
        <v>17401</v>
      </c>
      <c r="B2182">
        <v>7651</v>
      </c>
      <c r="C2182">
        <f>1/COUNTIF(B:B,pizza_sales[[#This Row],[order_id]])</f>
        <v>0.5</v>
      </c>
      <c r="D2182" t="s">
        <v>28</v>
      </c>
      <c r="E2182">
        <v>1</v>
      </c>
      <c r="F2182" s="1">
        <v>42252</v>
      </c>
      <c r="G2182" s="1" t="str">
        <f>TEXT(pizza_sales[[#This Row],[order_date]],"dddd")</f>
        <v>Saturday</v>
      </c>
      <c r="H2182" s="2">
        <v>0.48528935185185185</v>
      </c>
      <c r="I2182">
        <v>12</v>
      </c>
      <c r="J2182">
        <v>12</v>
      </c>
      <c r="K2182" t="s">
        <v>60</v>
      </c>
      <c r="L2182" t="s">
        <v>13</v>
      </c>
      <c r="M2182" t="s">
        <v>29</v>
      </c>
      <c r="N2182" t="s">
        <v>30</v>
      </c>
    </row>
    <row r="2183" spans="1:14" x14ac:dyDescent="0.25">
      <c r="A2183">
        <v>17402</v>
      </c>
      <c r="B2183">
        <v>7651</v>
      </c>
      <c r="C2183">
        <f>1/COUNTIF(B:B,pizza_sales[[#This Row],[order_id]])</f>
        <v>0.5</v>
      </c>
      <c r="D2183" t="s">
        <v>43</v>
      </c>
      <c r="E2183">
        <v>1</v>
      </c>
      <c r="F2183" s="1">
        <v>42252</v>
      </c>
      <c r="G2183" s="1" t="str">
        <f>TEXT(pizza_sales[[#This Row],[order_date]],"dddd")</f>
        <v>Saturday</v>
      </c>
      <c r="H2183" s="2">
        <v>0.48528935185185185</v>
      </c>
      <c r="I2183">
        <v>16.25</v>
      </c>
      <c r="J2183">
        <v>16.25</v>
      </c>
      <c r="K2183" t="s">
        <v>59</v>
      </c>
      <c r="L2183" t="s">
        <v>35</v>
      </c>
      <c r="M2183" t="s">
        <v>40</v>
      </c>
      <c r="N2183" t="s">
        <v>41</v>
      </c>
    </row>
    <row r="2184" spans="1:14" x14ac:dyDescent="0.25">
      <c r="A2184">
        <v>17405</v>
      </c>
      <c r="B2184">
        <v>7652</v>
      </c>
      <c r="C2184">
        <f>1/COUNTIF(B:B,pizza_sales[[#This Row],[order_id]])</f>
        <v>1</v>
      </c>
      <c r="D2184" t="s">
        <v>24</v>
      </c>
      <c r="E2184">
        <v>1</v>
      </c>
      <c r="F2184" s="1">
        <v>42252</v>
      </c>
      <c r="G2184" s="1" t="str">
        <f>TEXT(pizza_sales[[#This Row],[order_date]],"dddd")</f>
        <v>Saturday</v>
      </c>
      <c r="H2184" s="2">
        <v>0.50613425925925926</v>
      </c>
      <c r="I2184">
        <v>20.25</v>
      </c>
      <c r="J2184">
        <v>20.25</v>
      </c>
      <c r="K2184" t="s">
        <v>58</v>
      </c>
      <c r="L2184" t="s">
        <v>17</v>
      </c>
      <c r="M2184" t="s">
        <v>18</v>
      </c>
      <c r="N2184" t="s">
        <v>19</v>
      </c>
    </row>
    <row r="2185" spans="1:14" x14ac:dyDescent="0.25">
      <c r="A2185">
        <v>17406</v>
      </c>
      <c r="B2185">
        <v>7653</v>
      </c>
      <c r="C2185">
        <f>1/COUNTIF(B:B,pizza_sales[[#This Row],[order_id]])</f>
        <v>0.5</v>
      </c>
      <c r="D2185" t="s">
        <v>56</v>
      </c>
      <c r="E2185">
        <v>1</v>
      </c>
      <c r="F2185" s="1">
        <v>42252</v>
      </c>
      <c r="G2185" s="1" t="str">
        <f>TEXT(pizza_sales[[#This Row],[order_date]],"dddd")</f>
        <v>Saturday</v>
      </c>
      <c r="H2185" s="2">
        <v>0.5072916666666667</v>
      </c>
      <c r="I2185">
        <v>20.25</v>
      </c>
      <c r="J2185">
        <v>20.25</v>
      </c>
      <c r="K2185" t="s">
        <v>58</v>
      </c>
      <c r="L2185" t="s">
        <v>35</v>
      </c>
      <c r="M2185" t="s">
        <v>36</v>
      </c>
      <c r="N2185" t="s">
        <v>37</v>
      </c>
    </row>
    <row r="2186" spans="1:14" x14ac:dyDescent="0.25">
      <c r="A2186">
        <v>17407</v>
      </c>
      <c r="B2186">
        <v>7653</v>
      </c>
      <c r="C2186">
        <f>1/COUNTIF(B:B,pizza_sales[[#This Row],[order_id]])</f>
        <v>0.5</v>
      </c>
      <c r="D2186" t="s">
        <v>46</v>
      </c>
      <c r="E2186">
        <v>1</v>
      </c>
      <c r="F2186" s="1">
        <v>42252</v>
      </c>
      <c r="G2186" s="1" t="str">
        <f>TEXT(pizza_sales[[#This Row],[order_date]],"dddd")</f>
        <v>Saturday</v>
      </c>
      <c r="H2186" s="2">
        <v>0.5072916666666667</v>
      </c>
      <c r="I2186">
        <v>25.5</v>
      </c>
      <c r="J2186">
        <v>25.5</v>
      </c>
      <c r="K2186" t="s">
        <v>61</v>
      </c>
      <c r="L2186" t="s">
        <v>13</v>
      </c>
      <c r="M2186" t="s">
        <v>21</v>
      </c>
      <c r="N2186" t="s">
        <v>22</v>
      </c>
    </row>
    <row r="2187" spans="1:14" x14ac:dyDescent="0.25">
      <c r="A2187">
        <v>17417</v>
      </c>
      <c r="B2187">
        <v>7656</v>
      </c>
      <c r="C2187">
        <f>1/COUNTIF(B:B,pizza_sales[[#This Row],[order_id]])</f>
        <v>0.25</v>
      </c>
      <c r="D2187" t="s">
        <v>45</v>
      </c>
      <c r="E2187">
        <v>1</v>
      </c>
      <c r="F2187" s="1">
        <v>42252</v>
      </c>
      <c r="G2187" s="1" t="str">
        <f>TEXT(pizza_sales[[#This Row],[order_date]],"dddd")</f>
        <v>Saturday</v>
      </c>
      <c r="H2187" s="2">
        <v>0.54920138888888892</v>
      </c>
      <c r="I2187">
        <v>10.5</v>
      </c>
      <c r="J2187">
        <v>10.5</v>
      </c>
      <c r="K2187" t="s">
        <v>60</v>
      </c>
      <c r="L2187" t="s">
        <v>13</v>
      </c>
      <c r="M2187" t="s">
        <v>14</v>
      </c>
      <c r="N2187" t="s">
        <v>15</v>
      </c>
    </row>
    <row r="2188" spans="1:14" x14ac:dyDescent="0.25">
      <c r="A2188">
        <v>17419</v>
      </c>
      <c r="B2188">
        <v>7656</v>
      </c>
      <c r="C2188">
        <f>1/COUNTIF(B:B,pizza_sales[[#This Row],[order_id]])</f>
        <v>0.25</v>
      </c>
      <c r="D2188" t="s">
        <v>25</v>
      </c>
      <c r="E2188">
        <v>2</v>
      </c>
      <c r="F2188" s="1">
        <v>42252</v>
      </c>
      <c r="G2188" s="1" t="str">
        <f>TEXT(pizza_sales[[#This Row],[order_date]],"dddd")</f>
        <v>Saturday</v>
      </c>
      <c r="H2188" s="2">
        <v>0.54920138888888892</v>
      </c>
      <c r="I2188">
        <v>15.25</v>
      </c>
      <c r="J2188">
        <v>30.5</v>
      </c>
      <c r="K2188" t="s">
        <v>58</v>
      </c>
      <c r="L2188" t="s">
        <v>13</v>
      </c>
      <c r="M2188" t="s">
        <v>26</v>
      </c>
      <c r="N2188" t="s">
        <v>27</v>
      </c>
    </row>
    <row r="2189" spans="1:14" x14ac:dyDescent="0.25">
      <c r="A2189">
        <v>17420</v>
      </c>
      <c r="B2189">
        <v>7656</v>
      </c>
      <c r="C2189">
        <f>1/COUNTIF(B:B,pizza_sales[[#This Row],[order_id]])</f>
        <v>0.25</v>
      </c>
      <c r="D2189" t="s">
        <v>43</v>
      </c>
      <c r="E2189">
        <v>1</v>
      </c>
      <c r="F2189" s="1">
        <v>42252</v>
      </c>
      <c r="G2189" s="1" t="str">
        <f>TEXT(pizza_sales[[#This Row],[order_date]],"dddd")</f>
        <v>Saturday</v>
      </c>
      <c r="H2189" s="2">
        <v>0.54920138888888892</v>
      </c>
      <c r="I2189">
        <v>16.25</v>
      </c>
      <c r="J2189">
        <v>16.25</v>
      </c>
      <c r="K2189" t="s">
        <v>59</v>
      </c>
      <c r="L2189" t="s">
        <v>35</v>
      </c>
      <c r="M2189" t="s">
        <v>40</v>
      </c>
      <c r="N2189" t="s">
        <v>41</v>
      </c>
    </row>
    <row r="2190" spans="1:14" x14ac:dyDescent="0.25">
      <c r="A2190">
        <v>17422</v>
      </c>
      <c r="B2190">
        <v>7656</v>
      </c>
      <c r="C2190">
        <f>1/COUNTIF(B:B,pizza_sales[[#This Row],[order_id]])</f>
        <v>0.25</v>
      </c>
      <c r="D2190" t="s">
        <v>46</v>
      </c>
      <c r="E2190">
        <v>1</v>
      </c>
      <c r="F2190" s="1">
        <v>42252</v>
      </c>
      <c r="G2190" s="1" t="str">
        <f>TEXT(pizza_sales[[#This Row],[order_date]],"dddd")</f>
        <v>Saturday</v>
      </c>
      <c r="H2190" s="2">
        <v>0.54920138888888892</v>
      </c>
      <c r="I2190">
        <v>25.5</v>
      </c>
      <c r="J2190">
        <v>25.5</v>
      </c>
      <c r="K2190" t="s">
        <v>61</v>
      </c>
      <c r="L2190" t="s">
        <v>13</v>
      </c>
      <c r="M2190" t="s">
        <v>21</v>
      </c>
      <c r="N2190" t="s">
        <v>22</v>
      </c>
    </row>
    <row r="2191" spans="1:14" x14ac:dyDescent="0.25">
      <c r="A2191">
        <v>17423</v>
      </c>
      <c r="B2191">
        <v>7657</v>
      </c>
      <c r="C2191">
        <f>1/COUNTIF(B:B,pizza_sales[[#This Row],[order_id]])</f>
        <v>1</v>
      </c>
      <c r="D2191" t="s">
        <v>25</v>
      </c>
      <c r="E2191">
        <v>1</v>
      </c>
      <c r="F2191" s="1">
        <v>42252</v>
      </c>
      <c r="G2191" s="1" t="str">
        <f>TEXT(pizza_sales[[#This Row],[order_date]],"dddd")</f>
        <v>Saturday</v>
      </c>
      <c r="H2191" s="2">
        <v>0.55087962962962966</v>
      </c>
      <c r="I2191">
        <v>15.25</v>
      </c>
      <c r="J2191">
        <v>15.25</v>
      </c>
      <c r="K2191" t="s">
        <v>58</v>
      </c>
      <c r="L2191" t="s">
        <v>13</v>
      </c>
      <c r="M2191" t="s">
        <v>26</v>
      </c>
      <c r="N2191" t="s">
        <v>27</v>
      </c>
    </row>
    <row r="2192" spans="1:14" x14ac:dyDescent="0.25">
      <c r="A2192">
        <v>17428</v>
      </c>
      <c r="B2192">
        <v>7658</v>
      </c>
      <c r="C2192">
        <f>1/COUNTIF(B:B,pizza_sales[[#This Row],[order_id]])</f>
        <v>0.33333333333333331</v>
      </c>
      <c r="D2192" t="s">
        <v>42</v>
      </c>
      <c r="E2192">
        <v>1</v>
      </c>
      <c r="F2192" s="1">
        <v>42252</v>
      </c>
      <c r="G2192" s="1" t="str">
        <f>TEXT(pizza_sales[[#This Row],[order_date]],"dddd")</f>
        <v>Saturday</v>
      </c>
      <c r="H2192" s="2">
        <v>0.55462962962962958</v>
      </c>
      <c r="I2192">
        <v>12.5</v>
      </c>
      <c r="J2192">
        <v>12.5</v>
      </c>
      <c r="K2192" t="s">
        <v>59</v>
      </c>
      <c r="L2192" t="s">
        <v>13</v>
      </c>
      <c r="M2192" t="s">
        <v>26</v>
      </c>
      <c r="N2192" t="s">
        <v>27</v>
      </c>
    </row>
    <row r="2193" spans="1:14" x14ac:dyDescent="0.25">
      <c r="A2193">
        <v>17430</v>
      </c>
      <c r="B2193">
        <v>7658</v>
      </c>
      <c r="C2193">
        <f>1/COUNTIF(B:B,pizza_sales[[#This Row],[order_id]])</f>
        <v>0.33333333333333331</v>
      </c>
      <c r="D2193" t="s">
        <v>39</v>
      </c>
      <c r="E2193">
        <v>1</v>
      </c>
      <c r="F2193" s="1">
        <v>42252</v>
      </c>
      <c r="G2193" s="1" t="str">
        <f>TEXT(pizza_sales[[#This Row],[order_date]],"dddd")</f>
        <v>Saturday</v>
      </c>
      <c r="H2193" s="2">
        <v>0.55462962962962958</v>
      </c>
      <c r="I2193">
        <v>20.25</v>
      </c>
      <c r="J2193">
        <v>20.25</v>
      </c>
      <c r="K2193" t="s">
        <v>58</v>
      </c>
      <c r="L2193" t="s">
        <v>35</v>
      </c>
      <c r="M2193" t="s">
        <v>40</v>
      </c>
      <c r="N2193" t="s">
        <v>41</v>
      </c>
    </row>
    <row r="2194" spans="1:14" x14ac:dyDescent="0.25">
      <c r="A2194">
        <v>17433</v>
      </c>
      <c r="B2194">
        <v>7658</v>
      </c>
      <c r="C2194">
        <f>1/COUNTIF(B:B,pizza_sales[[#This Row],[order_id]])</f>
        <v>0.33333333333333331</v>
      </c>
      <c r="D2194" t="s">
        <v>55</v>
      </c>
      <c r="E2194">
        <v>1</v>
      </c>
      <c r="F2194" s="1">
        <v>42252</v>
      </c>
      <c r="G2194" s="1" t="str">
        <f>TEXT(pizza_sales[[#This Row],[order_date]],"dddd")</f>
        <v>Saturday</v>
      </c>
      <c r="H2194" s="2">
        <v>0.55462962962962958</v>
      </c>
      <c r="I2194">
        <v>20.5</v>
      </c>
      <c r="J2194">
        <v>20.5</v>
      </c>
      <c r="K2194" t="s">
        <v>58</v>
      </c>
      <c r="L2194" t="s">
        <v>13</v>
      </c>
      <c r="M2194" t="s">
        <v>21</v>
      </c>
      <c r="N2194" t="s">
        <v>22</v>
      </c>
    </row>
    <row r="2195" spans="1:14" x14ac:dyDescent="0.25">
      <c r="A2195">
        <v>17449</v>
      </c>
      <c r="B2195">
        <v>7667</v>
      </c>
      <c r="C2195">
        <f>1/COUNTIF(B:B,pizza_sales[[#This Row],[order_id]])</f>
        <v>1</v>
      </c>
      <c r="D2195" t="s">
        <v>50</v>
      </c>
      <c r="E2195">
        <v>1</v>
      </c>
      <c r="F2195" s="1">
        <v>42252</v>
      </c>
      <c r="G2195" s="1" t="str">
        <f>TEXT(pizza_sales[[#This Row],[order_date]],"dddd")</f>
        <v>Saturday</v>
      </c>
      <c r="H2195" s="2">
        <v>0.65552083333333333</v>
      </c>
      <c r="I2195">
        <v>16</v>
      </c>
      <c r="J2195">
        <v>16</v>
      </c>
      <c r="K2195" t="s">
        <v>59</v>
      </c>
      <c r="L2195" t="s">
        <v>13</v>
      </c>
      <c r="M2195" t="s">
        <v>32</v>
      </c>
      <c r="N2195" t="s">
        <v>33</v>
      </c>
    </row>
    <row r="2196" spans="1:14" x14ac:dyDescent="0.25">
      <c r="A2196">
        <v>17452</v>
      </c>
      <c r="B2196">
        <v>7669</v>
      </c>
      <c r="C2196">
        <f>1/COUNTIF(B:B,pizza_sales[[#This Row],[order_id]])</f>
        <v>1</v>
      </c>
      <c r="D2196" t="s">
        <v>47</v>
      </c>
      <c r="E2196">
        <v>1</v>
      </c>
      <c r="F2196" s="1">
        <v>42252</v>
      </c>
      <c r="G2196" s="1" t="str">
        <f>TEXT(pizza_sales[[#This Row],[order_date]],"dddd")</f>
        <v>Saturday</v>
      </c>
      <c r="H2196" s="2">
        <v>0.66959490740740746</v>
      </c>
      <c r="I2196">
        <v>16.5</v>
      </c>
      <c r="J2196">
        <v>16.5</v>
      </c>
      <c r="K2196" t="s">
        <v>58</v>
      </c>
      <c r="L2196" t="s">
        <v>13</v>
      </c>
      <c r="M2196" t="s">
        <v>14</v>
      </c>
      <c r="N2196" t="s">
        <v>15</v>
      </c>
    </row>
    <row r="2197" spans="1:14" x14ac:dyDescent="0.25">
      <c r="A2197">
        <v>17456</v>
      </c>
      <c r="B2197">
        <v>7671</v>
      </c>
      <c r="C2197">
        <f>1/COUNTIF(B:B,pizza_sales[[#This Row],[order_id]])</f>
        <v>0.5</v>
      </c>
      <c r="D2197" t="s">
        <v>47</v>
      </c>
      <c r="E2197">
        <v>1</v>
      </c>
      <c r="F2197" s="1">
        <v>42252</v>
      </c>
      <c r="G2197" s="1" t="str">
        <f>TEXT(pizza_sales[[#This Row],[order_date]],"dddd")</f>
        <v>Saturday</v>
      </c>
      <c r="H2197" s="2">
        <v>0.67901620370370375</v>
      </c>
      <c r="I2197">
        <v>16.5</v>
      </c>
      <c r="J2197">
        <v>16.5</v>
      </c>
      <c r="K2197" t="s">
        <v>58</v>
      </c>
      <c r="L2197" t="s">
        <v>13</v>
      </c>
      <c r="M2197" t="s">
        <v>14</v>
      </c>
      <c r="N2197" t="s">
        <v>15</v>
      </c>
    </row>
    <row r="2198" spans="1:14" x14ac:dyDescent="0.25">
      <c r="A2198">
        <v>17457</v>
      </c>
      <c r="B2198">
        <v>7671</v>
      </c>
      <c r="C2198">
        <f>1/COUNTIF(B:B,pizza_sales[[#This Row],[order_id]])</f>
        <v>0.5</v>
      </c>
      <c r="D2198" t="s">
        <v>25</v>
      </c>
      <c r="E2198">
        <v>1</v>
      </c>
      <c r="F2198" s="1">
        <v>42252</v>
      </c>
      <c r="G2198" s="1" t="str">
        <f>TEXT(pizza_sales[[#This Row],[order_date]],"dddd")</f>
        <v>Saturday</v>
      </c>
      <c r="H2198" s="2">
        <v>0.67901620370370375</v>
      </c>
      <c r="I2198">
        <v>15.25</v>
      </c>
      <c r="J2198">
        <v>15.25</v>
      </c>
      <c r="K2198" t="s">
        <v>58</v>
      </c>
      <c r="L2198" t="s">
        <v>13</v>
      </c>
      <c r="M2198" t="s">
        <v>26</v>
      </c>
      <c r="N2198" t="s">
        <v>27</v>
      </c>
    </row>
    <row r="2199" spans="1:14" x14ac:dyDescent="0.25">
      <c r="A2199">
        <v>17461</v>
      </c>
      <c r="B2199">
        <v>7673</v>
      </c>
      <c r="C2199">
        <f>1/COUNTIF(B:B,pizza_sales[[#This Row],[order_id]])</f>
        <v>1</v>
      </c>
      <c r="D2199" t="s">
        <v>44</v>
      </c>
      <c r="E2199">
        <v>1</v>
      </c>
      <c r="F2199" s="1">
        <v>42252</v>
      </c>
      <c r="G2199" s="1" t="str">
        <f>TEXT(pizza_sales[[#This Row],[order_date]],"dddd")</f>
        <v>Saturday</v>
      </c>
      <c r="H2199" s="2">
        <v>0.7098726851851852</v>
      </c>
      <c r="I2199">
        <v>9.75</v>
      </c>
      <c r="J2199">
        <v>9.75</v>
      </c>
      <c r="K2199" t="s">
        <v>60</v>
      </c>
      <c r="L2199" t="s">
        <v>13</v>
      </c>
      <c r="M2199" t="s">
        <v>26</v>
      </c>
      <c r="N2199" t="s">
        <v>27</v>
      </c>
    </row>
    <row r="2200" spans="1:14" x14ac:dyDescent="0.25">
      <c r="A2200">
        <v>17467</v>
      </c>
      <c r="B2200">
        <v>7675</v>
      </c>
      <c r="C2200">
        <f>1/COUNTIF(B:B,pizza_sales[[#This Row],[order_id]])</f>
        <v>0.5</v>
      </c>
      <c r="D2200" t="s">
        <v>16</v>
      </c>
      <c r="E2200">
        <v>1</v>
      </c>
      <c r="F2200" s="1">
        <v>42252</v>
      </c>
      <c r="G2200" s="1" t="str">
        <f>TEXT(pizza_sales[[#This Row],[order_date]],"dddd")</f>
        <v>Saturday</v>
      </c>
      <c r="H2200" s="2">
        <v>0.72789351851851847</v>
      </c>
      <c r="I2200">
        <v>16</v>
      </c>
      <c r="J2200">
        <v>16</v>
      </c>
      <c r="K2200" t="s">
        <v>59</v>
      </c>
      <c r="L2200" t="s">
        <v>17</v>
      </c>
      <c r="M2200" t="s">
        <v>18</v>
      </c>
      <c r="N2200" t="s">
        <v>19</v>
      </c>
    </row>
    <row r="2201" spans="1:14" x14ac:dyDescent="0.25">
      <c r="A2201">
        <v>17470</v>
      </c>
      <c r="B2201">
        <v>7675</v>
      </c>
      <c r="C2201">
        <f>1/COUNTIF(B:B,pizza_sales[[#This Row],[order_id]])</f>
        <v>0.5</v>
      </c>
      <c r="D2201" t="s">
        <v>20</v>
      </c>
      <c r="E2201">
        <v>1</v>
      </c>
      <c r="F2201" s="1">
        <v>42252</v>
      </c>
      <c r="G2201" s="1" t="str">
        <f>TEXT(pizza_sales[[#This Row],[order_date]],"dddd")</f>
        <v>Saturday</v>
      </c>
      <c r="H2201" s="2">
        <v>0.72789351851851847</v>
      </c>
      <c r="I2201">
        <v>12</v>
      </c>
      <c r="J2201">
        <v>12</v>
      </c>
      <c r="K2201" t="s">
        <v>60</v>
      </c>
      <c r="L2201" t="s">
        <v>13</v>
      </c>
      <c r="M2201" t="s">
        <v>21</v>
      </c>
      <c r="N2201" t="s">
        <v>22</v>
      </c>
    </row>
    <row r="2202" spans="1:14" x14ac:dyDescent="0.25">
      <c r="A2202">
        <v>17471</v>
      </c>
      <c r="B2202">
        <v>7676</v>
      </c>
      <c r="C2202">
        <f>1/COUNTIF(B:B,pizza_sales[[#This Row],[order_id]])</f>
        <v>0.5</v>
      </c>
      <c r="D2202" t="s">
        <v>28</v>
      </c>
      <c r="E2202">
        <v>1</v>
      </c>
      <c r="F2202" s="1">
        <v>42252</v>
      </c>
      <c r="G2202" s="1" t="str">
        <f>TEXT(pizza_sales[[#This Row],[order_date]],"dddd")</f>
        <v>Saturday</v>
      </c>
      <c r="H2202" s="2">
        <v>0.72841435185185188</v>
      </c>
      <c r="I2202">
        <v>12</v>
      </c>
      <c r="J2202">
        <v>12</v>
      </c>
      <c r="K2202" t="s">
        <v>60</v>
      </c>
      <c r="L2202" t="s">
        <v>13</v>
      </c>
      <c r="M2202" t="s">
        <v>29</v>
      </c>
      <c r="N2202" t="s">
        <v>30</v>
      </c>
    </row>
    <row r="2203" spans="1:14" x14ac:dyDescent="0.25">
      <c r="A2203">
        <v>17472</v>
      </c>
      <c r="B2203">
        <v>7676</v>
      </c>
      <c r="C2203">
        <f>1/COUNTIF(B:B,pizza_sales[[#This Row],[order_id]])</f>
        <v>0.5</v>
      </c>
      <c r="D2203" t="s">
        <v>44</v>
      </c>
      <c r="E2203">
        <v>1</v>
      </c>
      <c r="F2203" s="1">
        <v>42252</v>
      </c>
      <c r="G2203" s="1" t="str">
        <f>TEXT(pizza_sales[[#This Row],[order_date]],"dddd")</f>
        <v>Saturday</v>
      </c>
      <c r="H2203" s="2">
        <v>0.72841435185185188</v>
      </c>
      <c r="I2203">
        <v>9.75</v>
      </c>
      <c r="J2203">
        <v>9.75</v>
      </c>
      <c r="K2203" t="s">
        <v>60</v>
      </c>
      <c r="L2203" t="s">
        <v>13</v>
      </c>
      <c r="M2203" t="s">
        <v>26</v>
      </c>
      <c r="N2203" t="s">
        <v>27</v>
      </c>
    </row>
    <row r="2204" spans="1:14" x14ac:dyDescent="0.25">
      <c r="A2204">
        <v>17478</v>
      </c>
      <c r="B2204">
        <v>7679</v>
      </c>
      <c r="C2204">
        <f>1/COUNTIF(B:B,pizza_sales[[#This Row],[order_id]])</f>
        <v>1</v>
      </c>
      <c r="D2204" t="s">
        <v>51</v>
      </c>
      <c r="E2204">
        <v>1</v>
      </c>
      <c r="F2204" s="1">
        <v>42252</v>
      </c>
      <c r="G2204" s="1" t="str">
        <f>TEXT(pizza_sales[[#This Row],[order_date]],"dddd")</f>
        <v>Saturday</v>
      </c>
      <c r="H2204" s="2">
        <v>0.73626157407407411</v>
      </c>
      <c r="I2204">
        <v>23.65</v>
      </c>
      <c r="J2204">
        <v>23.65</v>
      </c>
      <c r="K2204" t="s">
        <v>60</v>
      </c>
      <c r="L2204" t="s">
        <v>35</v>
      </c>
      <c r="M2204" t="s">
        <v>52</v>
      </c>
      <c r="N2204" t="s">
        <v>53</v>
      </c>
    </row>
    <row r="2205" spans="1:14" x14ac:dyDescent="0.25">
      <c r="A2205">
        <v>17483</v>
      </c>
      <c r="B2205">
        <v>7681</v>
      </c>
      <c r="C2205">
        <f>1/COUNTIF(B:B,pizza_sales[[#This Row],[order_id]])</f>
        <v>0.5</v>
      </c>
      <c r="D2205" t="s">
        <v>28</v>
      </c>
      <c r="E2205">
        <v>1</v>
      </c>
      <c r="F2205" s="1">
        <v>42252</v>
      </c>
      <c r="G2205" s="1" t="str">
        <f>TEXT(pizza_sales[[#This Row],[order_date]],"dddd")</f>
        <v>Saturday</v>
      </c>
      <c r="H2205" s="2">
        <v>0.73912037037037037</v>
      </c>
      <c r="I2205">
        <v>12</v>
      </c>
      <c r="J2205">
        <v>12</v>
      </c>
      <c r="K2205" t="s">
        <v>60</v>
      </c>
      <c r="L2205" t="s">
        <v>13</v>
      </c>
      <c r="M2205" t="s">
        <v>29</v>
      </c>
      <c r="N2205" t="s">
        <v>30</v>
      </c>
    </row>
    <row r="2206" spans="1:14" x14ac:dyDescent="0.25">
      <c r="A2206">
        <v>17484</v>
      </c>
      <c r="B2206">
        <v>7681</v>
      </c>
      <c r="C2206">
        <f>1/COUNTIF(B:B,pizza_sales[[#This Row],[order_id]])</f>
        <v>0.5</v>
      </c>
      <c r="D2206" t="s">
        <v>12</v>
      </c>
      <c r="E2206">
        <v>1</v>
      </c>
      <c r="F2206" s="1">
        <v>42252</v>
      </c>
      <c r="G2206" s="1" t="str">
        <f>TEXT(pizza_sales[[#This Row],[order_date]],"dddd")</f>
        <v>Saturday</v>
      </c>
      <c r="H2206" s="2">
        <v>0.73912037037037037</v>
      </c>
      <c r="I2206">
        <v>13.25</v>
      </c>
      <c r="J2206">
        <v>13.25</v>
      </c>
      <c r="K2206" t="s">
        <v>59</v>
      </c>
      <c r="L2206" t="s">
        <v>13</v>
      </c>
      <c r="M2206" t="s">
        <v>14</v>
      </c>
      <c r="N2206" t="s">
        <v>15</v>
      </c>
    </row>
    <row r="2207" spans="1:14" x14ac:dyDescent="0.25">
      <c r="A2207">
        <v>17488</v>
      </c>
      <c r="B2207">
        <v>7684</v>
      </c>
      <c r="C2207">
        <f>1/COUNTIF(B:B,pizza_sales[[#This Row],[order_id]])</f>
        <v>1</v>
      </c>
      <c r="D2207" t="s">
        <v>28</v>
      </c>
      <c r="E2207">
        <v>1</v>
      </c>
      <c r="F2207" s="1">
        <v>42252</v>
      </c>
      <c r="G2207" s="1" t="str">
        <f>TEXT(pizza_sales[[#This Row],[order_date]],"dddd")</f>
        <v>Saturday</v>
      </c>
      <c r="H2207" s="2">
        <v>0.7575115740740741</v>
      </c>
      <c r="I2207">
        <v>12</v>
      </c>
      <c r="J2207">
        <v>12</v>
      </c>
      <c r="K2207" t="s">
        <v>60</v>
      </c>
      <c r="L2207" t="s">
        <v>13</v>
      </c>
      <c r="M2207" t="s">
        <v>29</v>
      </c>
      <c r="N2207" t="s">
        <v>30</v>
      </c>
    </row>
    <row r="2208" spans="1:14" x14ac:dyDescent="0.25">
      <c r="A2208">
        <v>17493</v>
      </c>
      <c r="B2208">
        <v>7685</v>
      </c>
      <c r="C2208">
        <f>1/COUNTIF(B:B,pizza_sales[[#This Row],[order_id]])</f>
        <v>1</v>
      </c>
      <c r="D2208" t="s">
        <v>39</v>
      </c>
      <c r="E2208">
        <v>1</v>
      </c>
      <c r="F2208" s="1">
        <v>42252</v>
      </c>
      <c r="G2208" s="1" t="str">
        <f>TEXT(pizza_sales[[#This Row],[order_date]],"dddd")</f>
        <v>Saturday</v>
      </c>
      <c r="H2208" s="2">
        <v>0.76851851851851849</v>
      </c>
      <c r="I2208">
        <v>20.25</v>
      </c>
      <c r="J2208">
        <v>20.25</v>
      </c>
      <c r="K2208" t="s">
        <v>58</v>
      </c>
      <c r="L2208" t="s">
        <v>35</v>
      </c>
      <c r="M2208" t="s">
        <v>40</v>
      </c>
      <c r="N2208" t="s">
        <v>41</v>
      </c>
    </row>
    <row r="2209" spans="1:14" x14ac:dyDescent="0.25">
      <c r="A2209">
        <v>17495</v>
      </c>
      <c r="B2209">
        <v>7687</v>
      </c>
      <c r="C2209">
        <f>1/COUNTIF(B:B,pizza_sales[[#This Row],[order_id]])</f>
        <v>0.5</v>
      </c>
      <c r="D2209" t="s">
        <v>28</v>
      </c>
      <c r="E2209">
        <v>1</v>
      </c>
      <c r="F2209" s="1">
        <v>42252</v>
      </c>
      <c r="G2209" s="1" t="str">
        <f>TEXT(pizza_sales[[#This Row],[order_date]],"dddd")</f>
        <v>Saturday</v>
      </c>
      <c r="H2209" s="2">
        <v>0.7772337962962963</v>
      </c>
      <c r="I2209">
        <v>12</v>
      </c>
      <c r="J2209">
        <v>12</v>
      </c>
      <c r="K2209" t="s">
        <v>60</v>
      </c>
      <c r="L2209" t="s">
        <v>13</v>
      </c>
      <c r="M2209" t="s">
        <v>29</v>
      </c>
      <c r="N2209" t="s">
        <v>30</v>
      </c>
    </row>
    <row r="2210" spans="1:14" x14ac:dyDescent="0.25">
      <c r="A2210">
        <v>17498</v>
      </c>
      <c r="B2210">
        <v>7687</v>
      </c>
      <c r="C2210">
        <f>1/COUNTIF(B:B,pizza_sales[[#This Row],[order_id]])</f>
        <v>0.5</v>
      </c>
      <c r="D2210" t="s">
        <v>47</v>
      </c>
      <c r="E2210">
        <v>1</v>
      </c>
      <c r="F2210" s="1">
        <v>42252</v>
      </c>
      <c r="G2210" s="1" t="str">
        <f>TEXT(pizza_sales[[#This Row],[order_date]],"dddd")</f>
        <v>Saturday</v>
      </c>
      <c r="H2210" s="2">
        <v>0.7772337962962963</v>
      </c>
      <c r="I2210">
        <v>16.5</v>
      </c>
      <c r="J2210">
        <v>16.5</v>
      </c>
      <c r="K2210" t="s">
        <v>58</v>
      </c>
      <c r="L2210" t="s">
        <v>13</v>
      </c>
      <c r="M2210" t="s">
        <v>14</v>
      </c>
      <c r="N2210" t="s">
        <v>15</v>
      </c>
    </row>
    <row r="2211" spans="1:14" x14ac:dyDescent="0.25">
      <c r="A2211">
        <v>17503</v>
      </c>
      <c r="B2211">
        <v>7690</v>
      </c>
      <c r="C2211">
        <f>1/COUNTIF(B:B,pizza_sales[[#This Row],[order_id]])</f>
        <v>1</v>
      </c>
      <c r="D2211" t="s">
        <v>46</v>
      </c>
      <c r="E2211">
        <v>1</v>
      </c>
      <c r="F2211" s="1">
        <v>42252</v>
      </c>
      <c r="G2211" s="1" t="str">
        <f>TEXT(pizza_sales[[#This Row],[order_date]],"dddd")</f>
        <v>Saturday</v>
      </c>
      <c r="H2211" s="2">
        <v>0.81495370370370368</v>
      </c>
      <c r="I2211">
        <v>25.5</v>
      </c>
      <c r="J2211">
        <v>25.5</v>
      </c>
      <c r="K2211" t="s">
        <v>61</v>
      </c>
      <c r="L2211" t="s">
        <v>13</v>
      </c>
      <c r="M2211" t="s">
        <v>21</v>
      </c>
      <c r="N2211" t="s">
        <v>22</v>
      </c>
    </row>
    <row r="2212" spans="1:14" x14ac:dyDescent="0.25">
      <c r="A2212">
        <v>17505</v>
      </c>
      <c r="B2212">
        <v>7691</v>
      </c>
      <c r="C2212">
        <f>1/COUNTIF(B:B,pizza_sales[[#This Row],[order_id]])</f>
        <v>0.5</v>
      </c>
      <c r="D2212" t="s">
        <v>25</v>
      </c>
      <c r="E2212">
        <v>1</v>
      </c>
      <c r="F2212" s="1">
        <v>42252</v>
      </c>
      <c r="G2212" s="1" t="str">
        <f>TEXT(pizza_sales[[#This Row],[order_date]],"dddd")</f>
        <v>Saturday</v>
      </c>
      <c r="H2212" s="2">
        <v>0.82133101851851853</v>
      </c>
      <c r="I2212">
        <v>15.25</v>
      </c>
      <c r="J2212">
        <v>15.25</v>
      </c>
      <c r="K2212" t="s">
        <v>58</v>
      </c>
      <c r="L2212" t="s">
        <v>13</v>
      </c>
      <c r="M2212" t="s">
        <v>26</v>
      </c>
      <c r="N2212" t="s">
        <v>27</v>
      </c>
    </row>
    <row r="2213" spans="1:14" x14ac:dyDescent="0.25">
      <c r="A2213">
        <v>17506</v>
      </c>
      <c r="B2213">
        <v>7691</v>
      </c>
      <c r="C2213">
        <f>1/COUNTIF(B:B,pizza_sales[[#This Row],[order_id]])</f>
        <v>0.5</v>
      </c>
      <c r="D2213" t="s">
        <v>48</v>
      </c>
      <c r="E2213">
        <v>1</v>
      </c>
      <c r="F2213" s="1">
        <v>42252</v>
      </c>
      <c r="G2213" s="1" t="str">
        <f>TEXT(pizza_sales[[#This Row],[order_date]],"dddd")</f>
        <v>Saturday</v>
      </c>
      <c r="H2213" s="2">
        <v>0.82133101851851853</v>
      </c>
      <c r="I2213">
        <v>12.25</v>
      </c>
      <c r="J2213">
        <v>12.25</v>
      </c>
      <c r="K2213" t="s">
        <v>60</v>
      </c>
      <c r="L2213" t="s">
        <v>35</v>
      </c>
      <c r="M2213" t="s">
        <v>40</v>
      </c>
      <c r="N2213" t="s">
        <v>41</v>
      </c>
    </row>
    <row r="2214" spans="1:14" x14ac:dyDescent="0.25">
      <c r="A2214">
        <v>17510</v>
      </c>
      <c r="B2214">
        <v>7693</v>
      </c>
      <c r="C2214">
        <f>1/COUNTIF(B:B,pizza_sales[[#This Row],[order_id]])</f>
        <v>1</v>
      </c>
      <c r="D2214" t="s">
        <v>42</v>
      </c>
      <c r="E2214">
        <v>1</v>
      </c>
      <c r="F2214" s="1">
        <v>42252</v>
      </c>
      <c r="G2214" s="1" t="str">
        <f>TEXT(pizza_sales[[#This Row],[order_date]],"dddd")</f>
        <v>Saturday</v>
      </c>
      <c r="H2214" s="2">
        <v>0.82938657407407412</v>
      </c>
      <c r="I2214">
        <v>12.5</v>
      </c>
      <c r="J2214">
        <v>12.5</v>
      </c>
      <c r="K2214" t="s">
        <v>59</v>
      </c>
      <c r="L2214" t="s">
        <v>13</v>
      </c>
      <c r="M2214" t="s">
        <v>26</v>
      </c>
      <c r="N2214" t="s">
        <v>27</v>
      </c>
    </row>
    <row r="2215" spans="1:14" x14ac:dyDescent="0.25">
      <c r="A2215">
        <v>17512</v>
      </c>
      <c r="B2215">
        <v>7694</v>
      </c>
      <c r="C2215">
        <f>1/COUNTIF(B:B,pizza_sales[[#This Row],[order_id]])</f>
        <v>1</v>
      </c>
      <c r="D2215" t="s">
        <v>39</v>
      </c>
      <c r="E2215">
        <v>1</v>
      </c>
      <c r="F2215" s="1">
        <v>42252</v>
      </c>
      <c r="G2215" s="1" t="str">
        <f>TEXT(pizza_sales[[#This Row],[order_date]],"dddd")</f>
        <v>Saturday</v>
      </c>
      <c r="H2215" s="2">
        <v>0.84424768518518523</v>
      </c>
      <c r="I2215">
        <v>20.25</v>
      </c>
      <c r="J2215">
        <v>20.25</v>
      </c>
      <c r="K2215" t="s">
        <v>58</v>
      </c>
      <c r="L2215" t="s">
        <v>35</v>
      </c>
      <c r="M2215" t="s">
        <v>40</v>
      </c>
      <c r="N2215" t="s">
        <v>41</v>
      </c>
    </row>
    <row r="2216" spans="1:14" x14ac:dyDescent="0.25">
      <c r="A2216">
        <v>17516</v>
      </c>
      <c r="B2216">
        <v>7695</v>
      </c>
      <c r="C2216">
        <f>1/COUNTIF(B:B,pizza_sales[[#This Row],[order_id]])</f>
        <v>1</v>
      </c>
      <c r="D2216" t="s">
        <v>28</v>
      </c>
      <c r="E2216">
        <v>1</v>
      </c>
      <c r="F2216" s="1">
        <v>42252</v>
      </c>
      <c r="G2216" s="1" t="str">
        <f>TEXT(pizza_sales[[#This Row],[order_date]],"dddd")</f>
        <v>Saturday</v>
      </c>
      <c r="H2216" s="2">
        <v>0.8550578703703704</v>
      </c>
      <c r="I2216">
        <v>12</v>
      </c>
      <c r="J2216">
        <v>12</v>
      </c>
      <c r="K2216" t="s">
        <v>60</v>
      </c>
      <c r="L2216" t="s">
        <v>13</v>
      </c>
      <c r="M2216" t="s">
        <v>29</v>
      </c>
      <c r="N2216" t="s">
        <v>30</v>
      </c>
    </row>
    <row r="2217" spans="1:14" x14ac:dyDescent="0.25">
      <c r="A2217">
        <v>17520</v>
      </c>
      <c r="B2217">
        <v>7696</v>
      </c>
      <c r="C2217">
        <f>1/COUNTIF(B:B,pizza_sales[[#This Row],[order_id]])</f>
        <v>1</v>
      </c>
      <c r="D2217" t="s">
        <v>44</v>
      </c>
      <c r="E2217">
        <v>1</v>
      </c>
      <c r="F2217" s="1">
        <v>42252</v>
      </c>
      <c r="G2217" s="1" t="str">
        <f>TEXT(pizza_sales[[#This Row],[order_date]],"dddd")</f>
        <v>Saturday</v>
      </c>
      <c r="H2217" s="2">
        <v>0.85765046296296299</v>
      </c>
      <c r="I2217">
        <v>9.75</v>
      </c>
      <c r="J2217">
        <v>9.75</v>
      </c>
      <c r="K2217" t="s">
        <v>60</v>
      </c>
      <c r="L2217" t="s">
        <v>13</v>
      </c>
      <c r="M2217" t="s">
        <v>26</v>
      </c>
      <c r="N2217" t="s">
        <v>27</v>
      </c>
    </row>
    <row r="2218" spans="1:14" x14ac:dyDescent="0.25">
      <c r="A2218">
        <v>17521</v>
      </c>
      <c r="B2218">
        <v>7697</v>
      </c>
      <c r="C2218">
        <f>1/COUNTIF(B:B,pizza_sales[[#This Row],[order_id]])</f>
        <v>1</v>
      </c>
      <c r="D2218" t="s">
        <v>38</v>
      </c>
      <c r="E2218">
        <v>1</v>
      </c>
      <c r="F2218" s="1">
        <v>42252</v>
      </c>
      <c r="G2218" s="1" t="str">
        <f>TEXT(pizza_sales[[#This Row],[order_date]],"dddd")</f>
        <v>Saturday</v>
      </c>
      <c r="H2218" s="2">
        <v>0.86295138888888889</v>
      </c>
      <c r="I2218">
        <v>20.5</v>
      </c>
      <c r="J2218">
        <v>20.5</v>
      </c>
      <c r="K2218" t="s">
        <v>58</v>
      </c>
      <c r="L2218" t="s">
        <v>13</v>
      </c>
      <c r="M2218" t="s">
        <v>32</v>
      </c>
      <c r="N2218" t="s">
        <v>33</v>
      </c>
    </row>
    <row r="2219" spans="1:14" x14ac:dyDescent="0.25">
      <c r="A2219">
        <v>17522</v>
      </c>
      <c r="B2219">
        <v>7698</v>
      </c>
      <c r="C2219">
        <f>1/COUNTIF(B:B,pizza_sales[[#This Row],[order_id]])</f>
        <v>0.5</v>
      </c>
      <c r="D2219" t="s">
        <v>42</v>
      </c>
      <c r="E2219">
        <v>1</v>
      </c>
      <c r="F2219" s="1">
        <v>42252</v>
      </c>
      <c r="G2219" s="1" t="str">
        <f>TEXT(pizza_sales[[#This Row],[order_date]],"dddd")</f>
        <v>Saturday</v>
      </c>
      <c r="H2219" s="2">
        <v>0.86315972222222226</v>
      </c>
      <c r="I2219">
        <v>12.5</v>
      </c>
      <c r="J2219">
        <v>12.5</v>
      </c>
      <c r="K2219" t="s">
        <v>59</v>
      </c>
      <c r="L2219" t="s">
        <v>13</v>
      </c>
      <c r="M2219" t="s">
        <v>26</v>
      </c>
      <c r="N2219" t="s">
        <v>27</v>
      </c>
    </row>
    <row r="2220" spans="1:14" x14ac:dyDescent="0.25">
      <c r="A2220">
        <v>17523</v>
      </c>
      <c r="B2220">
        <v>7698</v>
      </c>
      <c r="C2220">
        <f>1/COUNTIF(B:B,pizza_sales[[#This Row],[order_id]])</f>
        <v>0.5</v>
      </c>
      <c r="D2220" t="s">
        <v>49</v>
      </c>
      <c r="E2220">
        <v>1</v>
      </c>
      <c r="F2220" s="1">
        <v>42252</v>
      </c>
      <c r="G2220" s="1" t="str">
        <f>TEXT(pizza_sales[[#This Row],[order_date]],"dddd")</f>
        <v>Saturday</v>
      </c>
      <c r="H2220" s="2">
        <v>0.86315972222222226</v>
      </c>
      <c r="I2220">
        <v>16</v>
      </c>
      <c r="J2220">
        <v>16</v>
      </c>
      <c r="K2220" t="s">
        <v>59</v>
      </c>
      <c r="L2220" t="s">
        <v>13</v>
      </c>
      <c r="M2220" t="s">
        <v>21</v>
      </c>
      <c r="N2220" t="s">
        <v>22</v>
      </c>
    </row>
    <row r="2221" spans="1:14" x14ac:dyDescent="0.25">
      <c r="A2221">
        <v>17526</v>
      </c>
      <c r="B2221">
        <v>7699</v>
      </c>
      <c r="C2221">
        <f>1/COUNTIF(B:B,pizza_sales[[#This Row],[order_id]])</f>
        <v>1</v>
      </c>
      <c r="D2221" t="s">
        <v>12</v>
      </c>
      <c r="E2221">
        <v>1</v>
      </c>
      <c r="F2221" s="1">
        <v>42252</v>
      </c>
      <c r="G2221" s="1" t="str">
        <f>TEXT(pizza_sales[[#This Row],[order_date]],"dddd")</f>
        <v>Saturday</v>
      </c>
      <c r="H2221" s="2">
        <v>0.86535879629629631</v>
      </c>
      <c r="I2221">
        <v>13.25</v>
      </c>
      <c r="J2221">
        <v>13.25</v>
      </c>
      <c r="K2221" t="s">
        <v>59</v>
      </c>
      <c r="L2221" t="s">
        <v>13</v>
      </c>
      <c r="M2221" t="s">
        <v>14</v>
      </c>
      <c r="N2221" t="s">
        <v>15</v>
      </c>
    </row>
    <row r="2222" spans="1:14" x14ac:dyDescent="0.25">
      <c r="A2222">
        <v>17529</v>
      </c>
      <c r="B2222">
        <v>7700</v>
      </c>
      <c r="C2222">
        <f>1/COUNTIF(B:B,pizza_sales[[#This Row],[order_id]])</f>
        <v>1</v>
      </c>
      <c r="D2222" t="s">
        <v>25</v>
      </c>
      <c r="E2222">
        <v>1</v>
      </c>
      <c r="F2222" s="1">
        <v>42252</v>
      </c>
      <c r="G2222" s="1" t="str">
        <f>TEXT(pizza_sales[[#This Row],[order_date]],"dddd")</f>
        <v>Saturday</v>
      </c>
      <c r="H2222" s="2">
        <v>0.8693981481481482</v>
      </c>
      <c r="I2222">
        <v>15.25</v>
      </c>
      <c r="J2222">
        <v>15.25</v>
      </c>
      <c r="K2222" t="s">
        <v>58</v>
      </c>
      <c r="L2222" t="s">
        <v>13</v>
      </c>
      <c r="M2222" t="s">
        <v>26</v>
      </c>
      <c r="N2222" t="s">
        <v>27</v>
      </c>
    </row>
    <row r="2223" spans="1:14" x14ac:dyDescent="0.25">
      <c r="A2223">
        <v>17531</v>
      </c>
      <c r="B2223">
        <v>7701</v>
      </c>
      <c r="C2223">
        <f>1/COUNTIF(B:B,pizza_sales[[#This Row],[order_id]])</f>
        <v>1</v>
      </c>
      <c r="D2223" t="s">
        <v>46</v>
      </c>
      <c r="E2223">
        <v>1</v>
      </c>
      <c r="F2223" s="1">
        <v>42252</v>
      </c>
      <c r="G2223" s="1" t="str">
        <f>TEXT(pizza_sales[[#This Row],[order_date]],"dddd")</f>
        <v>Saturday</v>
      </c>
      <c r="H2223" s="2">
        <v>0.8812268518518519</v>
      </c>
      <c r="I2223">
        <v>25.5</v>
      </c>
      <c r="J2223">
        <v>25.5</v>
      </c>
      <c r="K2223" t="s">
        <v>61</v>
      </c>
      <c r="L2223" t="s">
        <v>13</v>
      </c>
      <c r="M2223" t="s">
        <v>21</v>
      </c>
      <c r="N2223" t="s">
        <v>22</v>
      </c>
    </row>
    <row r="2224" spans="1:14" x14ac:dyDescent="0.25">
      <c r="A2224">
        <v>17538</v>
      </c>
      <c r="B2224">
        <v>7705</v>
      </c>
      <c r="C2224">
        <f>1/COUNTIF(B:B,pizza_sales[[#This Row],[order_id]])</f>
        <v>1</v>
      </c>
      <c r="D2224" t="s">
        <v>46</v>
      </c>
      <c r="E2224">
        <v>1</v>
      </c>
      <c r="F2224" s="1">
        <v>42252</v>
      </c>
      <c r="G2224" s="1" t="str">
        <f>TEXT(pizza_sales[[#This Row],[order_date]],"dddd")</f>
        <v>Saturday</v>
      </c>
      <c r="H2224" s="2">
        <v>0.92978009259259264</v>
      </c>
      <c r="I2224">
        <v>25.5</v>
      </c>
      <c r="J2224">
        <v>25.5</v>
      </c>
      <c r="K2224" t="s">
        <v>61</v>
      </c>
      <c r="L2224" t="s">
        <v>13</v>
      </c>
      <c r="M2224" t="s">
        <v>21</v>
      </c>
      <c r="N2224" t="s">
        <v>22</v>
      </c>
    </row>
    <row r="2225" spans="1:14" x14ac:dyDescent="0.25">
      <c r="A2225">
        <v>17541</v>
      </c>
      <c r="B2225">
        <v>7706</v>
      </c>
      <c r="C2225">
        <f>1/COUNTIF(B:B,pizza_sales[[#This Row],[order_id]])</f>
        <v>1</v>
      </c>
      <c r="D2225" t="s">
        <v>39</v>
      </c>
      <c r="E2225">
        <v>1</v>
      </c>
      <c r="F2225" s="1">
        <v>42282</v>
      </c>
      <c r="G2225" s="1" t="str">
        <f>TEXT(pizza_sales[[#This Row],[order_date]],"dddd")</f>
        <v>Monday</v>
      </c>
      <c r="H2225" s="2">
        <v>0.49663194444444442</v>
      </c>
      <c r="I2225">
        <v>20.25</v>
      </c>
      <c r="J2225">
        <v>20.25</v>
      </c>
      <c r="K2225" t="s">
        <v>58</v>
      </c>
      <c r="L2225" t="s">
        <v>35</v>
      </c>
      <c r="M2225" t="s">
        <v>40</v>
      </c>
      <c r="N2225" t="s">
        <v>41</v>
      </c>
    </row>
    <row r="2226" spans="1:14" x14ac:dyDescent="0.25">
      <c r="A2226">
        <v>17542</v>
      </c>
      <c r="B2226">
        <v>7707</v>
      </c>
      <c r="C2226">
        <f>1/COUNTIF(B:B,pizza_sales[[#This Row],[order_id]])</f>
        <v>1</v>
      </c>
      <c r="D2226" t="s">
        <v>34</v>
      </c>
      <c r="E2226">
        <v>1</v>
      </c>
      <c r="F2226" s="1">
        <v>42282</v>
      </c>
      <c r="G2226" s="1" t="str">
        <f>TEXT(pizza_sales[[#This Row],[order_date]],"dddd")</f>
        <v>Monday</v>
      </c>
      <c r="H2226" s="2">
        <v>0.50329861111111107</v>
      </c>
      <c r="I2226">
        <v>16.25</v>
      </c>
      <c r="J2226">
        <v>16.25</v>
      </c>
      <c r="K2226" t="s">
        <v>59</v>
      </c>
      <c r="L2226" t="s">
        <v>35</v>
      </c>
      <c r="M2226" t="s">
        <v>36</v>
      </c>
      <c r="N2226" t="s">
        <v>37</v>
      </c>
    </row>
    <row r="2227" spans="1:14" x14ac:dyDescent="0.25">
      <c r="A2227">
        <v>17554</v>
      </c>
      <c r="B2227">
        <v>7712</v>
      </c>
      <c r="C2227">
        <f>1/COUNTIF(B:B,pizza_sales[[#This Row],[order_id]])</f>
        <v>0.25</v>
      </c>
      <c r="D2227" t="s">
        <v>47</v>
      </c>
      <c r="E2227">
        <v>1</v>
      </c>
      <c r="F2227" s="1">
        <v>42282</v>
      </c>
      <c r="G2227" s="1" t="str">
        <f>TEXT(pizza_sales[[#This Row],[order_date]],"dddd")</f>
        <v>Monday</v>
      </c>
      <c r="H2227" s="2">
        <v>0.53377314814814814</v>
      </c>
      <c r="I2227">
        <v>16.5</v>
      </c>
      <c r="J2227">
        <v>16.5</v>
      </c>
      <c r="K2227" t="s">
        <v>58</v>
      </c>
      <c r="L2227" t="s">
        <v>13</v>
      </c>
      <c r="M2227" t="s">
        <v>14</v>
      </c>
      <c r="N2227" t="s">
        <v>15</v>
      </c>
    </row>
    <row r="2228" spans="1:14" x14ac:dyDescent="0.25">
      <c r="A2228">
        <v>17555</v>
      </c>
      <c r="B2228">
        <v>7712</v>
      </c>
      <c r="C2228">
        <f>1/COUNTIF(B:B,pizza_sales[[#This Row],[order_id]])</f>
        <v>0.25</v>
      </c>
      <c r="D2228" t="s">
        <v>24</v>
      </c>
      <c r="E2228">
        <v>1</v>
      </c>
      <c r="F2228" s="1">
        <v>42282</v>
      </c>
      <c r="G2228" s="1" t="str">
        <f>TEXT(pizza_sales[[#This Row],[order_date]],"dddd")</f>
        <v>Monday</v>
      </c>
      <c r="H2228" s="2">
        <v>0.53377314814814814</v>
      </c>
      <c r="I2228">
        <v>20.25</v>
      </c>
      <c r="J2228">
        <v>20.25</v>
      </c>
      <c r="K2228" t="s">
        <v>58</v>
      </c>
      <c r="L2228" t="s">
        <v>17</v>
      </c>
      <c r="M2228" t="s">
        <v>18</v>
      </c>
      <c r="N2228" t="s">
        <v>19</v>
      </c>
    </row>
    <row r="2229" spans="1:14" x14ac:dyDescent="0.25">
      <c r="A2229">
        <v>17556</v>
      </c>
      <c r="B2229">
        <v>7712</v>
      </c>
      <c r="C2229">
        <f>1/COUNTIF(B:B,pizza_sales[[#This Row],[order_id]])</f>
        <v>0.25</v>
      </c>
      <c r="D2229" t="s">
        <v>42</v>
      </c>
      <c r="E2229">
        <v>1</v>
      </c>
      <c r="F2229" s="1">
        <v>42282</v>
      </c>
      <c r="G2229" s="1" t="str">
        <f>TEXT(pizza_sales[[#This Row],[order_date]],"dddd")</f>
        <v>Monday</v>
      </c>
      <c r="H2229" s="2">
        <v>0.53377314814814814</v>
      </c>
      <c r="I2229">
        <v>12.5</v>
      </c>
      <c r="J2229">
        <v>12.5</v>
      </c>
      <c r="K2229" t="s">
        <v>59</v>
      </c>
      <c r="L2229" t="s">
        <v>13</v>
      </c>
      <c r="M2229" t="s">
        <v>26</v>
      </c>
      <c r="N2229" t="s">
        <v>27</v>
      </c>
    </row>
    <row r="2230" spans="1:14" x14ac:dyDescent="0.25">
      <c r="A2230">
        <v>17560</v>
      </c>
      <c r="B2230">
        <v>7712</v>
      </c>
      <c r="C2230">
        <f>1/COUNTIF(B:B,pizza_sales[[#This Row],[order_id]])</f>
        <v>0.25</v>
      </c>
      <c r="D2230" t="s">
        <v>20</v>
      </c>
      <c r="E2230">
        <v>1</v>
      </c>
      <c r="F2230" s="1">
        <v>42282</v>
      </c>
      <c r="G2230" s="1" t="str">
        <f>TEXT(pizza_sales[[#This Row],[order_date]],"dddd")</f>
        <v>Monday</v>
      </c>
      <c r="H2230" s="2">
        <v>0.53377314814814814</v>
      </c>
      <c r="I2230">
        <v>12</v>
      </c>
      <c r="J2230">
        <v>12</v>
      </c>
      <c r="K2230" t="s">
        <v>60</v>
      </c>
      <c r="L2230" t="s">
        <v>13</v>
      </c>
      <c r="M2230" t="s">
        <v>21</v>
      </c>
      <c r="N2230" t="s">
        <v>22</v>
      </c>
    </row>
    <row r="2231" spans="1:14" x14ac:dyDescent="0.25">
      <c r="A2231">
        <v>17561</v>
      </c>
      <c r="B2231">
        <v>7713</v>
      </c>
      <c r="C2231">
        <f>1/COUNTIF(B:B,pizza_sales[[#This Row],[order_id]])</f>
        <v>0.33333333333333331</v>
      </c>
      <c r="D2231" t="s">
        <v>28</v>
      </c>
      <c r="E2231">
        <v>1</v>
      </c>
      <c r="F2231" s="1">
        <v>42282</v>
      </c>
      <c r="G2231" s="1" t="str">
        <f>TEXT(pizza_sales[[#This Row],[order_date]],"dddd")</f>
        <v>Monday</v>
      </c>
      <c r="H2231" s="2">
        <v>0.53452546296296299</v>
      </c>
      <c r="I2231">
        <v>12</v>
      </c>
      <c r="J2231">
        <v>12</v>
      </c>
      <c r="K2231" t="s">
        <v>60</v>
      </c>
      <c r="L2231" t="s">
        <v>13</v>
      </c>
      <c r="M2231" t="s">
        <v>29</v>
      </c>
      <c r="N2231" t="s">
        <v>30</v>
      </c>
    </row>
    <row r="2232" spans="1:14" x14ac:dyDescent="0.25">
      <c r="A2232">
        <v>17562</v>
      </c>
      <c r="B2232">
        <v>7713</v>
      </c>
      <c r="C2232">
        <f>1/COUNTIF(B:B,pizza_sales[[#This Row],[order_id]])</f>
        <v>0.33333333333333331</v>
      </c>
      <c r="D2232" t="s">
        <v>56</v>
      </c>
      <c r="E2232">
        <v>1</v>
      </c>
      <c r="F2232" s="1">
        <v>42282</v>
      </c>
      <c r="G2232" s="1" t="str">
        <f>TEXT(pizza_sales[[#This Row],[order_date]],"dddd")</f>
        <v>Monday</v>
      </c>
      <c r="H2232" s="2">
        <v>0.53452546296296299</v>
      </c>
      <c r="I2232">
        <v>20.25</v>
      </c>
      <c r="J2232">
        <v>20.25</v>
      </c>
      <c r="K2232" t="s">
        <v>58</v>
      </c>
      <c r="L2232" t="s">
        <v>35</v>
      </c>
      <c r="M2232" t="s">
        <v>36</v>
      </c>
      <c r="N2232" t="s">
        <v>37</v>
      </c>
    </row>
    <row r="2233" spans="1:14" x14ac:dyDescent="0.25">
      <c r="A2233">
        <v>17566</v>
      </c>
      <c r="B2233">
        <v>7713</v>
      </c>
      <c r="C2233">
        <f>1/COUNTIF(B:B,pizza_sales[[#This Row],[order_id]])</f>
        <v>0.33333333333333331</v>
      </c>
      <c r="D2233" t="s">
        <v>31</v>
      </c>
      <c r="E2233">
        <v>1</v>
      </c>
      <c r="F2233" s="1">
        <v>42282</v>
      </c>
      <c r="G2233" s="1" t="str">
        <f>TEXT(pizza_sales[[#This Row],[order_date]],"dddd")</f>
        <v>Monday</v>
      </c>
      <c r="H2233" s="2">
        <v>0.53452546296296299</v>
      </c>
      <c r="I2233">
        <v>12</v>
      </c>
      <c r="J2233">
        <v>12</v>
      </c>
      <c r="K2233" t="s">
        <v>60</v>
      </c>
      <c r="L2233" t="s">
        <v>13</v>
      </c>
      <c r="M2233" t="s">
        <v>32</v>
      </c>
      <c r="N2233" t="s">
        <v>33</v>
      </c>
    </row>
    <row r="2234" spans="1:14" x14ac:dyDescent="0.25">
      <c r="A2234">
        <v>17571</v>
      </c>
      <c r="B2234">
        <v>7714</v>
      </c>
      <c r="C2234">
        <f>1/COUNTIF(B:B,pizza_sales[[#This Row],[order_id]])</f>
        <v>1</v>
      </c>
      <c r="D2234" t="s">
        <v>28</v>
      </c>
      <c r="E2234">
        <v>1</v>
      </c>
      <c r="F2234" s="1">
        <v>42282</v>
      </c>
      <c r="G2234" s="1" t="str">
        <f>TEXT(pizza_sales[[#This Row],[order_date]],"dddd")</f>
        <v>Monday</v>
      </c>
      <c r="H2234" s="2">
        <v>0.54137731481481477</v>
      </c>
      <c r="I2234">
        <v>12</v>
      </c>
      <c r="J2234">
        <v>12</v>
      </c>
      <c r="K2234" t="s">
        <v>60</v>
      </c>
      <c r="L2234" t="s">
        <v>13</v>
      </c>
      <c r="M2234" t="s">
        <v>29</v>
      </c>
      <c r="N2234" t="s">
        <v>30</v>
      </c>
    </row>
    <row r="2235" spans="1:14" x14ac:dyDescent="0.25">
      <c r="A2235">
        <v>17572</v>
      </c>
      <c r="B2235">
        <v>7715</v>
      </c>
      <c r="C2235">
        <f>1/COUNTIF(B:B,pizza_sales[[#This Row],[order_id]])</f>
        <v>1</v>
      </c>
      <c r="D2235" t="s">
        <v>42</v>
      </c>
      <c r="E2235">
        <v>1</v>
      </c>
      <c r="F2235" s="1">
        <v>42282</v>
      </c>
      <c r="G2235" s="1" t="str">
        <f>TEXT(pizza_sales[[#This Row],[order_date]],"dddd")</f>
        <v>Monday</v>
      </c>
      <c r="H2235" s="2">
        <v>0.5502893518518519</v>
      </c>
      <c r="I2235">
        <v>12.5</v>
      </c>
      <c r="J2235">
        <v>12.5</v>
      </c>
      <c r="K2235" t="s">
        <v>59</v>
      </c>
      <c r="L2235" t="s">
        <v>13</v>
      </c>
      <c r="M2235" t="s">
        <v>26</v>
      </c>
      <c r="N2235" t="s">
        <v>27</v>
      </c>
    </row>
    <row r="2236" spans="1:14" x14ac:dyDescent="0.25">
      <c r="A2236">
        <v>17573</v>
      </c>
      <c r="B2236">
        <v>7716</v>
      </c>
      <c r="C2236">
        <f>1/COUNTIF(B:B,pizza_sales[[#This Row],[order_id]])</f>
        <v>0.5</v>
      </c>
      <c r="D2236" t="s">
        <v>34</v>
      </c>
      <c r="E2236">
        <v>1</v>
      </c>
      <c r="F2236" s="1">
        <v>42282</v>
      </c>
      <c r="G2236" s="1" t="str">
        <f>TEXT(pizza_sales[[#This Row],[order_date]],"dddd")</f>
        <v>Monday</v>
      </c>
      <c r="H2236" s="2">
        <v>0.58980324074074075</v>
      </c>
      <c r="I2236">
        <v>16.25</v>
      </c>
      <c r="J2236">
        <v>16.25</v>
      </c>
      <c r="K2236" t="s">
        <v>59</v>
      </c>
      <c r="L2236" t="s">
        <v>35</v>
      </c>
      <c r="M2236" t="s">
        <v>36</v>
      </c>
      <c r="N2236" t="s">
        <v>37</v>
      </c>
    </row>
    <row r="2237" spans="1:14" x14ac:dyDescent="0.25">
      <c r="A2237">
        <v>17574</v>
      </c>
      <c r="B2237">
        <v>7716</v>
      </c>
      <c r="C2237">
        <f>1/COUNTIF(B:B,pizza_sales[[#This Row],[order_id]])</f>
        <v>0.5</v>
      </c>
      <c r="D2237" t="s">
        <v>24</v>
      </c>
      <c r="E2237">
        <v>1</v>
      </c>
      <c r="F2237" s="1">
        <v>42282</v>
      </c>
      <c r="G2237" s="1" t="str">
        <f>TEXT(pizza_sales[[#This Row],[order_date]],"dddd")</f>
        <v>Monday</v>
      </c>
      <c r="H2237" s="2">
        <v>0.58980324074074075</v>
      </c>
      <c r="I2237">
        <v>20.25</v>
      </c>
      <c r="J2237">
        <v>20.25</v>
      </c>
      <c r="K2237" t="s">
        <v>58</v>
      </c>
      <c r="L2237" t="s">
        <v>17</v>
      </c>
      <c r="M2237" t="s">
        <v>18</v>
      </c>
      <c r="N2237" t="s">
        <v>19</v>
      </c>
    </row>
    <row r="2238" spans="1:14" x14ac:dyDescent="0.25">
      <c r="A2238">
        <v>17575</v>
      </c>
      <c r="B2238">
        <v>7717</v>
      </c>
      <c r="C2238">
        <f>1/COUNTIF(B:B,pizza_sales[[#This Row],[order_id]])</f>
        <v>0.5</v>
      </c>
      <c r="D2238" t="s">
        <v>47</v>
      </c>
      <c r="E2238">
        <v>1</v>
      </c>
      <c r="F2238" s="1">
        <v>42282</v>
      </c>
      <c r="G2238" s="1" t="str">
        <f>TEXT(pizza_sales[[#This Row],[order_date]],"dddd")</f>
        <v>Monday</v>
      </c>
      <c r="H2238" s="2">
        <v>0.60478009259259258</v>
      </c>
      <c r="I2238">
        <v>16.5</v>
      </c>
      <c r="J2238">
        <v>16.5</v>
      </c>
      <c r="K2238" t="s">
        <v>58</v>
      </c>
      <c r="L2238" t="s">
        <v>13</v>
      </c>
      <c r="M2238" t="s">
        <v>14</v>
      </c>
      <c r="N2238" t="s">
        <v>15</v>
      </c>
    </row>
    <row r="2239" spans="1:14" x14ac:dyDescent="0.25">
      <c r="A2239">
        <v>17577</v>
      </c>
      <c r="B2239">
        <v>7717</v>
      </c>
      <c r="C2239">
        <f>1/COUNTIF(B:B,pizza_sales[[#This Row],[order_id]])</f>
        <v>0.5</v>
      </c>
      <c r="D2239" t="s">
        <v>39</v>
      </c>
      <c r="E2239">
        <v>1</v>
      </c>
      <c r="F2239" s="1">
        <v>42282</v>
      </c>
      <c r="G2239" s="1" t="str">
        <f>TEXT(pizza_sales[[#This Row],[order_date]],"dddd")</f>
        <v>Monday</v>
      </c>
      <c r="H2239" s="2">
        <v>0.60478009259259258</v>
      </c>
      <c r="I2239">
        <v>20.25</v>
      </c>
      <c r="J2239">
        <v>20.25</v>
      </c>
      <c r="K2239" t="s">
        <v>58</v>
      </c>
      <c r="L2239" t="s">
        <v>35</v>
      </c>
      <c r="M2239" t="s">
        <v>40</v>
      </c>
      <c r="N2239" t="s">
        <v>41</v>
      </c>
    </row>
    <row r="2240" spans="1:14" x14ac:dyDescent="0.25">
      <c r="A2240">
        <v>17583</v>
      </c>
      <c r="B2240">
        <v>7720</v>
      </c>
      <c r="C2240">
        <f>1/COUNTIF(B:B,pizza_sales[[#This Row],[order_id]])</f>
        <v>1</v>
      </c>
      <c r="D2240" t="s">
        <v>43</v>
      </c>
      <c r="E2240">
        <v>1</v>
      </c>
      <c r="F2240" s="1">
        <v>42282</v>
      </c>
      <c r="G2240" s="1" t="str">
        <f>TEXT(pizza_sales[[#This Row],[order_date]],"dddd")</f>
        <v>Monday</v>
      </c>
      <c r="H2240" s="2">
        <v>0.64101851851851854</v>
      </c>
      <c r="I2240">
        <v>16.25</v>
      </c>
      <c r="J2240">
        <v>16.25</v>
      </c>
      <c r="K2240" t="s">
        <v>59</v>
      </c>
      <c r="L2240" t="s">
        <v>35</v>
      </c>
      <c r="M2240" t="s">
        <v>40</v>
      </c>
      <c r="N2240" t="s">
        <v>41</v>
      </c>
    </row>
    <row r="2241" spans="1:14" x14ac:dyDescent="0.25">
      <c r="A2241">
        <v>17584</v>
      </c>
      <c r="B2241">
        <v>7721</v>
      </c>
      <c r="C2241">
        <f>1/COUNTIF(B:B,pizza_sales[[#This Row],[order_id]])</f>
        <v>0.33333333333333331</v>
      </c>
      <c r="D2241" t="s">
        <v>51</v>
      </c>
      <c r="E2241">
        <v>1</v>
      </c>
      <c r="F2241" s="1">
        <v>42282</v>
      </c>
      <c r="G2241" s="1" t="str">
        <f>TEXT(pizza_sales[[#This Row],[order_date]],"dddd")</f>
        <v>Monday</v>
      </c>
      <c r="H2241" s="2">
        <v>0.64437500000000003</v>
      </c>
      <c r="I2241">
        <v>23.65</v>
      </c>
      <c r="J2241">
        <v>23.65</v>
      </c>
      <c r="K2241" t="s">
        <v>60</v>
      </c>
      <c r="L2241" t="s">
        <v>35</v>
      </c>
      <c r="M2241" t="s">
        <v>52</v>
      </c>
      <c r="N2241" t="s">
        <v>53</v>
      </c>
    </row>
    <row r="2242" spans="1:14" x14ac:dyDescent="0.25">
      <c r="A2242">
        <v>17585</v>
      </c>
      <c r="B2242">
        <v>7721</v>
      </c>
      <c r="C2242">
        <f>1/COUNTIF(B:B,pizza_sales[[#This Row],[order_id]])</f>
        <v>0.33333333333333331</v>
      </c>
      <c r="D2242" t="s">
        <v>56</v>
      </c>
      <c r="E2242">
        <v>1</v>
      </c>
      <c r="F2242" s="1">
        <v>42282</v>
      </c>
      <c r="G2242" s="1" t="str">
        <f>TEXT(pizza_sales[[#This Row],[order_date]],"dddd")</f>
        <v>Monday</v>
      </c>
      <c r="H2242" s="2">
        <v>0.64437500000000003</v>
      </c>
      <c r="I2242">
        <v>20.25</v>
      </c>
      <c r="J2242">
        <v>20.25</v>
      </c>
      <c r="K2242" t="s">
        <v>58</v>
      </c>
      <c r="L2242" t="s">
        <v>35</v>
      </c>
      <c r="M2242" t="s">
        <v>36</v>
      </c>
      <c r="N2242" t="s">
        <v>37</v>
      </c>
    </row>
    <row r="2243" spans="1:14" x14ac:dyDescent="0.25">
      <c r="A2243">
        <v>17587</v>
      </c>
      <c r="B2243">
        <v>7721</v>
      </c>
      <c r="C2243">
        <f>1/COUNTIF(B:B,pizza_sales[[#This Row],[order_id]])</f>
        <v>0.33333333333333331</v>
      </c>
      <c r="D2243" t="s">
        <v>48</v>
      </c>
      <c r="E2243">
        <v>1</v>
      </c>
      <c r="F2243" s="1">
        <v>42282</v>
      </c>
      <c r="G2243" s="1" t="str">
        <f>TEXT(pizza_sales[[#This Row],[order_date]],"dddd")</f>
        <v>Monday</v>
      </c>
      <c r="H2243" s="2">
        <v>0.64437500000000003</v>
      </c>
      <c r="I2243">
        <v>12.25</v>
      </c>
      <c r="J2243">
        <v>12.25</v>
      </c>
      <c r="K2243" t="s">
        <v>60</v>
      </c>
      <c r="L2243" t="s">
        <v>35</v>
      </c>
      <c r="M2243" t="s">
        <v>40</v>
      </c>
      <c r="N2243" t="s">
        <v>41</v>
      </c>
    </row>
    <row r="2244" spans="1:14" x14ac:dyDescent="0.25">
      <c r="A2244">
        <v>17588</v>
      </c>
      <c r="B2244">
        <v>7722</v>
      </c>
      <c r="C2244">
        <f>1/COUNTIF(B:B,pizza_sales[[#This Row],[order_id]])</f>
        <v>0.33333333333333331</v>
      </c>
      <c r="D2244" t="s">
        <v>28</v>
      </c>
      <c r="E2244">
        <v>1</v>
      </c>
      <c r="F2244" s="1">
        <v>42282</v>
      </c>
      <c r="G2244" s="1" t="str">
        <f>TEXT(pizza_sales[[#This Row],[order_date]],"dddd")</f>
        <v>Monday</v>
      </c>
      <c r="H2244" s="2">
        <v>0.6448842592592593</v>
      </c>
      <c r="I2244">
        <v>12</v>
      </c>
      <c r="J2244">
        <v>12</v>
      </c>
      <c r="K2244" t="s">
        <v>60</v>
      </c>
      <c r="L2244" t="s">
        <v>13</v>
      </c>
      <c r="M2244" t="s">
        <v>29</v>
      </c>
      <c r="N2244" t="s">
        <v>30</v>
      </c>
    </row>
    <row r="2245" spans="1:14" x14ac:dyDescent="0.25">
      <c r="A2245">
        <v>17590</v>
      </c>
      <c r="B2245">
        <v>7722</v>
      </c>
      <c r="C2245">
        <f>1/COUNTIF(B:B,pizza_sales[[#This Row],[order_id]])</f>
        <v>0.33333333333333331</v>
      </c>
      <c r="D2245" t="s">
        <v>12</v>
      </c>
      <c r="E2245">
        <v>1</v>
      </c>
      <c r="F2245" s="1">
        <v>42282</v>
      </c>
      <c r="G2245" s="1" t="str">
        <f>TEXT(pizza_sales[[#This Row],[order_date]],"dddd")</f>
        <v>Monday</v>
      </c>
      <c r="H2245" s="2">
        <v>0.6448842592592593</v>
      </c>
      <c r="I2245">
        <v>13.25</v>
      </c>
      <c r="J2245">
        <v>13.25</v>
      </c>
      <c r="K2245" t="s">
        <v>59</v>
      </c>
      <c r="L2245" t="s">
        <v>13</v>
      </c>
      <c r="M2245" t="s">
        <v>14</v>
      </c>
      <c r="N2245" t="s">
        <v>15</v>
      </c>
    </row>
    <row r="2246" spans="1:14" x14ac:dyDescent="0.25">
      <c r="A2246">
        <v>17591</v>
      </c>
      <c r="B2246">
        <v>7722</v>
      </c>
      <c r="C2246">
        <f>1/COUNTIF(B:B,pizza_sales[[#This Row],[order_id]])</f>
        <v>0.33333333333333331</v>
      </c>
      <c r="D2246" t="s">
        <v>42</v>
      </c>
      <c r="E2246">
        <v>1</v>
      </c>
      <c r="F2246" s="1">
        <v>42282</v>
      </c>
      <c r="G2246" s="1" t="str">
        <f>TEXT(pizza_sales[[#This Row],[order_date]],"dddd")</f>
        <v>Monday</v>
      </c>
      <c r="H2246" s="2">
        <v>0.6448842592592593</v>
      </c>
      <c r="I2246">
        <v>12.5</v>
      </c>
      <c r="J2246">
        <v>12.5</v>
      </c>
      <c r="K2246" t="s">
        <v>59</v>
      </c>
      <c r="L2246" t="s">
        <v>13</v>
      </c>
      <c r="M2246" t="s">
        <v>26</v>
      </c>
      <c r="N2246" t="s">
        <v>27</v>
      </c>
    </row>
    <row r="2247" spans="1:14" x14ac:dyDescent="0.25">
      <c r="A2247">
        <v>17595</v>
      </c>
      <c r="B2247">
        <v>7725</v>
      </c>
      <c r="C2247">
        <f>1/COUNTIF(B:B,pizza_sales[[#This Row],[order_id]])</f>
        <v>0.5</v>
      </c>
      <c r="D2247" t="s">
        <v>28</v>
      </c>
      <c r="E2247">
        <v>1</v>
      </c>
      <c r="F2247" s="1">
        <v>42282</v>
      </c>
      <c r="G2247" s="1" t="str">
        <f>TEXT(pizza_sales[[#This Row],[order_date]],"dddd")</f>
        <v>Monday</v>
      </c>
      <c r="H2247" s="2">
        <v>0.6568518518518518</v>
      </c>
      <c r="I2247">
        <v>12</v>
      </c>
      <c r="J2247">
        <v>12</v>
      </c>
      <c r="K2247" t="s">
        <v>60</v>
      </c>
      <c r="L2247" t="s">
        <v>13</v>
      </c>
      <c r="M2247" t="s">
        <v>29</v>
      </c>
      <c r="N2247" t="s">
        <v>30</v>
      </c>
    </row>
    <row r="2248" spans="1:14" x14ac:dyDescent="0.25">
      <c r="A2248">
        <v>17596</v>
      </c>
      <c r="B2248">
        <v>7725</v>
      </c>
      <c r="C2248">
        <f>1/COUNTIF(B:B,pizza_sales[[#This Row],[order_id]])</f>
        <v>0.5</v>
      </c>
      <c r="D2248" t="s">
        <v>44</v>
      </c>
      <c r="E2248">
        <v>1</v>
      </c>
      <c r="F2248" s="1">
        <v>42282</v>
      </c>
      <c r="G2248" s="1" t="str">
        <f>TEXT(pizza_sales[[#This Row],[order_date]],"dddd")</f>
        <v>Monday</v>
      </c>
      <c r="H2248" s="2">
        <v>0.6568518518518518</v>
      </c>
      <c r="I2248">
        <v>9.75</v>
      </c>
      <c r="J2248">
        <v>9.75</v>
      </c>
      <c r="K2248" t="s">
        <v>60</v>
      </c>
      <c r="L2248" t="s">
        <v>13</v>
      </c>
      <c r="M2248" t="s">
        <v>26</v>
      </c>
      <c r="N2248" t="s">
        <v>27</v>
      </c>
    </row>
    <row r="2249" spans="1:14" x14ac:dyDescent="0.25">
      <c r="A2249">
        <v>17600</v>
      </c>
      <c r="B2249">
        <v>7726</v>
      </c>
      <c r="C2249">
        <f>1/COUNTIF(B:B,pizza_sales[[#This Row],[order_id]])</f>
        <v>0.5</v>
      </c>
      <c r="D2249" t="s">
        <v>47</v>
      </c>
      <c r="E2249">
        <v>1</v>
      </c>
      <c r="F2249" s="1">
        <v>42282</v>
      </c>
      <c r="G2249" s="1" t="str">
        <f>TEXT(pizza_sales[[#This Row],[order_date]],"dddd")</f>
        <v>Monday</v>
      </c>
      <c r="H2249" s="2">
        <v>0.66013888888888894</v>
      </c>
      <c r="I2249">
        <v>16.5</v>
      </c>
      <c r="J2249">
        <v>16.5</v>
      </c>
      <c r="K2249" t="s">
        <v>58</v>
      </c>
      <c r="L2249" t="s">
        <v>13</v>
      </c>
      <c r="M2249" t="s">
        <v>14</v>
      </c>
      <c r="N2249" t="s">
        <v>15</v>
      </c>
    </row>
    <row r="2250" spans="1:14" x14ac:dyDescent="0.25">
      <c r="A2250">
        <v>17601</v>
      </c>
      <c r="B2250">
        <v>7726</v>
      </c>
      <c r="C2250">
        <f>1/COUNTIF(B:B,pizza_sales[[#This Row],[order_id]])</f>
        <v>0.5</v>
      </c>
      <c r="D2250" t="s">
        <v>44</v>
      </c>
      <c r="E2250">
        <v>1</v>
      </c>
      <c r="F2250" s="1">
        <v>42282</v>
      </c>
      <c r="G2250" s="1" t="str">
        <f>TEXT(pizza_sales[[#This Row],[order_date]],"dddd")</f>
        <v>Monday</v>
      </c>
      <c r="H2250" s="2">
        <v>0.66013888888888894</v>
      </c>
      <c r="I2250">
        <v>9.75</v>
      </c>
      <c r="J2250">
        <v>9.75</v>
      </c>
      <c r="K2250" t="s">
        <v>60</v>
      </c>
      <c r="L2250" t="s">
        <v>13</v>
      </c>
      <c r="M2250" t="s">
        <v>26</v>
      </c>
      <c r="N2250" t="s">
        <v>27</v>
      </c>
    </row>
    <row r="2251" spans="1:14" x14ac:dyDescent="0.25">
      <c r="A2251">
        <v>17608</v>
      </c>
      <c r="B2251">
        <v>7729</v>
      </c>
      <c r="C2251">
        <f>1/COUNTIF(B:B,pizza_sales[[#This Row],[order_id]])</f>
        <v>1</v>
      </c>
      <c r="D2251" t="s">
        <v>49</v>
      </c>
      <c r="E2251">
        <v>1</v>
      </c>
      <c r="F2251" s="1">
        <v>42282</v>
      </c>
      <c r="G2251" s="1" t="str">
        <f>TEXT(pizza_sales[[#This Row],[order_date]],"dddd")</f>
        <v>Monday</v>
      </c>
      <c r="H2251" s="2">
        <v>0.69342592592592589</v>
      </c>
      <c r="I2251">
        <v>16</v>
      </c>
      <c r="J2251">
        <v>16</v>
      </c>
      <c r="K2251" t="s">
        <v>59</v>
      </c>
      <c r="L2251" t="s">
        <v>13</v>
      </c>
      <c r="M2251" t="s">
        <v>21</v>
      </c>
      <c r="N2251" t="s">
        <v>22</v>
      </c>
    </row>
    <row r="2252" spans="1:14" x14ac:dyDescent="0.25">
      <c r="A2252">
        <v>17611</v>
      </c>
      <c r="B2252">
        <v>7731</v>
      </c>
      <c r="C2252">
        <f>1/COUNTIF(B:B,pizza_sales[[#This Row],[order_id]])</f>
        <v>1</v>
      </c>
      <c r="D2252" t="s">
        <v>34</v>
      </c>
      <c r="E2252">
        <v>1</v>
      </c>
      <c r="F2252" s="1">
        <v>42282</v>
      </c>
      <c r="G2252" s="1" t="str">
        <f>TEXT(pizza_sales[[#This Row],[order_date]],"dddd")</f>
        <v>Monday</v>
      </c>
      <c r="H2252" s="2">
        <v>0.70248842592592597</v>
      </c>
      <c r="I2252">
        <v>16.25</v>
      </c>
      <c r="J2252">
        <v>16.25</v>
      </c>
      <c r="K2252" t="s">
        <v>59</v>
      </c>
      <c r="L2252" t="s">
        <v>35</v>
      </c>
      <c r="M2252" t="s">
        <v>36</v>
      </c>
      <c r="N2252" t="s">
        <v>37</v>
      </c>
    </row>
    <row r="2253" spans="1:14" x14ac:dyDescent="0.25">
      <c r="A2253">
        <v>17614</v>
      </c>
      <c r="B2253">
        <v>7732</v>
      </c>
      <c r="C2253">
        <f>1/COUNTIF(B:B,pizza_sales[[#This Row],[order_id]])</f>
        <v>1</v>
      </c>
      <c r="D2253" t="s">
        <v>12</v>
      </c>
      <c r="E2253">
        <v>1</v>
      </c>
      <c r="F2253" s="1">
        <v>42282</v>
      </c>
      <c r="G2253" s="1" t="str">
        <f>TEXT(pizza_sales[[#This Row],[order_date]],"dddd")</f>
        <v>Monday</v>
      </c>
      <c r="H2253" s="2">
        <v>0.71635416666666663</v>
      </c>
      <c r="I2253">
        <v>13.25</v>
      </c>
      <c r="J2253">
        <v>13.25</v>
      </c>
      <c r="K2253" t="s">
        <v>59</v>
      </c>
      <c r="L2253" t="s">
        <v>13</v>
      </c>
      <c r="M2253" t="s">
        <v>14</v>
      </c>
      <c r="N2253" t="s">
        <v>15</v>
      </c>
    </row>
    <row r="2254" spans="1:14" x14ac:dyDescent="0.25">
      <c r="A2254">
        <v>17617</v>
      </c>
      <c r="B2254">
        <v>7733</v>
      </c>
      <c r="C2254">
        <f>1/COUNTIF(B:B,pizza_sales[[#This Row],[order_id]])</f>
        <v>1</v>
      </c>
      <c r="D2254" t="s">
        <v>47</v>
      </c>
      <c r="E2254">
        <v>1</v>
      </c>
      <c r="F2254" s="1">
        <v>42282</v>
      </c>
      <c r="G2254" s="1" t="str">
        <f>TEXT(pizza_sales[[#This Row],[order_date]],"dddd")</f>
        <v>Monday</v>
      </c>
      <c r="H2254" s="2">
        <v>0.7203356481481481</v>
      </c>
      <c r="I2254">
        <v>16.5</v>
      </c>
      <c r="J2254">
        <v>16.5</v>
      </c>
      <c r="K2254" t="s">
        <v>58</v>
      </c>
      <c r="L2254" t="s">
        <v>13</v>
      </c>
      <c r="M2254" t="s">
        <v>14</v>
      </c>
      <c r="N2254" t="s">
        <v>15</v>
      </c>
    </row>
    <row r="2255" spans="1:14" x14ac:dyDescent="0.25">
      <c r="A2255">
        <v>17618</v>
      </c>
      <c r="B2255">
        <v>7734</v>
      </c>
      <c r="C2255">
        <f>1/COUNTIF(B:B,pizza_sales[[#This Row],[order_id]])</f>
        <v>0.5</v>
      </c>
      <c r="D2255" t="s">
        <v>34</v>
      </c>
      <c r="E2255">
        <v>1</v>
      </c>
      <c r="F2255" s="1">
        <v>42282</v>
      </c>
      <c r="G2255" s="1" t="str">
        <f>TEXT(pizza_sales[[#This Row],[order_date]],"dddd")</f>
        <v>Monday</v>
      </c>
      <c r="H2255" s="2">
        <v>0.72070601851851857</v>
      </c>
      <c r="I2255">
        <v>16.25</v>
      </c>
      <c r="J2255">
        <v>16.25</v>
      </c>
      <c r="K2255" t="s">
        <v>59</v>
      </c>
      <c r="L2255" t="s">
        <v>35</v>
      </c>
      <c r="M2255" t="s">
        <v>36</v>
      </c>
      <c r="N2255" t="s">
        <v>37</v>
      </c>
    </row>
    <row r="2256" spans="1:14" x14ac:dyDescent="0.25">
      <c r="A2256">
        <v>17621</v>
      </c>
      <c r="B2256">
        <v>7734</v>
      </c>
      <c r="C2256">
        <f>1/COUNTIF(B:B,pizza_sales[[#This Row],[order_id]])</f>
        <v>0.5</v>
      </c>
      <c r="D2256" t="s">
        <v>39</v>
      </c>
      <c r="E2256">
        <v>1</v>
      </c>
      <c r="F2256" s="1">
        <v>42282</v>
      </c>
      <c r="G2256" s="1" t="str">
        <f>TEXT(pizza_sales[[#This Row],[order_date]],"dddd")</f>
        <v>Monday</v>
      </c>
      <c r="H2256" s="2">
        <v>0.72070601851851857</v>
      </c>
      <c r="I2256">
        <v>20.25</v>
      </c>
      <c r="J2256">
        <v>20.25</v>
      </c>
      <c r="K2256" t="s">
        <v>58</v>
      </c>
      <c r="L2256" t="s">
        <v>35</v>
      </c>
      <c r="M2256" t="s">
        <v>40</v>
      </c>
      <c r="N2256" t="s">
        <v>41</v>
      </c>
    </row>
    <row r="2257" spans="1:14" x14ac:dyDescent="0.25">
      <c r="A2257">
        <v>17623</v>
      </c>
      <c r="B2257">
        <v>7735</v>
      </c>
      <c r="C2257">
        <f>1/COUNTIF(B:B,pizza_sales[[#This Row],[order_id]])</f>
        <v>0.5</v>
      </c>
      <c r="D2257" t="s">
        <v>49</v>
      </c>
      <c r="E2257">
        <v>1</v>
      </c>
      <c r="F2257" s="1">
        <v>42282</v>
      </c>
      <c r="G2257" s="1" t="str">
        <f>TEXT(pizza_sales[[#This Row],[order_date]],"dddd")</f>
        <v>Monday</v>
      </c>
      <c r="H2257" s="2">
        <v>0.72378472222222223</v>
      </c>
      <c r="I2257">
        <v>16</v>
      </c>
      <c r="J2257">
        <v>16</v>
      </c>
      <c r="K2257" t="s">
        <v>59</v>
      </c>
      <c r="L2257" t="s">
        <v>13</v>
      </c>
      <c r="M2257" t="s">
        <v>21</v>
      </c>
      <c r="N2257" t="s">
        <v>22</v>
      </c>
    </row>
    <row r="2258" spans="1:14" x14ac:dyDescent="0.25">
      <c r="A2258">
        <v>17624</v>
      </c>
      <c r="B2258">
        <v>7735</v>
      </c>
      <c r="C2258">
        <f>1/COUNTIF(B:B,pizza_sales[[#This Row],[order_id]])</f>
        <v>0.5</v>
      </c>
      <c r="D2258" t="s">
        <v>46</v>
      </c>
      <c r="E2258">
        <v>1</v>
      </c>
      <c r="F2258" s="1">
        <v>42282</v>
      </c>
      <c r="G2258" s="1" t="str">
        <f>TEXT(pizza_sales[[#This Row],[order_date]],"dddd")</f>
        <v>Monday</v>
      </c>
      <c r="H2258" s="2">
        <v>0.72378472222222223</v>
      </c>
      <c r="I2258">
        <v>25.5</v>
      </c>
      <c r="J2258">
        <v>25.5</v>
      </c>
      <c r="K2258" t="s">
        <v>61</v>
      </c>
      <c r="L2258" t="s">
        <v>13</v>
      </c>
      <c r="M2258" t="s">
        <v>21</v>
      </c>
      <c r="N2258" t="s">
        <v>22</v>
      </c>
    </row>
    <row r="2259" spans="1:14" x14ac:dyDescent="0.25">
      <c r="A2259">
        <v>17625</v>
      </c>
      <c r="B2259">
        <v>7736</v>
      </c>
      <c r="C2259">
        <f>1/COUNTIF(B:B,pizza_sales[[#This Row],[order_id]])</f>
        <v>1</v>
      </c>
      <c r="D2259" t="s">
        <v>45</v>
      </c>
      <c r="E2259">
        <v>1</v>
      </c>
      <c r="F2259" s="1">
        <v>42282</v>
      </c>
      <c r="G2259" s="1" t="str">
        <f>TEXT(pizza_sales[[#This Row],[order_date]],"dddd")</f>
        <v>Monday</v>
      </c>
      <c r="H2259" s="2">
        <v>0.73978009259259259</v>
      </c>
      <c r="I2259">
        <v>10.5</v>
      </c>
      <c r="J2259">
        <v>10.5</v>
      </c>
      <c r="K2259" t="s">
        <v>60</v>
      </c>
      <c r="L2259" t="s">
        <v>13</v>
      </c>
      <c r="M2259" t="s">
        <v>14</v>
      </c>
      <c r="N2259" t="s">
        <v>15</v>
      </c>
    </row>
    <row r="2260" spans="1:14" x14ac:dyDescent="0.25">
      <c r="A2260">
        <v>17628</v>
      </c>
      <c r="B2260">
        <v>7737</v>
      </c>
      <c r="C2260">
        <f>1/COUNTIF(B:B,pizza_sales[[#This Row],[order_id]])</f>
        <v>0.5</v>
      </c>
      <c r="D2260" t="s">
        <v>16</v>
      </c>
      <c r="E2260">
        <v>1</v>
      </c>
      <c r="F2260" s="1">
        <v>42282</v>
      </c>
      <c r="G2260" s="1" t="str">
        <f>TEXT(pizza_sales[[#This Row],[order_date]],"dddd")</f>
        <v>Monday</v>
      </c>
      <c r="H2260" s="2">
        <v>0.74092592592592588</v>
      </c>
      <c r="I2260">
        <v>16</v>
      </c>
      <c r="J2260">
        <v>16</v>
      </c>
      <c r="K2260" t="s">
        <v>59</v>
      </c>
      <c r="L2260" t="s">
        <v>17</v>
      </c>
      <c r="M2260" t="s">
        <v>18</v>
      </c>
      <c r="N2260" t="s">
        <v>19</v>
      </c>
    </row>
    <row r="2261" spans="1:14" x14ac:dyDescent="0.25">
      <c r="A2261">
        <v>17630</v>
      </c>
      <c r="B2261">
        <v>7737</v>
      </c>
      <c r="C2261">
        <f>1/COUNTIF(B:B,pizza_sales[[#This Row],[order_id]])</f>
        <v>0.5</v>
      </c>
      <c r="D2261" t="s">
        <v>46</v>
      </c>
      <c r="E2261">
        <v>1</v>
      </c>
      <c r="F2261" s="1">
        <v>42282</v>
      </c>
      <c r="G2261" s="1" t="str">
        <f>TEXT(pizza_sales[[#This Row],[order_date]],"dddd")</f>
        <v>Monday</v>
      </c>
      <c r="H2261" s="2">
        <v>0.74092592592592588</v>
      </c>
      <c r="I2261">
        <v>25.5</v>
      </c>
      <c r="J2261">
        <v>25.5</v>
      </c>
      <c r="K2261" t="s">
        <v>61</v>
      </c>
      <c r="L2261" t="s">
        <v>13</v>
      </c>
      <c r="M2261" t="s">
        <v>21</v>
      </c>
      <c r="N2261" t="s">
        <v>22</v>
      </c>
    </row>
    <row r="2262" spans="1:14" x14ac:dyDescent="0.25">
      <c r="A2262">
        <v>17631</v>
      </c>
      <c r="B2262">
        <v>7738</v>
      </c>
      <c r="C2262">
        <f>1/COUNTIF(B:B,pizza_sales[[#This Row],[order_id]])</f>
        <v>0.5</v>
      </c>
      <c r="D2262" t="s">
        <v>51</v>
      </c>
      <c r="E2262">
        <v>1</v>
      </c>
      <c r="F2262" s="1">
        <v>42282</v>
      </c>
      <c r="G2262" s="1" t="str">
        <f>TEXT(pizza_sales[[#This Row],[order_date]],"dddd")</f>
        <v>Monday</v>
      </c>
      <c r="H2262" s="2">
        <v>0.74222222222222223</v>
      </c>
      <c r="I2262">
        <v>23.65</v>
      </c>
      <c r="J2262">
        <v>23.65</v>
      </c>
      <c r="K2262" t="s">
        <v>60</v>
      </c>
      <c r="L2262" t="s">
        <v>35</v>
      </c>
      <c r="M2262" t="s">
        <v>52</v>
      </c>
      <c r="N2262" t="s">
        <v>53</v>
      </c>
    </row>
    <row r="2263" spans="1:14" x14ac:dyDescent="0.25">
      <c r="A2263">
        <v>17633</v>
      </c>
      <c r="B2263">
        <v>7738</v>
      </c>
      <c r="C2263">
        <f>1/COUNTIF(B:B,pizza_sales[[#This Row],[order_id]])</f>
        <v>0.5</v>
      </c>
      <c r="D2263" t="s">
        <v>44</v>
      </c>
      <c r="E2263">
        <v>1</v>
      </c>
      <c r="F2263" s="1">
        <v>42282</v>
      </c>
      <c r="G2263" s="1" t="str">
        <f>TEXT(pizza_sales[[#This Row],[order_date]],"dddd")</f>
        <v>Monday</v>
      </c>
      <c r="H2263" s="2">
        <v>0.74222222222222223</v>
      </c>
      <c r="I2263">
        <v>9.75</v>
      </c>
      <c r="J2263">
        <v>9.75</v>
      </c>
      <c r="K2263" t="s">
        <v>60</v>
      </c>
      <c r="L2263" t="s">
        <v>13</v>
      </c>
      <c r="M2263" t="s">
        <v>26</v>
      </c>
      <c r="N2263" t="s">
        <v>27</v>
      </c>
    </row>
    <row r="2264" spans="1:14" x14ac:dyDescent="0.25">
      <c r="A2264">
        <v>17637</v>
      </c>
      <c r="B2264">
        <v>7739</v>
      </c>
      <c r="C2264">
        <f>1/COUNTIF(B:B,pizza_sales[[#This Row],[order_id]])</f>
        <v>0.5</v>
      </c>
      <c r="D2264" t="s">
        <v>42</v>
      </c>
      <c r="E2264">
        <v>1</v>
      </c>
      <c r="F2264" s="1">
        <v>42282</v>
      </c>
      <c r="G2264" s="1" t="str">
        <f>TEXT(pizza_sales[[#This Row],[order_date]],"dddd")</f>
        <v>Monday</v>
      </c>
      <c r="H2264" s="2">
        <v>0.74262731481481481</v>
      </c>
      <c r="I2264">
        <v>12.5</v>
      </c>
      <c r="J2264">
        <v>12.5</v>
      </c>
      <c r="K2264" t="s">
        <v>59</v>
      </c>
      <c r="L2264" t="s">
        <v>13</v>
      </c>
      <c r="M2264" t="s">
        <v>26</v>
      </c>
      <c r="N2264" t="s">
        <v>27</v>
      </c>
    </row>
    <row r="2265" spans="1:14" x14ac:dyDescent="0.25">
      <c r="A2265">
        <v>17638</v>
      </c>
      <c r="B2265">
        <v>7739</v>
      </c>
      <c r="C2265">
        <f>1/COUNTIF(B:B,pizza_sales[[#This Row],[order_id]])</f>
        <v>0.5</v>
      </c>
      <c r="D2265" t="s">
        <v>46</v>
      </c>
      <c r="E2265">
        <v>1</v>
      </c>
      <c r="F2265" s="1">
        <v>42282</v>
      </c>
      <c r="G2265" s="1" t="str">
        <f>TEXT(pizza_sales[[#This Row],[order_date]],"dddd")</f>
        <v>Monday</v>
      </c>
      <c r="H2265" s="2">
        <v>0.74262731481481481</v>
      </c>
      <c r="I2265">
        <v>25.5</v>
      </c>
      <c r="J2265">
        <v>25.5</v>
      </c>
      <c r="K2265" t="s">
        <v>61</v>
      </c>
      <c r="L2265" t="s">
        <v>13</v>
      </c>
      <c r="M2265" t="s">
        <v>21</v>
      </c>
      <c r="N2265" t="s">
        <v>22</v>
      </c>
    </row>
    <row r="2266" spans="1:14" x14ac:dyDescent="0.25">
      <c r="A2266">
        <v>17639</v>
      </c>
      <c r="B2266">
        <v>7740</v>
      </c>
      <c r="C2266">
        <f>1/COUNTIF(B:B,pizza_sales[[#This Row],[order_id]])</f>
        <v>1</v>
      </c>
      <c r="D2266" t="s">
        <v>28</v>
      </c>
      <c r="E2266">
        <v>1</v>
      </c>
      <c r="F2266" s="1">
        <v>42282</v>
      </c>
      <c r="G2266" s="1" t="str">
        <f>TEXT(pizza_sales[[#This Row],[order_date]],"dddd")</f>
        <v>Monday</v>
      </c>
      <c r="H2266" s="2">
        <v>0.74318287037037034</v>
      </c>
      <c r="I2266">
        <v>12</v>
      </c>
      <c r="J2266">
        <v>12</v>
      </c>
      <c r="K2266" t="s">
        <v>60</v>
      </c>
      <c r="L2266" t="s">
        <v>13</v>
      </c>
      <c r="M2266" t="s">
        <v>29</v>
      </c>
      <c r="N2266" t="s">
        <v>30</v>
      </c>
    </row>
    <row r="2267" spans="1:14" x14ac:dyDescent="0.25">
      <c r="A2267">
        <v>17645</v>
      </c>
      <c r="B2267">
        <v>7744</v>
      </c>
      <c r="C2267">
        <f>1/COUNTIF(B:B,pizza_sales[[#This Row],[order_id]])</f>
        <v>0.5</v>
      </c>
      <c r="D2267" t="s">
        <v>25</v>
      </c>
      <c r="E2267">
        <v>1</v>
      </c>
      <c r="F2267" s="1">
        <v>42282</v>
      </c>
      <c r="G2267" s="1" t="str">
        <f>TEXT(pizza_sales[[#This Row],[order_date]],"dddd")</f>
        <v>Monday</v>
      </c>
      <c r="H2267" s="2">
        <v>0.75983796296296291</v>
      </c>
      <c r="I2267">
        <v>15.25</v>
      </c>
      <c r="J2267">
        <v>15.25</v>
      </c>
      <c r="K2267" t="s">
        <v>58</v>
      </c>
      <c r="L2267" t="s">
        <v>13</v>
      </c>
      <c r="M2267" t="s">
        <v>26</v>
      </c>
      <c r="N2267" t="s">
        <v>27</v>
      </c>
    </row>
    <row r="2268" spans="1:14" x14ac:dyDescent="0.25">
      <c r="A2268">
        <v>17646</v>
      </c>
      <c r="B2268">
        <v>7744</v>
      </c>
      <c r="C2268">
        <f>1/COUNTIF(B:B,pizza_sales[[#This Row],[order_id]])</f>
        <v>0.5</v>
      </c>
      <c r="D2268" t="s">
        <v>44</v>
      </c>
      <c r="E2268">
        <v>1</v>
      </c>
      <c r="F2268" s="1">
        <v>42282</v>
      </c>
      <c r="G2268" s="1" t="str">
        <f>TEXT(pizza_sales[[#This Row],[order_date]],"dddd")</f>
        <v>Monday</v>
      </c>
      <c r="H2268" s="2">
        <v>0.75983796296296291</v>
      </c>
      <c r="I2268">
        <v>9.75</v>
      </c>
      <c r="J2268">
        <v>9.75</v>
      </c>
      <c r="K2268" t="s">
        <v>60</v>
      </c>
      <c r="L2268" t="s">
        <v>13</v>
      </c>
      <c r="M2268" t="s">
        <v>26</v>
      </c>
      <c r="N2268" t="s">
        <v>27</v>
      </c>
    </row>
    <row r="2269" spans="1:14" x14ac:dyDescent="0.25">
      <c r="A2269">
        <v>17650</v>
      </c>
      <c r="B2269">
        <v>7747</v>
      </c>
      <c r="C2269">
        <f>1/COUNTIF(B:B,pizza_sales[[#This Row],[order_id]])</f>
        <v>1</v>
      </c>
      <c r="D2269" t="s">
        <v>47</v>
      </c>
      <c r="E2269">
        <v>1</v>
      </c>
      <c r="F2269" s="1">
        <v>42282</v>
      </c>
      <c r="G2269" s="1" t="str">
        <f>TEXT(pizza_sales[[#This Row],[order_date]],"dddd")</f>
        <v>Monday</v>
      </c>
      <c r="H2269" s="2">
        <v>0.77375000000000005</v>
      </c>
      <c r="I2269">
        <v>16.5</v>
      </c>
      <c r="J2269">
        <v>16.5</v>
      </c>
      <c r="K2269" t="s">
        <v>58</v>
      </c>
      <c r="L2269" t="s">
        <v>13</v>
      </c>
      <c r="M2269" t="s">
        <v>14</v>
      </c>
      <c r="N2269" t="s">
        <v>15</v>
      </c>
    </row>
    <row r="2270" spans="1:14" x14ac:dyDescent="0.25">
      <c r="A2270">
        <v>17655</v>
      </c>
      <c r="B2270">
        <v>7749</v>
      </c>
      <c r="C2270">
        <f>1/COUNTIF(B:B,pizza_sales[[#This Row],[order_id]])</f>
        <v>0.5</v>
      </c>
      <c r="D2270" t="s">
        <v>28</v>
      </c>
      <c r="E2270">
        <v>1</v>
      </c>
      <c r="F2270" s="1">
        <v>42282</v>
      </c>
      <c r="G2270" s="1" t="str">
        <f>TEXT(pizza_sales[[#This Row],[order_date]],"dddd")</f>
        <v>Monday</v>
      </c>
      <c r="H2270" s="2">
        <v>0.78179398148148149</v>
      </c>
      <c r="I2270">
        <v>12</v>
      </c>
      <c r="J2270">
        <v>12</v>
      </c>
      <c r="K2270" t="s">
        <v>60</v>
      </c>
      <c r="L2270" t="s">
        <v>13</v>
      </c>
      <c r="M2270" t="s">
        <v>29</v>
      </c>
      <c r="N2270" t="s">
        <v>30</v>
      </c>
    </row>
    <row r="2271" spans="1:14" x14ac:dyDescent="0.25">
      <c r="A2271">
        <v>17656</v>
      </c>
      <c r="B2271">
        <v>7749</v>
      </c>
      <c r="C2271">
        <f>1/COUNTIF(B:B,pizza_sales[[#This Row],[order_id]])</f>
        <v>0.5</v>
      </c>
      <c r="D2271" t="s">
        <v>34</v>
      </c>
      <c r="E2271">
        <v>1</v>
      </c>
      <c r="F2271" s="1">
        <v>42282</v>
      </c>
      <c r="G2271" s="1" t="str">
        <f>TEXT(pizza_sales[[#This Row],[order_date]],"dddd")</f>
        <v>Monday</v>
      </c>
      <c r="H2271" s="2">
        <v>0.78179398148148149</v>
      </c>
      <c r="I2271">
        <v>16.25</v>
      </c>
      <c r="J2271">
        <v>16.25</v>
      </c>
      <c r="K2271" t="s">
        <v>59</v>
      </c>
      <c r="L2271" t="s">
        <v>35</v>
      </c>
      <c r="M2271" t="s">
        <v>36</v>
      </c>
      <c r="N2271" t="s">
        <v>37</v>
      </c>
    </row>
    <row r="2272" spans="1:14" x14ac:dyDescent="0.25">
      <c r="A2272">
        <v>17663</v>
      </c>
      <c r="B2272">
        <v>7751</v>
      </c>
      <c r="C2272">
        <f>1/COUNTIF(B:B,pizza_sales[[#This Row],[order_id]])</f>
        <v>1</v>
      </c>
      <c r="D2272" t="s">
        <v>44</v>
      </c>
      <c r="E2272">
        <v>1</v>
      </c>
      <c r="F2272" s="1">
        <v>42282</v>
      </c>
      <c r="G2272" s="1" t="str">
        <f>TEXT(pizza_sales[[#This Row],[order_date]],"dddd")</f>
        <v>Monday</v>
      </c>
      <c r="H2272" s="2">
        <v>0.82703703703703701</v>
      </c>
      <c r="I2272">
        <v>9.75</v>
      </c>
      <c r="J2272">
        <v>9.75</v>
      </c>
      <c r="K2272" t="s">
        <v>60</v>
      </c>
      <c r="L2272" t="s">
        <v>13</v>
      </c>
      <c r="M2272" t="s">
        <v>26</v>
      </c>
      <c r="N2272" t="s">
        <v>27</v>
      </c>
    </row>
    <row r="2273" spans="1:14" x14ac:dyDescent="0.25">
      <c r="A2273">
        <v>17666</v>
      </c>
      <c r="B2273">
        <v>7753</v>
      </c>
      <c r="C2273">
        <f>1/COUNTIF(B:B,pizza_sales[[#This Row],[order_id]])</f>
        <v>1</v>
      </c>
      <c r="D2273" t="s">
        <v>38</v>
      </c>
      <c r="E2273">
        <v>1</v>
      </c>
      <c r="F2273" s="1">
        <v>42282</v>
      </c>
      <c r="G2273" s="1" t="str">
        <f>TEXT(pizza_sales[[#This Row],[order_date]],"dddd")</f>
        <v>Monday</v>
      </c>
      <c r="H2273" s="2">
        <v>0.8347106481481481</v>
      </c>
      <c r="I2273">
        <v>20.5</v>
      </c>
      <c r="J2273">
        <v>20.5</v>
      </c>
      <c r="K2273" t="s">
        <v>58</v>
      </c>
      <c r="L2273" t="s">
        <v>13</v>
      </c>
      <c r="M2273" t="s">
        <v>32</v>
      </c>
      <c r="N2273" t="s">
        <v>33</v>
      </c>
    </row>
    <row r="2274" spans="1:14" x14ac:dyDescent="0.25">
      <c r="A2274">
        <v>17668</v>
      </c>
      <c r="B2274">
        <v>7755</v>
      </c>
      <c r="C2274">
        <f>1/COUNTIF(B:B,pizza_sales[[#This Row],[order_id]])</f>
        <v>1</v>
      </c>
      <c r="D2274" t="s">
        <v>24</v>
      </c>
      <c r="E2274">
        <v>1</v>
      </c>
      <c r="F2274" s="1">
        <v>42282</v>
      </c>
      <c r="G2274" s="1" t="str">
        <f>TEXT(pizza_sales[[#This Row],[order_date]],"dddd")</f>
        <v>Monday</v>
      </c>
      <c r="H2274" s="2">
        <v>0.87396990740740743</v>
      </c>
      <c r="I2274">
        <v>20.25</v>
      </c>
      <c r="J2274">
        <v>20.25</v>
      </c>
      <c r="K2274" t="s">
        <v>58</v>
      </c>
      <c r="L2274" t="s">
        <v>17</v>
      </c>
      <c r="M2274" t="s">
        <v>18</v>
      </c>
      <c r="N2274" t="s">
        <v>19</v>
      </c>
    </row>
    <row r="2275" spans="1:14" x14ac:dyDescent="0.25">
      <c r="A2275">
        <v>17673</v>
      </c>
      <c r="B2275">
        <v>7758</v>
      </c>
      <c r="C2275">
        <f>1/COUNTIF(B:B,pizza_sales[[#This Row],[order_id]])</f>
        <v>1</v>
      </c>
      <c r="D2275" t="s">
        <v>24</v>
      </c>
      <c r="E2275">
        <v>1</v>
      </c>
      <c r="F2275" s="1">
        <v>42282</v>
      </c>
      <c r="G2275" s="1" t="str">
        <f>TEXT(pizza_sales[[#This Row],[order_date]],"dddd")</f>
        <v>Monday</v>
      </c>
      <c r="H2275" s="2">
        <v>0.89009259259259255</v>
      </c>
      <c r="I2275">
        <v>20.25</v>
      </c>
      <c r="J2275">
        <v>20.25</v>
      </c>
      <c r="K2275" t="s">
        <v>58</v>
      </c>
      <c r="L2275" t="s">
        <v>17</v>
      </c>
      <c r="M2275" t="s">
        <v>18</v>
      </c>
      <c r="N2275" t="s">
        <v>19</v>
      </c>
    </row>
    <row r="2276" spans="1:14" x14ac:dyDescent="0.25">
      <c r="A2276">
        <v>17674</v>
      </c>
      <c r="B2276">
        <v>7759</v>
      </c>
      <c r="C2276">
        <f>1/COUNTIF(B:B,pizza_sales[[#This Row],[order_id]])</f>
        <v>1</v>
      </c>
      <c r="D2276" t="s">
        <v>38</v>
      </c>
      <c r="E2276">
        <v>1</v>
      </c>
      <c r="F2276" s="1">
        <v>42282</v>
      </c>
      <c r="G2276" s="1" t="str">
        <f>TEXT(pizza_sales[[#This Row],[order_date]],"dddd")</f>
        <v>Monday</v>
      </c>
      <c r="H2276" s="2">
        <v>0.90762731481481485</v>
      </c>
      <c r="I2276">
        <v>20.5</v>
      </c>
      <c r="J2276">
        <v>20.5</v>
      </c>
      <c r="K2276" t="s">
        <v>58</v>
      </c>
      <c r="L2276" t="s">
        <v>13</v>
      </c>
      <c r="M2276" t="s">
        <v>32</v>
      </c>
      <c r="N2276" t="s">
        <v>33</v>
      </c>
    </row>
    <row r="2277" spans="1:14" x14ac:dyDescent="0.25">
      <c r="A2277">
        <v>17676</v>
      </c>
      <c r="B2277">
        <v>7760</v>
      </c>
      <c r="C2277">
        <f>1/COUNTIF(B:B,pizza_sales[[#This Row],[order_id]])</f>
        <v>1</v>
      </c>
      <c r="D2277" t="s">
        <v>48</v>
      </c>
      <c r="E2277">
        <v>1</v>
      </c>
      <c r="F2277" s="1">
        <v>42282</v>
      </c>
      <c r="G2277" s="1" t="str">
        <f>TEXT(pizza_sales[[#This Row],[order_date]],"dddd")</f>
        <v>Monday</v>
      </c>
      <c r="H2277" s="2">
        <v>0.92834490740740738</v>
      </c>
      <c r="I2277">
        <v>12.25</v>
      </c>
      <c r="J2277">
        <v>12.25</v>
      </c>
      <c r="K2277" t="s">
        <v>60</v>
      </c>
      <c r="L2277" t="s">
        <v>35</v>
      </c>
      <c r="M2277" t="s">
        <v>40</v>
      </c>
      <c r="N2277" t="s">
        <v>41</v>
      </c>
    </row>
    <row r="2278" spans="1:14" x14ac:dyDescent="0.25">
      <c r="A2278">
        <v>17693</v>
      </c>
      <c r="B2278">
        <v>7769</v>
      </c>
      <c r="C2278">
        <f>1/COUNTIF(B:B,pizza_sales[[#This Row],[order_id]])</f>
        <v>0.5</v>
      </c>
      <c r="D2278" t="s">
        <v>28</v>
      </c>
      <c r="E2278">
        <v>1</v>
      </c>
      <c r="F2278" s="1">
        <v>42313</v>
      </c>
      <c r="G2278" s="1" t="str">
        <f>TEXT(pizza_sales[[#This Row],[order_date]],"dddd")</f>
        <v>Thursday</v>
      </c>
      <c r="H2278" s="2">
        <v>0.50638888888888889</v>
      </c>
      <c r="I2278">
        <v>12</v>
      </c>
      <c r="J2278">
        <v>12</v>
      </c>
      <c r="K2278" t="s">
        <v>60</v>
      </c>
      <c r="L2278" t="s">
        <v>13</v>
      </c>
      <c r="M2278" t="s">
        <v>29</v>
      </c>
      <c r="N2278" t="s">
        <v>30</v>
      </c>
    </row>
    <row r="2279" spans="1:14" x14ac:dyDescent="0.25">
      <c r="A2279">
        <v>17694</v>
      </c>
      <c r="B2279">
        <v>7769</v>
      </c>
      <c r="C2279">
        <f>1/COUNTIF(B:B,pizza_sales[[#This Row],[order_id]])</f>
        <v>0.5</v>
      </c>
      <c r="D2279" t="s">
        <v>56</v>
      </c>
      <c r="E2279">
        <v>1</v>
      </c>
      <c r="F2279" s="1">
        <v>42313</v>
      </c>
      <c r="G2279" s="1" t="str">
        <f>TEXT(pizza_sales[[#This Row],[order_date]],"dddd")</f>
        <v>Thursday</v>
      </c>
      <c r="H2279" s="2">
        <v>0.50638888888888889</v>
      </c>
      <c r="I2279">
        <v>20.25</v>
      </c>
      <c r="J2279">
        <v>20.25</v>
      </c>
      <c r="K2279" t="s">
        <v>58</v>
      </c>
      <c r="L2279" t="s">
        <v>35</v>
      </c>
      <c r="M2279" t="s">
        <v>36</v>
      </c>
      <c r="N2279" t="s">
        <v>37</v>
      </c>
    </row>
    <row r="2280" spans="1:14" x14ac:dyDescent="0.25">
      <c r="A2280">
        <v>17711</v>
      </c>
      <c r="B2280">
        <v>7776</v>
      </c>
      <c r="C2280">
        <f>1/COUNTIF(B:B,pizza_sales[[#This Row],[order_id]])</f>
        <v>1</v>
      </c>
      <c r="D2280" t="s">
        <v>28</v>
      </c>
      <c r="E2280">
        <v>1</v>
      </c>
      <c r="F2280" s="1">
        <v>42313</v>
      </c>
      <c r="G2280" s="1" t="str">
        <f>TEXT(pizza_sales[[#This Row],[order_date]],"dddd")</f>
        <v>Thursday</v>
      </c>
      <c r="H2280" s="2">
        <v>0.54953703703703705</v>
      </c>
      <c r="I2280">
        <v>12</v>
      </c>
      <c r="J2280">
        <v>12</v>
      </c>
      <c r="K2280" t="s">
        <v>60</v>
      </c>
      <c r="L2280" t="s">
        <v>13</v>
      </c>
      <c r="M2280" t="s">
        <v>29</v>
      </c>
      <c r="N2280" t="s">
        <v>30</v>
      </c>
    </row>
    <row r="2281" spans="1:14" x14ac:dyDescent="0.25">
      <c r="A2281">
        <v>17713</v>
      </c>
      <c r="B2281">
        <v>7778</v>
      </c>
      <c r="C2281">
        <f>1/COUNTIF(B:B,pizza_sales[[#This Row],[order_id]])</f>
        <v>1</v>
      </c>
      <c r="D2281" t="s">
        <v>45</v>
      </c>
      <c r="E2281">
        <v>1</v>
      </c>
      <c r="F2281" s="1">
        <v>42313</v>
      </c>
      <c r="G2281" s="1" t="str">
        <f>TEXT(pizza_sales[[#This Row],[order_date]],"dddd")</f>
        <v>Thursday</v>
      </c>
      <c r="H2281" s="2">
        <v>0.55577546296296299</v>
      </c>
      <c r="I2281">
        <v>10.5</v>
      </c>
      <c r="J2281">
        <v>10.5</v>
      </c>
      <c r="K2281" t="s">
        <v>60</v>
      </c>
      <c r="L2281" t="s">
        <v>13</v>
      </c>
      <c r="M2281" t="s">
        <v>14</v>
      </c>
      <c r="N2281" t="s">
        <v>15</v>
      </c>
    </row>
    <row r="2282" spans="1:14" x14ac:dyDescent="0.25">
      <c r="A2282">
        <v>17721</v>
      </c>
      <c r="B2282">
        <v>7782</v>
      </c>
      <c r="C2282">
        <f>1/COUNTIF(B:B,pizza_sales[[#This Row],[order_id]])</f>
        <v>1</v>
      </c>
      <c r="D2282" t="s">
        <v>39</v>
      </c>
      <c r="E2282">
        <v>1</v>
      </c>
      <c r="F2282" s="1">
        <v>42313</v>
      </c>
      <c r="G2282" s="1" t="str">
        <f>TEXT(pizza_sales[[#This Row],[order_date]],"dddd")</f>
        <v>Thursday</v>
      </c>
      <c r="H2282" s="2">
        <v>0.59811342592592598</v>
      </c>
      <c r="I2282">
        <v>20.25</v>
      </c>
      <c r="J2282">
        <v>20.25</v>
      </c>
      <c r="K2282" t="s">
        <v>58</v>
      </c>
      <c r="L2282" t="s">
        <v>35</v>
      </c>
      <c r="M2282" t="s">
        <v>40</v>
      </c>
      <c r="N2282" t="s">
        <v>41</v>
      </c>
    </row>
    <row r="2283" spans="1:14" x14ac:dyDescent="0.25">
      <c r="A2283">
        <v>17725</v>
      </c>
      <c r="B2283">
        <v>7783</v>
      </c>
      <c r="C2283">
        <f>1/COUNTIF(B:B,pizza_sales[[#This Row],[order_id]])</f>
        <v>1</v>
      </c>
      <c r="D2283" t="s">
        <v>31</v>
      </c>
      <c r="E2283">
        <v>1</v>
      </c>
      <c r="F2283" s="1">
        <v>42313</v>
      </c>
      <c r="G2283" s="1" t="str">
        <f>TEXT(pizza_sales[[#This Row],[order_date]],"dddd")</f>
        <v>Thursday</v>
      </c>
      <c r="H2283" s="2">
        <v>0.59858796296296302</v>
      </c>
      <c r="I2283">
        <v>12</v>
      </c>
      <c r="J2283">
        <v>12</v>
      </c>
      <c r="K2283" t="s">
        <v>60</v>
      </c>
      <c r="L2283" t="s">
        <v>13</v>
      </c>
      <c r="M2283" t="s">
        <v>32</v>
      </c>
      <c r="N2283" t="s">
        <v>33</v>
      </c>
    </row>
    <row r="2284" spans="1:14" x14ac:dyDescent="0.25">
      <c r="A2284">
        <v>17727</v>
      </c>
      <c r="B2284">
        <v>7784</v>
      </c>
      <c r="C2284">
        <f>1/COUNTIF(B:B,pizza_sales[[#This Row],[order_id]])</f>
        <v>1</v>
      </c>
      <c r="D2284" t="s">
        <v>28</v>
      </c>
      <c r="E2284">
        <v>1</v>
      </c>
      <c r="F2284" s="1">
        <v>42313</v>
      </c>
      <c r="G2284" s="1" t="str">
        <f>TEXT(pizza_sales[[#This Row],[order_date]],"dddd")</f>
        <v>Thursday</v>
      </c>
      <c r="H2284" s="2">
        <v>0.60174768518518518</v>
      </c>
      <c r="I2284">
        <v>12</v>
      </c>
      <c r="J2284">
        <v>12</v>
      </c>
      <c r="K2284" t="s">
        <v>60</v>
      </c>
      <c r="L2284" t="s">
        <v>13</v>
      </c>
      <c r="M2284" t="s">
        <v>29</v>
      </c>
      <c r="N2284" t="s">
        <v>30</v>
      </c>
    </row>
    <row r="2285" spans="1:14" x14ac:dyDescent="0.25">
      <c r="A2285">
        <v>17736</v>
      </c>
      <c r="B2285">
        <v>7786</v>
      </c>
      <c r="C2285">
        <f>1/COUNTIF(B:B,pizza_sales[[#This Row],[order_id]])</f>
        <v>1</v>
      </c>
      <c r="D2285" t="s">
        <v>38</v>
      </c>
      <c r="E2285">
        <v>1</v>
      </c>
      <c r="F2285" s="1">
        <v>42313</v>
      </c>
      <c r="G2285" s="1" t="str">
        <f>TEXT(pizza_sales[[#This Row],[order_date]],"dddd")</f>
        <v>Thursday</v>
      </c>
      <c r="H2285" s="2">
        <v>0.60706018518518523</v>
      </c>
      <c r="I2285">
        <v>20.5</v>
      </c>
      <c r="J2285">
        <v>20.5</v>
      </c>
      <c r="K2285" t="s">
        <v>58</v>
      </c>
      <c r="L2285" t="s">
        <v>13</v>
      </c>
      <c r="M2285" t="s">
        <v>32</v>
      </c>
      <c r="N2285" t="s">
        <v>33</v>
      </c>
    </row>
    <row r="2286" spans="1:14" x14ac:dyDescent="0.25">
      <c r="A2286">
        <v>17738</v>
      </c>
      <c r="B2286">
        <v>7787</v>
      </c>
      <c r="C2286">
        <f>1/COUNTIF(B:B,pizza_sales[[#This Row],[order_id]])</f>
        <v>1</v>
      </c>
      <c r="D2286" t="s">
        <v>20</v>
      </c>
      <c r="E2286">
        <v>1</v>
      </c>
      <c r="F2286" s="1">
        <v>42313</v>
      </c>
      <c r="G2286" s="1" t="str">
        <f>TEXT(pizza_sales[[#This Row],[order_date]],"dddd")</f>
        <v>Thursday</v>
      </c>
      <c r="H2286" s="2">
        <v>0.6310648148148148</v>
      </c>
      <c r="I2286">
        <v>12</v>
      </c>
      <c r="J2286">
        <v>12</v>
      </c>
      <c r="K2286" t="s">
        <v>60</v>
      </c>
      <c r="L2286" t="s">
        <v>13</v>
      </c>
      <c r="M2286" t="s">
        <v>21</v>
      </c>
      <c r="N2286" t="s">
        <v>22</v>
      </c>
    </row>
    <row r="2287" spans="1:14" x14ac:dyDescent="0.25">
      <c r="A2287">
        <v>17740</v>
      </c>
      <c r="B2287">
        <v>7788</v>
      </c>
      <c r="C2287">
        <f>1/COUNTIF(B:B,pizza_sales[[#This Row],[order_id]])</f>
        <v>1</v>
      </c>
      <c r="D2287" t="s">
        <v>51</v>
      </c>
      <c r="E2287">
        <v>1</v>
      </c>
      <c r="F2287" s="1">
        <v>42313</v>
      </c>
      <c r="G2287" s="1" t="str">
        <f>TEXT(pizza_sales[[#This Row],[order_date]],"dddd")</f>
        <v>Thursday</v>
      </c>
      <c r="H2287" s="2">
        <v>0.66978009259259264</v>
      </c>
      <c r="I2287">
        <v>23.65</v>
      </c>
      <c r="J2287">
        <v>23.65</v>
      </c>
      <c r="K2287" t="s">
        <v>60</v>
      </c>
      <c r="L2287" t="s">
        <v>35</v>
      </c>
      <c r="M2287" t="s">
        <v>52</v>
      </c>
      <c r="N2287" t="s">
        <v>53</v>
      </c>
    </row>
    <row r="2288" spans="1:14" x14ac:dyDescent="0.25">
      <c r="A2288">
        <v>17746</v>
      </c>
      <c r="B2288">
        <v>7790</v>
      </c>
      <c r="C2288">
        <f>1/COUNTIF(B:B,pizza_sales[[#This Row],[order_id]])</f>
        <v>1</v>
      </c>
      <c r="D2288" t="s">
        <v>51</v>
      </c>
      <c r="E2288">
        <v>1</v>
      </c>
      <c r="F2288" s="1">
        <v>42313</v>
      </c>
      <c r="G2288" s="1" t="str">
        <f>TEXT(pizza_sales[[#This Row],[order_date]],"dddd")</f>
        <v>Thursday</v>
      </c>
      <c r="H2288" s="2">
        <v>0.69358796296296299</v>
      </c>
      <c r="I2288">
        <v>23.65</v>
      </c>
      <c r="J2288">
        <v>23.65</v>
      </c>
      <c r="K2288" t="s">
        <v>60</v>
      </c>
      <c r="L2288" t="s">
        <v>35</v>
      </c>
      <c r="M2288" t="s">
        <v>52</v>
      </c>
      <c r="N2288" t="s">
        <v>53</v>
      </c>
    </row>
    <row r="2289" spans="1:14" x14ac:dyDescent="0.25">
      <c r="A2289">
        <v>17759</v>
      </c>
      <c r="B2289">
        <v>7794</v>
      </c>
      <c r="C2289">
        <f>1/COUNTIF(B:B,pizza_sales[[#This Row],[order_id]])</f>
        <v>1</v>
      </c>
      <c r="D2289" t="s">
        <v>43</v>
      </c>
      <c r="E2289">
        <v>1</v>
      </c>
      <c r="F2289" s="1">
        <v>42313</v>
      </c>
      <c r="G2289" s="1" t="str">
        <f>TEXT(pizza_sales[[#This Row],[order_date]],"dddd")</f>
        <v>Thursday</v>
      </c>
      <c r="H2289" s="2">
        <v>0.71885416666666668</v>
      </c>
      <c r="I2289">
        <v>16.25</v>
      </c>
      <c r="J2289">
        <v>16.25</v>
      </c>
      <c r="K2289" t="s">
        <v>59</v>
      </c>
      <c r="L2289" t="s">
        <v>35</v>
      </c>
      <c r="M2289" t="s">
        <v>40</v>
      </c>
      <c r="N2289" t="s">
        <v>41</v>
      </c>
    </row>
    <row r="2290" spans="1:14" x14ac:dyDescent="0.25">
      <c r="A2290">
        <v>17762</v>
      </c>
      <c r="B2290">
        <v>7796</v>
      </c>
      <c r="C2290">
        <f>1/COUNTIF(B:B,pizza_sales[[#This Row],[order_id]])</f>
        <v>1</v>
      </c>
      <c r="D2290" t="s">
        <v>43</v>
      </c>
      <c r="E2290">
        <v>1</v>
      </c>
      <c r="F2290" s="1">
        <v>42313</v>
      </c>
      <c r="G2290" s="1" t="str">
        <f>TEXT(pizza_sales[[#This Row],[order_date]],"dddd")</f>
        <v>Thursday</v>
      </c>
      <c r="H2290" s="2">
        <v>0.72819444444444448</v>
      </c>
      <c r="I2290">
        <v>16.25</v>
      </c>
      <c r="J2290">
        <v>16.25</v>
      </c>
      <c r="K2290" t="s">
        <v>59</v>
      </c>
      <c r="L2290" t="s">
        <v>35</v>
      </c>
      <c r="M2290" t="s">
        <v>40</v>
      </c>
      <c r="N2290" t="s">
        <v>41</v>
      </c>
    </row>
    <row r="2291" spans="1:14" x14ac:dyDescent="0.25">
      <c r="A2291">
        <v>17766</v>
      </c>
      <c r="B2291">
        <v>7797</v>
      </c>
      <c r="C2291">
        <f>1/COUNTIF(B:B,pizza_sales[[#This Row],[order_id]])</f>
        <v>1</v>
      </c>
      <c r="D2291" t="s">
        <v>46</v>
      </c>
      <c r="E2291">
        <v>1</v>
      </c>
      <c r="F2291" s="1">
        <v>42313</v>
      </c>
      <c r="G2291" s="1" t="str">
        <f>TEXT(pizza_sales[[#This Row],[order_date]],"dddd")</f>
        <v>Thursday</v>
      </c>
      <c r="H2291" s="2">
        <v>0.73590277777777779</v>
      </c>
      <c r="I2291">
        <v>25.5</v>
      </c>
      <c r="J2291">
        <v>25.5</v>
      </c>
      <c r="K2291" t="s">
        <v>61</v>
      </c>
      <c r="L2291" t="s">
        <v>13</v>
      </c>
      <c r="M2291" t="s">
        <v>21</v>
      </c>
      <c r="N2291" t="s">
        <v>22</v>
      </c>
    </row>
    <row r="2292" spans="1:14" x14ac:dyDescent="0.25">
      <c r="A2292">
        <v>17767</v>
      </c>
      <c r="B2292">
        <v>7798</v>
      </c>
      <c r="C2292">
        <f>1/COUNTIF(B:B,pizza_sales[[#This Row],[order_id]])</f>
        <v>1</v>
      </c>
      <c r="D2292" t="s">
        <v>34</v>
      </c>
      <c r="E2292">
        <v>1</v>
      </c>
      <c r="F2292" s="1">
        <v>42313</v>
      </c>
      <c r="G2292" s="1" t="str">
        <f>TEXT(pizza_sales[[#This Row],[order_date]],"dddd")</f>
        <v>Thursday</v>
      </c>
      <c r="H2292" s="2">
        <v>0.7361226851851852</v>
      </c>
      <c r="I2292">
        <v>16.25</v>
      </c>
      <c r="J2292">
        <v>16.25</v>
      </c>
      <c r="K2292" t="s">
        <v>59</v>
      </c>
      <c r="L2292" t="s">
        <v>35</v>
      </c>
      <c r="M2292" t="s">
        <v>36</v>
      </c>
      <c r="N2292" t="s">
        <v>37</v>
      </c>
    </row>
    <row r="2293" spans="1:14" x14ac:dyDescent="0.25">
      <c r="A2293">
        <v>17771</v>
      </c>
      <c r="B2293">
        <v>7799</v>
      </c>
      <c r="C2293">
        <f>1/COUNTIF(B:B,pizza_sales[[#This Row],[order_id]])</f>
        <v>0.5</v>
      </c>
      <c r="D2293" t="s">
        <v>28</v>
      </c>
      <c r="E2293">
        <v>1</v>
      </c>
      <c r="F2293" s="1">
        <v>42313</v>
      </c>
      <c r="G2293" s="1" t="str">
        <f>TEXT(pizza_sales[[#This Row],[order_date]],"dddd")</f>
        <v>Thursday</v>
      </c>
      <c r="H2293" s="2">
        <v>0.74254629629629632</v>
      </c>
      <c r="I2293">
        <v>12</v>
      </c>
      <c r="J2293">
        <v>12</v>
      </c>
      <c r="K2293" t="s">
        <v>60</v>
      </c>
      <c r="L2293" t="s">
        <v>13</v>
      </c>
      <c r="M2293" t="s">
        <v>29</v>
      </c>
      <c r="N2293" t="s">
        <v>30</v>
      </c>
    </row>
    <row r="2294" spans="1:14" x14ac:dyDescent="0.25">
      <c r="A2294">
        <v>17772</v>
      </c>
      <c r="B2294">
        <v>7799</v>
      </c>
      <c r="C2294">
        <f>1/COUNTIF(B:B,pizza_sales[[#This Row],[order_id]])</f>
        <v>0.5</v>
      </c>
      <c r="D2294" t="s">
        <v>51</v>
      </c>
      <c r="E2294">
        <v>1</v>
      </c>
      <c r="F2294" s="1">
        <v>42313</v>
      </c>
      <c r="G2294" s="1" t="str">
        <f>TEXT(pizza_sales[[#This Row],[order_date]],"dddd")</f>
        <v>Thursday</v>
      </c>
      <c r="H2294" s="2">
        <v>0.74254629629629632</v>
      </c>
      <c r="I2294">
        <v>23.65</v>
      </c>
      <c r="J2294">
        <v>23.65</v>
      </c>
      <c r="K2294" t="s">
        <v>60</v>
      </c>
      <c r="L2294" t="s">
        <v>35</v>
      </c>
      <c r="M2294" t="s">
        <v>52</v>
      </c>
      <c r="N2294" t="s">
        <v>53</v>
      </c>
    </row>
    <row r="2295" spans="1:14" x14ac:dyDescent="0.25">
      <c r="A2295">
        <v>17779</v>
      </c>
      <c r="B2295">
        <v>7801</v>
      </c>
      <c r="C2295">
        <f>1/COUNTIF(B:B,pizza_sales[[#This Row],[order_id]])</f>
        <v>0.5</v>
      </c>
      <c r="D2295" t="s">
        <v>31</v>
      </c>
      <c r="E2295">
        <v>1</v>
      </c>
      <c r="F2295" s="1">
        <v>42313</v>
      </c>
      <c r="G2295" s="1" t="str">
        <f>TEXT(pizza_sales[[#This Row],[order_date]],"dddd")</f>
        <v>Thursday</v>
      </c>
      <c r="H2295" s="2">
        <v>0.74944444444444447</v>
      </c>
      <c r="I2295">
        <v>12</v>
      </c>
      <c r="J2295">
        <v>12</v>
      </c>
      <c r="K2295" t="s">
        <v>60</v>
      </c>
      <c r="L2295" t="s">
        <v>13</v>
      </c>
      <c r="M2295" t="s">
        <v>32</v>
      </c>
      <c r="N2295" t="s">
        <v>33</v>
      </c>
    </row>
    <row r="2296" spans="1:14" x14ac:dyDescent="0.25">
      <c r="A2296">
        <v>17780</v>
      </c>
      <c r="B2296">
        <v>7801</v>
      </c>
      <c r="C2296">
        <f>1/COUNTIF(B:B,pizza_sales[[#This Row],[order_id]])</f>
        <v>0.5</v>
      </c>
      <c r="D2296" t="s">
        <v>48</v>
      </c>
      <c r="E2296">
        <v>1</v>
      </c>
      <c r="F2296" s="1">
        <v>42313</v>
      </c>
      <c r="G2296" s="1" t="str">
        <f>TEXT(pizza_sales[[#This Row],[order_date]],"dddd")</f>
        <v>Thursday</v>
      </c>
      <c r="H2296" s="2">
        <v>0.74944444444444447</v>
      </c>
      <c r="I2296">
        <v>12.25</v>
      </c>
      <c r="J2296">
        <v>12.25</v>
      </c>
      <c r="K2296" t="s">
        <v>60</v>
      </c>
      <c r="L2296" t="s">
        <v>35</v>
      </c>
      <c r="M2296" t="s">
        <v>40</v>
      </c>
      <c r="N2296" t="s">
        <v>41</v>
      </c>
    </row>
    <row r="2297" spans="1:14" x14ac:dyDescent="0.25">
      <c r="A2297">
        <v>17785</v>
      </c>
      <c r="B2297">
        <v>7803</v>
      </c>
      <c r="C2297">
        <f>1/COUNTIF(B:B,pizza_sales[[#This Row],[order_id]])</f>
        <v>1</v>
      </c>
      <c r="D2297" t="s">
        <v>39</v>
      </c>
      <c r="E2297">
        <v>1</v>
      </c>
      <c r="F2297" s="1">
        <v>42313</v>
      </c>
      <c r="G2297" s="1" t="str">
        <f>TEXT(pizza_sales[[#This Row],[order_date]],"dddd")</f>
        <v>Thursday</v>
      </c>
      <c r="H2297" s="2">
        <v>0.75412037037037039</v>
      </c>
      <c r="I2297">
        <v>20.25</v>
      </c>
      <c r="J2297">
        <v>20.25</v>
      </c>
      <c r="K2297" t="s">
        <v>58</v>
      </c>
      <c r="L2297" t="s">
        <v>35</v>
      </c>
      <c r="M2297" t="s">
        <v>40</v>
      </c>
      <c r="N2297" t="s">
        <v>41</v>
      </c>
    </row>
    <row r="2298" spans="1:14" x14ac:dyDescent="0.25">
      <c r="A2298">
        <v>17788</v>
      </c>
      <c r="B2298">
        <v>7805</v>
      </c>
      <c r="C2298">
        <f>1/COUNTIF(B:B,pizza_sales[[#This Row],[order_id]])</f>
        <v>1</v>
      </c>
      <c r="D2298" t="s">
        <v>28</v>
      </c>
      <c r="E2298">
        <v>1</v>
      </c>
      <c r="F2298" s="1">
        <v>42313</v>
      </c>
      <c r="G2298" s="1" t="str">
        <f>TEXT(pizza_sales[[#This Row],[order_date]],"dddd")</f>
        <v>Thursday</v>
      </c>
      <c r="H2298" s="2">
        <v>0.79091435185185188</v>
      </c>
      <c r="I2298">
        <v>12</v>
      </c>
      <c r="J2298">
        <v>12</v>
      </c>
      <c r="K2298" t="s">
        <v>60</v>
      </c>
      <c r="L2298" t="s">
        <v>13</v>
      </c>
      <c r="M2298" t="s">
        <v>29</v>
      </c>
      <c r="N2298" t="s">
        <v>30</v>
      </c>
    </row>
    <row r="2299" spans="1:14" x14ac:dyDescent="0.25">
      <c r="A2299">
        <v>17790</v>
      </c>
      <c r="B2299">
        <v>7806</v>
      </c>
      <c r="C2299">
        <f>1/COUNTIF(B:B,pizza_sales[[#This Row],[order_id]])</f>
        <v>1</v>
      </c>
      <c r="D2299" t="s">
        <v>45</v>
      </c>
      <c r="E2299">
        <v>1</v>
      </c>
      <c r="F2299" s="1">
        <v>42313</v>
      </c>
      <c r="G2299" s="1" t="str">
        <f>TEXT(pizza_sales[[#This Row],[order_date]],"dddd")</f>
        <v>Thursday</v>
      </c>
      <c r="H2299" s="2">
        <v>0.79326388888888888</v>
      </c>
      <c r="I2299">
        <v>10.5</v>
      </c>
      <c r="J2299">
        <v>10.5</v>
      </c>
      <c r="K2299" t="s">
        <v>60</v>
      </c>
      <c r="L2299" t="s">
        <v>13</v>
      </c>
      <c r="M2299" t="s">
        <v>14</v>
      </c>
      <c r="N2299" t="s">
        <v>15</v>
      </c>
    </row>
    <row r="2300" spans="1:14" x14ac:dyDescent="0.25">
      <c r="A2300">
        <v>17792</v>
      </c>
      <c r="B2300">
        <v>7807</v>
      </c>
      <c r="C2300">
        <f>1/COUNTIF(B:B,pizza_sales[[#This Row],[order_id]])</f>
        <v>1</v>
      </c>
      <c r="D2300" t="s">
        <v>44</v>
      </c>
      <c r="E2300">
        <v>1</v>
      </c>
      <c r="F2300" s="1">
        <v>42313</v>
      </c>
      <c r="G2300" s="1" t="str">
        <f>TEXT(pizza_sales[[#This Row],[order_date]],"dddd")</f>
        <v>Thursday</v>
      </c>
      <c r="H2300" s="2">
        <v>0.79807870370370371</v>
      </c>
      <c r="I2300">
        <v>9.75</v>
      </c>
      <c r="J2300">
        <v>9.75</v>
      </c>
      <c r="K2300" t="s">
        <v>60</v>
      </c>
      <c r="L2300" t="s">
        <v>13</v>
      </c>
      <c r="M2300" t="s">
        <v>26</v>
      </c>
      <c r="N2300" t="s">
        <v>27</v>
      </c>
    </row>
    <row r="2301" spans="1:14" x14ac:dyDescent="0.25">
      <c r="A2301">
        <v>17796</v>
      </c>
      <c r="B2301">
        <v>7809</v>
      </c>
      <c r="C2301">
        <f>1/COUNTIF(B:B,pizza_sales[[#This Row],[order_id]])</f>
        <v>1</v>
      </c>
      <c r="D2301" t="s">
        <v>28</v>
      </c>
      <c r="E2301">
        <v>1</v>
      </c>
      <c r="F2301" s="1">
        <v>42313</v>
      </c>
      <c r="G2301" s="1" t="str">
        <f>TEXT(pizza_sales[[#This Row],[order_date]],"dddd")</f>
        <v>Thursday</v>
      </c>
      <c r="H2301" s="2">
        <v>0.80381944444444442</v>
      </c>
      <c r="I2301">
        <v>12</v>
      </c>
      <c r="J2301">
        <v>12</v>
      </c>
      <c r="K2301" t="s">
        <v>60</v>
      </c>
      <c r="L2301" t="s">
        <v>13</v>
      </c>
      <c r="M2301" t="s">
        <v>29</v>
      </c>
      <c r="N2301" t="s">
        <v>30</v>
      </c>
    </row>
    <row r="2302" spans="1:14" x14ac:dyDescent="0.25">
      <c r="A2302">
        <v>17800</v>
      </c>
      <c r="B2302">
        <v>7811</v>
      </c>
      <c r="C2302">
        <f>1/COUNTIF(B:B,pizza_sales[[#This Row],[order_id]])</f>
        <v>1</v>
      </c>
      <c r="D2302" t="s">
        <v>28</v>
      </c>
      <c r="E2302">
        <v>1</v>
      </c>
      <c r="F2302" s="1">
        <v>42313</v>
      </c>
      <c r="G2302" s="1" t="str">
        <f>TEXT(pizza_sales[[#This Row],[order_date]],"dddd")</f>
        <v>Thursday</v>
      </c>
      <c r="H2302" s="2">
        <v>0.81206018518518519</v>
      </c>
      <c r="I2302">
        <v>12</v>
      </c>
      <c r="J2302">
        <v>12</v>
      </c>
      <c r="K2302" t="s">
        <v>60</v>
      </c>
      <c r="L2302" t="s">
        <v>13</v>
      </c>
      <c r="M2302" t="s">
        <v>29</v>
      </c>
      <c r="N2302" t="s">
        <v>30</v>
      </c>
    </row>
    <row r="2303" spans="1:14" x14ac:dyDescent="0.25">
      <c r="A2303">
        <v>17802</v>
      </c>
      <c r="B2303">
        <v>7812</v>
      </c>
      <c r="C2303">
        <f>1/COUNTIF(B:B,pizza_sales[[#This Row],[order_id]])</f>
        <v>0.5</v>
      </c>
      <c r="D2303" t="s">
        <v>28</v>
      </c>
      <c r="E2303">
        <v>1</v>
      </c>
      <c r="F2303" s="1">
        <v>42313</v>
      </c>
      <c r="G2303" s="1" t="str">
        <f>TEXT(pizza_sales[[#This Row],[order_date]],"dddd")</f>
        <v>Thursday</v>
      </c>
      <c r="H2303" s="2">
        <v>0.81568287037037035</v>
      </c>
      <c r="I2303">
        <v>12</v>
      </c>
      <c r="J2303">
        <v>12</v>
      </c>
      <c r="K2303" t="s">
        <v>60</v>
      </c>
      <c r="L2303" t="s">
        <v>13</v>
      </c>
      <c r="M2303" t="s">
        <v>29</v>
      </c>
      <c r="N2303" t="s">
        <v>30</v>
      </c>
    </row>
    <row r="2304" spans="1:14" x14ac:dyDescent="0.25">
      <c r="A2304">
        <v>17803</v>
      </c>
      <c r="B2304">
        <v>7812</v>
      </c>
      <c r="C2304">
        <f>1/COUNTIF(B:B,pizza_sales[[#This Row],[order_id]])</f>
        <v>0.5</v>
      </c>
      <c r="D2304" t="s">
        <v>45</v>
      </c>
      <c r="E2304">
        <v>1</v>
      </c>
      <c r="F2304" s="1">
        <v>42313</v>
      </c>
      <c r="G2304" s="1" t="str">
        <f>TEXT(pizza_sales[[#This Row],[order_date]],"dddd")</f>
        <v>Thursday</v>
      </c>
      <c r="H2304" s="2">
        <v>0.81568287037037035</v>
      </c>
      <c r="I2304">
        <v>10.5</v>
      </c>
      <c r="J2304">
        <v>10.5</v>
      </c>
      <c r="K2304" t="s">
        <v>60</v>
      </c>
      <c r="L2304" t="s">
        <v>13</v>
      </c>
      <c r="M2304" t="s">
        <v>14</v>
      </c>
      <c r="N2304" t="s">
        <v>15</v>
      </c>
    </row>
    <row r="2305" spans="1:14" x14ac:dyDescent="0.25">
      <c r="A2305">
        <v>17807</v>
      </c>
      <c r="B2305">
        <v>7813</v>
      </c>
      <c r="C2305">
        <f>1/COUNTIF(B:B,pizza_sales[[#This Row],[order_id]])</f>
        <v>1</v>
      </c>
      <c r="D2305" t="s">
        <v>42</v>
      </c>
      <c r="E2305">
        <v>1</v>
      </c>
      <c r="F2305" s="1">
        <v>42313</v>
      </c>
      <c r="G2305" s="1" t="str">
        <f>TEXT(pizza_sales[[#This Row],[order_date]],"dddd")</f>
        <v>Thursday</v>
      </c>
      <c r="H2305" s="2">
        <v>0.81821759259259264</v>
      </c>
      <c r="I2305">
        <v>12.5</v>
      </c>
      <c r="J2305">
        <v>12.5</v>
      </c>
      <c r="K2305" t="s">
        <v>59</v>
      </c>
      <c r="L2305" t="s">
        <v>13</v>
      </c>
      <c r="M2305" t="s">
        <v>26</v>
      </c>
      <c r="N2305" t="s">
        <v>27</v>
      </c>
    </row>
    <row r="2306" spans="1:14" x14ac:dyDescent="0.25">
      <c r="A2306">
        <v>17809</v>
      </c>
      <c r="B2306">
        <v>7814</v>
      </c>
      <c r="C2306">
        <f>1/COUNTIF(B:B,pizza_sales[[#This Row],[order_id]])</f>
        <v>1</v>
      </c>
      <c r="D2306" t="s">
        <v>25</v>
      </c>
      <c r="E2306">
        <v>1</v>
      </c>
      <c r="F2306" s="1">
        <v>42313</v>
      </c>
      <c r="G2306" s="1" t="str">
        <f>TEXT(pizza_sales[[#This Row],[order_date]],"dddd")</f>
        <v>Thursday</v>
      </c>
      <c r="H2306" s="2">
        <v>0.82291666666666663</v>
      </c>
      <c r="I2306">
        <v>15.25</v>
      </c>
      <c r="J2306">
        <v>15.25</v>
      </c>
      <c r="K2306" t="s">
        <v>58</v>
      </c>
      <c r="L2306" t="s">
        <v>13</v>
      </c>
      <c r="M2306" t="s">
        <v>26</v>
      </c>
      <c r="N2306" t="s">
        <v>27</v>
      </c>
    </row>
    <row r="2307" spans="1:14" x14ac:dyDescent="0.25">
      <c r="A2307">
        <v>17812</v>
      </c>
      <c r="B2307">
        <v>7815</v>
      </c>
      <c r="C2307">
        <f>1/COUNTIF(B:B,pizza_sales[[#This Row],[order_id]])</f>
        <v>1</v>
      </c>
      <c r="D2307" t="s">
        <v>12</v>
      </c>
      <c r="E2307">
        <v>1</v>
      </c>
      <c r="F2307" s="1">
        <v>42313</v>
      </c>
      <c r="G2307" s="1" t="str">
        <f>TEXT(pizza_sales[[#This Row],[order_date]],"dddd")</f>
        <v>Thursday</v>
      </c>
      <c r="H2307" s="2">
        <v>0.82306712962962958</v>
      </c>
      <c r="I2307">
        <v>13.25</v>
      </c>
      <c r="J2307">
        <v>13.25</v>
      </c>
      <c r="K2307" t="s">
        <v>59</v>
      </c>
      <c r="L2307" t="s">
        <v>13</v>
      </c>
      <c r="M2307" t="s">
        <v>14</v>
      </c>
      <c r="N2307" t="s">
        <v>15</v>
      </c>
    </row>
    <row r="2308" spans="1:14" x14ac:dyDescent="0.25">
      <c r="A2308">
        <v>17819</v>
      </c>
      <c r="B2308">
        <v>7820</v>
      </c>
      <c r="C2308">
        <f>1/COUNTIF(B:B,pizza_sales[[#This Row],[order_id]])</f>
        <v>1</v>
      </c>
      <c r="D2308" t="s">
        <v>49</v>
      </c>
      <c r="E2308">
        <v>1</v>
      </c>
      <c r="F2308" s="1">
        <v>42313</v>
      </c>
      <c r="G2308" s="1" t="str">
        <f>TEXT(pizza_sales[[#This Row],[order_date]],"dddd")</f>
        <v>Thursday</v>
      </c>
      <c r="H2308" s="2">
        <v>0.89406249999999998</v>
      </c>
      <c r="I2308">
        <v>16</v>
      </c>
      <c r="J2308">
        <v>16</v>
      </c>
      <c r="K2308" t="s">
        <v>59</v>
      </c>
      <c r="L2308" t="s">
        <v>13</v>
      </c>
      <c r="M2308" t="s">
        <v>21</v>
      </c>
      <c r="N2308" t="s">
        <v>22</v>
      </c>
    </row>
    <row r="2309" spans="1:14" x14ac:dyDescent="0.25">
      <c r="A2309">
        <v>17820</v>
      </c>
      <c r="B2309">
        <v>7821</v>
      </c>
      <c r="C2309">
        <f>1/COUNTIF(B:B,pizza_sales[[#This Row],[order_id]])</f>
        <v>1</v>
      </c>
      <c r="D2309" t="s">
        <v>34</v>
      </c>
      <c r="E2309">
        <v>1</v>
      </c>
      <c r="F2309" s="1">
        <v>42343</v>
      </c>
      <c r="G2309" s="1" t="str">
        <f>TEXT(pizza_sales[[#This Row],[order_date]],"dddd")</f>
        <v>Saturday</v>
      </c>
      <c r="H2309" s="2">
        <v>0.4849074074074074</v>
      </c>
      <c r="I2309">
        <v>16.25</v>
      </c>
      <c r="J2309">
        <v>16.25</v>
      </c>
      <c r="K2309" t="s">
        <v>59</v>
      </c>
      <c r="L2309" t="s">
        <v>35</v>
      </c>
      <c r="M2309" t="s">
        <v>36</v>
      </c>
      <c r="N2309" t="s">
        <v>37</v>
      </c>
    </row>
    <row r="2310" spans="1:14" x14ac:dyDescent="0.25">
      <c r="A2310">
        <v>17824</v>
      </c>
      <c r="B2310">
        <v>7822</v>
      </c>
      <c r="C2310">
        <f>1/COUNTIF(B:B,pizza_sales[[#This Row],[order_id]])</f>
        <v>0.2</v>
      </c>
      <c r="D2310" t="s">
        <v>45</v>
      </c>
      <c r="E2310">
        <v>1</v>
      </c>
      <c r="F2310" s="1">
        <v>42343</v>
      </c>
      <c r="G2310" s="1" t="str">
        <f>TEXT(pizza_sales[[#This Row],[order_date]],"dddd")</f>
        <v>Saturday</v>
      </c>
      <c r="H2310" s="2">
        <v>0.49390046296296297</v>
      </c>
      <c r="I2310">
        <v>10.5</v>
      </c>
      <c r="J2310">
        <v>10.5</v>
      </c>
      <c r="K2310" t="s">
        <v>60</v>
      </c>
      <c r="L2310" t="s">
        <v>13</v>
      </c>
      <c r="M2310" t="s">
        <v>14</v>
      </c>
      <c r="N2310" t="s">
        <v>15</v>
      </c>
    </row>
    <row r="2311" spans="1:14" x14ac:dyDescent="0.25">
      <c r="A2311">
        <v>17825</v>
      </c>
      <c r="B2311">
        <v>7822</v>
      </c>
      <c r="C2311">
        <f>1/COUNTIF(B:B,pizza_sales[[#This Row],[order_id]])</f>
        <v>0.2</v>
      </c>
      <c r="D2311" t="s">
        <v>31</v>
      </c>
      <c r="E2311">
        <v>1</v>
      </c>
      <c r="F2311" s="1">
        <v>42343</v>
      </c>
      <c r="G2311" s="1" t="str">
        <f>TEXT(pizza_sales[[#This Row],[order_date]],"dddd")</f>
        <v>Saturday</v>
      </c>
      <c r="H2311" s="2">
        <v>0.49390046296296297</v>
      </c>
      <c r="I2311">
        <v>12</v>
      </c>
      <c r="J2311">
        <v>12</v>
      </c>
      <c r="K2311" t="s">
        <v>60</v>
      </c>
      <c r="L2311" t="s">
        <v>13</v>
      </c>
      <c r="M2311" t="s">
        <v>32</v>
      </c>
      <c r="N2311" t="s">
        <v>33</v>
      </c>
    </row>
    <row r="2312" spans="1:14" x14ac:dyDescent="0.25">
      <c r="A2312">
        <v>17826</v>
      </c>
      <c r="B2312">
        <v>7822</v>
      </c>
      <c r="C2312">
        <f>1/COUNTIF(B:B,pizza_sales[[#This Row],[order_id]])</f>
        <v>0.2</v>
      </c>
      <c r="D2312" t="s">
        <v>25</v>
      </c>
      <c r="E2312">
        <v>1</v>
      </c>
      <c r="F2312" s="1">
        <v>42343</v>
      </c>
      <c r="G2312" s="1" t="str">
        <f>TEXT(pizza_sales[[#This Row],[order_date]],"dddd")</f>
        <v>Saturday</v>
      </c>
      <c r="H2312" s="2">
        <v>0.49390046296296297</v>
      </c>
      <c r="I2312">
        <v>15.25</v>
      </c>
      <c r="J2312">
        <v>15.25</v>
      </c>
      <c r="K2312" t="s">
        <v>58</v>
      </c>
      <c r="L2312" t="s">
        <v>13</v>
      </c>
      <c r="M2312" t="s">
        <v>26</v>
      </c>
      <c r="N2312" t="s">
        <v>27</v>
      </c>
    </row>
    <row r="2313" spans="1:14" x14ac:dyDescent="0.25">
      <c r="A2313">
        <v>17827</v>
      </c>
      <c r="B2313">
        <v>7822</v>
      </c>
      <c r="C2313">
        <f>1/COUNTIF(B:B,pizza_sales[[#This Row],[order_id]])</f>
        <v>0.2</v>
      </c>
      <c r="D2313" t="s">
        <v>44</v>
      </c>
      <c r="E2313">
        <v>1</v>
      </c>
      <c r="F2313" s="1">
        <v>42343</v>
      </c>
      <c r="G2313" s="1" t="str">
        <f>TEXT(pizza_sales[[#This Row],[order_date]],"dddd")</f>
        <v>Saturday</v>
      </c>
      <c r="H2313" s="2">
        <v>0.49390046296296297</v>
      </c>
      <c r="I2313">
        <v>9.75</v>
      </c>
      <c r="J2313">
        <v>9.75</v>
      </c>
      <c r="K2313" t="s">
        <v>60</v>
      </c>
      <c r="L2313" t="s">
        <v>13</v>
      </c>
      <c r="M2313" t="s">
        <v>26</v>
      </c>
      <c r="N2313" t="s">
        <v>27</v>
      </c>
    </row>
    <row r="2314" spans="1:14" x14ac:dyDescent="0.25">
      <c r="A2314">
        <v>17831</v>
      </c>
      <c r="B2314">
        <v>7822</v>
      </c>
      <c r="C2314">
        <f>1/COUNTIF(B:B,pizza_sales[[#This Row],[order_id]])</f>
        <v>0.2</v>
      </c>
      <c r="D2314" t="s">
        <v>46</v>
      </c>
      <c r="E2314">
        <v>1</v>
      </c>
      <c r="F2314" s="1">
        <v>42343</v>
      </c>
      <c r="G2314" s="1" t="str">
        <f>TEXT(pizza_sales[[#This Row],[order_date]],"dddd")</f>
        <v>Saturday</v>
      </c>
      <c r="H2314" s="2">
        <v>0.49390046296296297</v>
      </c>
      <c r="I2314">
        <v>25.5</v>
      </c>
      <c r="J2314">
        <v>25.5</v>
      </c>
      <c r="K2314" t="s">
        <v>61</v>
      </c>
      <c r="L2314" t="s">
        <v>13</v>
      </c>
      <c r="M2314" t="s">
        <v>21</v>
      </c>
      <c r="N2314" t="s">
        <v>22</v>
      </c>
    </row>
    <row r="2315" spans="1:14" x14ac:dyDescent="0.25">
      <c r="A2315">
        <v>17834</v>
      </c>
      <c r="B2315">
        <v>7824</v>
      </c>
      <c r="C2315">
        <f>1/COUNTIF(B:B,pizza_sales[[#This Row],[order_id]])</f>
        <v>0.5</v>
      </c>
      <c r="D2315" t="s">
        <v>51</v>
      </c>
      <c r="E2315">
        <v>1</v>
      </c>
      <c r="F2315" s="1">
        <v>42343</v>
      </c>
      <c r="G2315" s="1" t="str">
        <f>TEXT(pizza_sales[[#This Row],[order_date]],"dddd")</f>
        <v>Saturday</v>
      </c>
      <c r="H2315" s="2">
        <v>0.50350694444444444</v>
      </c>
      <c r="I2315">
        <v>23.65</v>
      </c>
      <c r="J2315">
        <v>23.65</v>
      </c>
      <c r="K2315" t="s">
        <v>60</v>
      </c>
      <c r="L2315" t="s">
        <v>35</v>
      </c>
      <c r="M2315" t="s">
        <v>52</v>
      </c>
      <c r="N2315" t="s">
        <v>53</v>
      </c>
    </row>
    <row r="2316" spans="1:14" x14ac:dyDescent="0.25">
      <c r="A2316">
        <v>17836</v>
      </c>
      <c r="B2316">
        <v>7824</v>
      </c>
      <c r="C2316">
        <f>1/COUNTIF(B:B,pizza_sales[[#This Row],[order_id]])</f>
        <v>0.5</v>
      </c>
      <c r="D2316" t="s">
        <v>42</v>
      </c>
      <c r="E2316">
        <v>1</v>
      </c>
      <c r="F2316" s="1">
        <v>42343</v>
      </c>
      <c r="G2316" s="1" t="str">
        <f>TEXT(pizza_sales[[#This Row],[order_date]],"dddd")</f>
        <v>Saturday</v>
      </c>
      <c r="H2316" s="2">
        <v>0.50350694444444444</v>
      </c>
      <c r="I2316">
        <v>12.5</v>
      </c>
      <c r="J2316">
        <v>12.5</v>
      </c>
      <c r="K2316" t="s">
        <v>59</v>
      </c>
      <c r="L2316" t="s">
        <v>13</v>
      </c>
      <c r="M2316" t="s">
        <v>26</v>
      </c>
      <c r="N2316" t="s">
        <v>27</v>
      </c>
    </row>
    <row r="2317" spans="1:14" x14ac:dyDescent="0.25">
      <c r="A2317">
        <v>17839</v>
      </c>
      <c r="B2317">
        <v>7826</v>
      </c>
      <c r="C2317">
        <f>1/COUNTIF(B:B,pizza_sales[[#This Row],[order_id]])</f>
        <v>0.33333333333333331</v>
      </c>
      <c r="D2317" t="s">
        <v>28</v>
      </c>
      <c r="E2317">
        <v>1</v>
      </c>
      <c r="F2317" s="1">
        <v>42343</v>
      </c>
      <c r="G2317" s="1" t="str">
        <f>TEXT(pizza_sales[[#This Row],[order_date]],"dddd")</f>
        <v>Saturday</v>
      </c>
      <c r="H2317" s="2">
        <v>0.51453703703703701</v>
      </c>
      <c r="I2317">
        <v>12</v>
      </c>
      <c r="J2317">
        <v>12</v>
      </c>
      <c r="K2317" t="s">
        <v>60</v>
      </c>
      <c r="L2317" t="s">
        <v>13</v>
      </c>
      <c r="M2317" t="s">
        <v>29</v>
      </c>
      <c r="N2317" t="s">
        <v>30</v>
      </c>
    </row>
    <row r="2318" spans="1:14" x14ac:dyDescent="0.25">
      <c r="A2318">
        <v>17840</v>
      </c>
      <c r="B2318">
        <v>7826</v>
      </c>
      <c r="C2318">
        <f>1/COUNTIF(B:B,pizza_sales[[#This Row],[order_id]])</f>
        <v>0.33333333333333331</v>
      </c>
      <c r="D2318" t="s">
        <v>47</v>
      </c>
      <c r="E2318">
        <v>1</v>
      </c>
      <c r="F2318" s="1">
        <v>42343</v>
      </c>
      <c r="G2318" s="1" t="str">
        <f>TEXT(pizza_sales[[#This Row],[order_date]],"dddd")</f>
        <v>Saturday</v>
      </c>
      <c r="H2318" s="2">
        <v>0.51453703703703701</v>
      </c>
      <c r="I2318">
        <v>16.5</v>
      </c>
      <c r="J2318">
        <v>16.5</v>
      </c>
      <c r="K2318" t="s">
        <v>58</v>
      </c>
      <c r="L2318" t="s">
        <v>13</v>
      </c>
      <c r="M2318" t="s">
        <v>14</v>
      </c>
      <c r="N2318" t="s">
        <v>15</v>
      </c>
    </row>
    <row r="2319" spans="1:14" x14ac:dyDescent="0.25">
      <c r="A2319">
        <v>17841</v>
      </c>
      <c r="B2319">
        <v>7826</v>
      </c>
      <c r="C2319">
        <f>1/COUNTIF(B:B,pizza_sales[[#This Row],[order_id]])</f>
        <v>0.33333333333333331</v>
      </c>
      <c r="D2319" t="s">
        <v>31</v>
      </c>
      <c r="E2319">
        <v>1</v>
      </c>
      <c r="F2319" s="1">
        <v>42343</v>
      </c>
      <c r="G2319" s="1" t="str">
        <f>TEXT(pizza_sales[[#This Row],[order_date]],"dddd")</f>
        <v>Saturday</v>
      </c>
      <c r="H2319" s="2">
        <v>0.51453703703703701</v>
      </c>
      <c r="I2319">
        <v>12</v>
      </c>
      <c r="J2319">
        <v>12</v>
      </c>
      <c r="K2319" t="s">
        <v>60</v>
      </c>
      <c r="L2319" t="s">
        <v>13</v>
      </c>
      <c r="M2319" t="s">
        <v>32</v>
      </c>
      <c r="N2319" t="s">
        <v>33</v>
      </c>
    </row>
    <row r="2320" spans="1:14" x14ac:dyDescent="0.25">
      <c r="A2320">
        <v>17844</v>
      </c>
      <c r="B2320">
        <v>7827</v>
      </c>
      <c r="C2320">
        <f>1/COUNTIF(B:B,pizza_sales[[#This Row],[order_id]])</f>
        <v>1</v>
      </c>
      <c r="D2320" t="s">
        <v>45</v>
      </c>
      <c r="E2320">
        <v>1</v>
      </c>
      <c r="F2320" s="1">
        <v>42343</v>
      </c>
      <c r="G2320" s="1" t="str">
        <f>TEXT(pizza_sales[[#This Row],[order_date]],"dddd")</f>
        <v>Saturday</v>
      </c>
      <c r="H2320" s="2">
        <v>0.51535879629629633</v>
      </c>
      <c r="I2320">
        <v>10.5</v>
      </c>
      <c r="J2320">
        <v>10.5</v>
      </c>
      <c r="K2320" t="s">
        <v>60</v>
      </c>
      <c r="L2320" t="s">
        <v>13</v>
      </c>
      <c r="M2320" t="s">
        <v>14</v>
      </c>
      <c r="N2320" t="s">
        <v>15</v>
      </c>
    </row>
    <row r="2321" spans="1:14" x14ac:dyDescent="0.25">
      <c r="A2321">
        <v>17851</v>
      </c>
      <c r="B2321">
        <v>7829</v>
      </c>
      <c r="C2321">
        <f>1/COUNTIF(B:B,pizza_sales[[#This Row],[order_id]])</f>
        <v>1</v>
      </c>
      <c r="D2321" t="s">
        <v>47</v>
      </c>
      <c r="E2321">
        <v>1</v>
      </c>
      <c r="F2321" s="1">
        <v>42343</v>
      </c>
      <c r="G2321" s="1" t="str">
        <f>TEXT(pizza_sales[[#This Row],[order_date]],"dddd")</f>
        <v>Saturday</v>
      </c>
      <c r="H2321" s="2">
        <v>0.52098379629629632</v>
      </c>
      <c r="I2321">
        <v>16.5</v>
      </c>
      <c r="J2321">
        <v>16.5</v>
      </c>
      <c r="K2321" t="s">
        <v>58</v>
      </c>
      <c r="L2321" t="s">
        <v>13</v>
      </c>
      <c r="M2321" t="s">
        <v>14</v>
      </c>
      <c r="N2321" t="s">
        <v>15</v>
      </c>
    </row>
    <row r="2322" spans="1:14" x14ac:dyDescent="0.25">
      <c r="A2322">
        <v>17854</v>
      </c>
      <c r="B2322">
        <v>7830</v>
      </c>
      <c r="C2322">
        <f>1/COUNTIF(B:B,pizza_sales[[#This Row],[order_id]])</f>
        <v>1</v>
      </c>
      <c r="D2322" t="s">
        <v>50</v>
      </c>
      <c r="E2322">
        <v>1</v>
      </c>
      <c r="F2322" s="1">
        <v>42343</v>
      </c>
      <c r="G2322" s="1" t="str">
        <f>TEXT(pizza_sales[[#This Row],[order_date]],"dddd")</f>
        <v>Saturday</v>
      </c>
      <c r="H2322" s="2">
        <v>0.52751157407407412</v>
      </c>
      <c r="I2322">
        <v>16</v>
      </c>
      <c r="J2322">
        <v>16</v>
      </c>
      <c r="K2322" t="s">
        <v>59</v>
      </c>
      <c r="L2322" t="s">
        <v>13</v>
      </c>
      <c r="M2322" t="s">
        <v>32</v>
      </c>
      <c r="N2322" t="s">
        <v>33</v>
      </c>
    </row>
    <row r="2323" spans="1:14" x14ac:dyDescent="0.25">
      <c r="A2323">
        <v>17857</v>
      </c>
      <c r="B2323">
        <v>7833</v>
      </c>
      <c r="C2323">
        <f>1/COUNTIF(B:B,pizza_sales[[#This Row],[order_id]])</f>
        <v>1</v>
      </c>
      <c r="D2323" t="s">
        <v>28</v>
      </c>
      <c r="E2323">
        <v>1</v>
      </c>
      <c r="F2323" s="1">
        <v>42343</v>
      </c>
      <c r="G2323" s="1" t="str">
        <f>TEXT(pizza_sales[[#This Row],[order_date]],"dddd")</f>
        <v>Saturday</v>
      </c>
      <c r="H2323" s="2">
        <v>0.54935185185185187</v>
      </c>
      <c r="I2323">
        <v>12</v>
      </c>
      <c r="J2323">
        <v>12</v>
      </c>
      <c r="K2323" t="s">
        <v>60</v>
      </c>
      <c r="L2323" t="s">
        <v>13</v>
      </c>
      <c r="M2323" t="s">
        <v>29</v>
      </c>
      <c r="N2323" t="s">
        <v>30</v>
      </c>
    </row>
    <row r="2324" spans="1:14" x14ac:dyDescent="0.25">
      <c r="A2324">
        <v>17858</v>
      </c>
      <c r="B2324">
        <v>7834</v>
      </c>
      <c r="C2324">
        <f>1/COUNTIF(B:B,pizza_sales[[#This Row],[order_id]])</f>
        <v>0.5</v>
      </c>
      <c r="D2324" t="s">
        <v>45</v>
      </c>
      <c r="E2324">
        <v>1</v>
      </c>
      <c r="F2324" s="1">
        <v>42343</v>
      </c>
      <c r="G2324" s="1" t="str">
        <f>TEXT(pizza_sales[[#This Row],[order_date]],"dddd")</f>
        <v>Saturday</v>
      </c>
      <c r="H2324" s="2">
        <v>0.55034722222222221</v>
      </c>
      <c r="I2324">
        <v>10.5</v>
      </c>
      <c r="J2324">
        <v>10.5</v>
      </c>
      <c r="K2324" t="s">
        <v>60</v>
      </c>
      <c r="L2324" t="s">
        <v>13</v>
      </c>
      <c r="M2324" t="s">
        <v>14</v>
      </c>
      <c r="N2324" t="s">
        <v>15</v>
      </c>
    </row>
    <row r="2325" spans="1:14" x14ac:dyDescent="0.25">
      <c r="A2325">
        <v>17859</v>
      </c>
      <c r="B2325">
        <v>7834</v>
      </c>
      <c r="C2325">
        <f>1/COUNTIF(B:B,pizza_sales[[#This Row],[order_id]])</f>
        <v>0.5</v>
      </c>
      <c r="D2325" t="s">
        <v>44</v>
      </c>
      <c r="E2325">
        <v>1</v>
      </c>
      <c r="F2325" s="1">
        <v>42343</v>
      </c>
      <c r="G2325" s="1" t="str">
        <f>TEXT(pizza_sales[[#This Row],[order_date]],"dddd")</f>
        <v>Saturday</v>
      </c>
      <c r="H2325" s="2">
        <v>0.55034722222222221</v>
      </c>
      <c r="I2325">
        <v>9.75</v>
      </c>
      <c r="J2325">
        <v>9.75</v>
      </c>
      <c r="K2325" t="s">
        <v>60</v>
      </c>
      <c r="L2325" t="s">
        <v>13</v>
      </c>
      <c r="M2325" t="s">
        <v>26</v>
      </c>
      <c r="N2325" t="s">
        <v>27</v>
      </c>
    </row>
    <row r="2326" spans="1:14" x14ac:dyDescent="0.25">
      <c r="A2326">
        <v>17864</v>
      </c>
      <c r="B2326">
        <v>7837</v>
      </c>
      <c r="C2326">
        <f>1/COUNTIF(B:B,pizza_sales[[#This Row],[order_id]])</f>
        <v>1</v>
      </c>
      <c r="D2326" t="s">
        <v>25</v>
      </c>
      <c r="E2326">
        <v>1</v>
      </c>
      <c r="F2326" s="1">
        <v>42343</v>
      </c>
      <c r="G2326" s="1" t="str">
        <f>TEXT(pizza_sales[[#This Row],[order_date]],"dddd")</f>
        <v>Saturday</v>
      </c>
      <c r="H2326" s="2">
        <v>0.56587962962962968</v>
      </c>
      <c r="I2326">
        <v>15.25</v>
      </c>
      <c r="J2326">
        <v>15.25</v>
      </c>
      <c r="K2326" t="s">
        <v>58</v>
      </c>
      <c r="L2326" t="s">
        <v>13</v>
      </c>
      <c r="M2326" t="s">
        <v>26</v>
      </c>
      <c r="N2326" t="s">
        <v>27</v>
      </c>
    </row>
    <row r="2327" spans="1:14" x14ac:dyDescent="0.25">
      <c r="A2327">
        <v>17868</v>
      </c>
      <c r="B2327">
        <v>7840</v>
      </c>
      <c r="C2327">
        <f>1/COUNTIF(B:B,pizza_sales[[#This Row],[order_id]])</f>
        <v>1</v>
      </c>
      <c r="D2327" t="s">
        <v>39</v>
      </c>
      <c r="E2327">
        <v>1</v>
      </c>
      <c r="F2327" s="1">
        <v>42343</v>
      </c>
      <c r="G2327" s="1" t="str">
        <f>TEXT(pizza_sales[[#This Row],[order_date]],"dddd")</f>
        <v>Saturday</v>
      </c>
      <c r="H2327" s="2">
        <v>0.5765393518518519</v>
      </c>
      <c r="I2327">
        <v>20.25</v>
      </c>
      <c r="J2327">
        <v>20.25</v>
      </c>
      <c r="K2327" t="s">
        <v>58</v>
      </c>
      <c r="L2327" t="s">
        <v>35</v>
      </c>
      <c r="M2327" t="s">
        <v>40</v>
      </c>
      <c r="N2327" t="s">
        <v>41</v>
      </c>
    </row>
    <row r="2328" spans="1:14" x14ac:dyDescent="0.25">
      <c r="A2328">
        <v>17869</v>
      </c>
      <c r="B2328">
        <v>7841</v>
      </c>
      <c r="C2328">
        <f>1/COUNTIF(B:B,pizza_sales[[#This Row],[order_id]])</f>
        <v>1</v>
      </c>
      <c r="D2328" t="s">
        <v>39</v>
      </c>
      <c r="E2328">
        <v>1</v>
      </c>
      <c r="F2328" s="1">
        <v>42343</v>
      </c>
      <c r="G2328" s="1" t="str">
        <f>TEXT(pizza_sales[[#This Row],[order_date]],"dddd")</f>
        <v>Saturday</v>
      </c>
      <c r="H2328" s="2">
        <v>0.58447916666666666</v>
      </c>
      <c r="I2328">
        <v>20.25</v>
      </c>
      <c r="J2328">
        <v>20.25</v>
      </c>
      <c r="K2328" t="s">
        <v>58</v>
      </c>
      <c r="L2328" t="s">
        <v>35</v>
      </c>
      <c r="M2328" t="s">
        <v>40</v>
      </c>
      <c r="N2328" t="s">
        <v>41</v>
      </c>
    </row>
    <row r="2329" spans="1:14" x14ac:dyDescent="0.25">
      <c r="A2329">
        <v>17873</v>
      </c>
      <c r="B2329">
        <v>7842</v>
      </c>
      <c r="C2329">
        <f>1/COUNTIF(B:B,pizza_sales[[#This Row],[order_id]])</f>
        <v>1</v>
      </c>
      <c r="D2329" t="s">
        <v>44</v>
      </c>
      <c r="E2329">
        <v>1</v>
      </c>
      <c r="F2329" s="1">
        <v>42343</v>
      </c>
      <c r="G2329" s="1" t="str">
        <f>TEXT(pizza_sales[[#This Row],[order_date]],"dddd")</f>
        <v>Saturday</v>
      </c>
      <c r="H2329" s="2">
        <v>0.59236111111111112</v>
      </c>
      <c r="I2329">
        <v>9.75</v>
      </c>
      <c r="J2329">
        <v>9.75</v>
      </c>
      <c r="K2329" t="s">
        <v>60</v>
      </c>
      <c r="L2329" t="s">
        <v>13</v>
      </c>
      <c r="M2329" t="s">
        <v>26</v>
      </c>
      <c r="N2329" t="s">
        <v>27</v>
      </c>
    </row>
    <row r="2330" spans="1:14" x14ac:dyDescent="0.25">
      <c r="A2330">
        <v>17874</v>
      </c>
      <c r="B2330">
        <v>7843</v>
      </c>
      <c r="C2330">
        <f>1/COUNTIF(B:B,pizza_sales[[#This Row],[order_id]])</f>
        <v>1</v>
      </c>
      <c r="D2330" t="s">
        <v>20</v>
      </c>
      <c r="E2330">
        <v>1</v>
      </c>
      <c r="F2330" s="1">
        <v>42343</v>
      </c>
      <c r="G2330" s="1" t="str">
        <f>TEXT(pizza_sales[[#This Row],[order_date]],"dddd")</f>
        <v>Saturday</v>
      </c>
      <c r="H2330" s="2">
        <v>0.62437500000000001</v>
      </c>
      <c r="I2330">
        <v>12</v>
      </c>
      <c r="J2330">
        <v>12</v>
      </c>
      <c r="K2330" t="s">
        <v>60</v>
      </c>
      <c r="L2330" t="s">
        <v>13</v>
      </c>
      <c r="M2330" t="s">
        <v>21</v>
      </c>
      <c r="N2330" t="s">
        <v>22</v>
      </c>
    </row>
    <row r="2331" spans="1:14" x14ac:dyDescent="0.25">
      <c r="A2331">
        <v>17875</v>
      </c>
      <c r="B2331">
        <v>7844</v>
      </c>
      <c r="C2331">
        <f>1/COUNTIF(B:B,pizza_sales[[#This Row],[order_id]])</f>
        <v>0.25</v>
      </c>
      <c r="D2331" t="s">
        <v>28</v>
      </c>
      <c r="E2331">
        <v>1</v>
      </c>
      <c r="F2331" s="1">
        <v>42343</v>
      </c>
      <c r="G2331" s="1" t="str">
        <f>TEXT(pizza_sales[[#This Row],[order_date]],"dddd")</f>
        <v>Saturday</v>
      </c>
      <c r="H2331" s="2">
        <v>0.62460648148148146</v>
      </c>
      <c r="I2331">
        <v>12</v>
      </c>
      <c r="J2331">
        <v>12</v>
      </c>
      <c r="K2331" t="s">
        <v>60</v>
      </c>
      <c r="L2331" t="s">
        <v>13</v>
      </c>
      <c r="M2331" t="s">
        <v>29</v>
      </c>
      <c r="N2331" t="s">
        <v>30</v>
      </c>
    </row>
    <row r="2332" spans="1:14" x14ac:dyDescent="0.25">
      <c r="A2332">
        <v>17880</v>
      </c>
      <c r="B2332">
        <v>7844</v>
      </c>
      <c r="C2332">
        <f>1/COUNTIF(B:B,pizza_sales[[#This Row],[order_id]])</f>
        <v>0.25</v>
      </c>
      <c r="D2332" t="s">
        <v>50</v>
      </c>
      <c r="E2332">
        <v>2</v>
      </c>
      <c r="F2332" s="1">
        <v>42343</v>
      </c>
      <c r="G2332" s="1" t="str">
        <f>TEXT(pizza_sales[[#This Row],[order_date]],"dddd")</f>
        <v>Saturday</v>
      </c>
      <c r="H2332" s="2">
        <v>0.62460648148148146</v>
      </c>
      <c r="I2332">
        <v>16</v>
      </c>
      <c r="J2332">
        <v>32</v>
      </c>
      <c r="K2332" t="s">
        <v>59</v>
      </c>
      <c r="L2332" t="s">
        <v>13</v>
      </c>
      <c r="M2332" t="s">
        <v>32</v>
      </c>
      <c r="N2332" t="s">
        <v>33</v>
      </c>
    </row>
    <row r="2333" spans="1:14" x14ac:dyDescent="0.25">
      <c r="A2333">
        <v>17882</v>
      </c>
      <c r="B2333">
        <v>7844</v>
      </c>
      <c r="C2333">
        <f>1/COUNTIF(B:B,pizza_sales[[#This Row],[order_id]])</f>
        <v>0.25</v>
      </c>
      <c r="D2333" t="s">
        <v>43</v>
      </c>
      <c r="E2333">
        <v>1</v>
      </c>
      <c r="F2333" s="1">
        <v>42343</v>
      </c>
      <c r="G2333" s="1" t="str">
        <f>TEXT(pizza_sales[[#This Row],[order_date]],"dddd")</f>
        <v>Saturday</v>
      </c>
      <c r="H2333" s="2">
        <v>0.62460648148148146</v>
      </c>
      <c r="I2333">
        <v>16.25</v>
      </c>
      <c r="J2333">
        <v>16.25</v>
      </c>
      <c r="K2333" t="s">
        <v>59</v>
      </c>
      <c r="L2333" t="s">
        <v>35</v>
      </c>
      <c r="M2333" t="s">
        <v>40</v>
      </c>
      <c r="N2333" t="s">
        <v>41</v>
      </c>
    </row>
    <row r="2334" spans="1:14" x14ac:dyDescent="0.25">
      <c r="A2334">
        <v>17885</v>
      </c>
      <c r="B2334">
        <v>7844</v>
      </c>
      <c r="C2334">
        <f>1/COUNTIF(B:B,pizza_sales[[#This Row],[order_id]])</f>
        <v>0.25</v>
      </c>
      <c r="D2334" t="s">
        <v>46</v>
      </c>
      <c r="E2334">
        <v>1</v>
      </c>
      <c r="F2334" s="1">
        <v>42343</v>
      </c>
      <c r="G2334" s="1" t="str">
        <f>TEXT(pizza_sales[[#This Row],[order_date]],"dddd")</f>
        <v>Saturday</v>
      </c>
      <c r="H2334" s="2">
        <v>0.62460648148148146</v>
      </c>
      <c r="I2334">
        <v>25.5</v>
      </c>
      <c r="J2334">
        <v>25.5</v>
      </c>
      <c r="K2334" t="s">
        <v>61</v>
      </c>
      <c r="L2334" t="s">
        <v>13</v>
      </c>
      <c r="M2334" t="s">
        <v>21</v>
      </c>
      <c r="N2334" t="s">
        <v>22</v>
      </c>
    </row>
    <row r="2335" spans="1:14" x14ac:dyDescent="0.25">
      <c r="A2335">
        <v>17887</v>
      </c>
      <c r="B2335">
        <v>7845</v>
      </c>
      <c r="C2335">
        <f>1/COUNTIF(B:B,pizza_sales[[#This Row],[order_id]])</f>
        <v>1</v>
      </c>
      <c r="D2335" t="s">
        <v>28</v>
      </c>
      <c r="E2335">
        <v>1</v>
      </c>
      <c r="F2335" s="1">
        <v>42343</v>
      </c>
      <c r="G2335" s="1" t="str">
        <f>TEXT(pizza_sales[[#This Row],[order_date]],"dddd")</f>
        <v>Saturday</v>
      </c>
      <c r="H2335" s="2">
        <v>0.6255208333333333</v>
      </c>
      <c r="I2335">
        <v>12</v>
      </c>
      <c r="J2335">
        <v>12</v>
      </c>
      <c r="K2335" t="s">
        <v>60</v>
      </c>
      <c r="L2335" t="s">
        <v>13</v>
      </c>
      <c r="M2335" t="s">
        <v>29</v>
      </c>
      <c r="N2335" t="s">
        <v>30</v>
      </c>
    </row>
    <row r="2336" spans="1:14" x14ac:dyDescent="0.25">
      <c r="A2336">
        <v>17892</v>
      </c>
      <c r="B2336">
        <v>7846</v>
      </c>
      <c r="C2336">
        <f>1/COUNTIF(B:B,pizza_sales[[#This Row],[order_id]])</f>
        <v>1</v>
      </c>
      <c r="D2336" t="s">
        <v>46</v>
      </c>
      <c r="E2336">
        <v>1</v>
      </c>
      <c r="F2336" s="1">
        <v>42343</v>
      </c>
      <c r="G2336" s="1" t="str">
        <f>TEXT(pizza_sales[[#This Row],[order_date]],"dddd")</f>
        <v>Saturday</v>
      </c>
      <c r="H2336" s="2">
        <v>0.64849537037037042</v>
      </c>
      <c r="I2336">
        <v>25.5</v>
      </c>
      <c r="J2336">
        <v>25.5</v>
      </c>
      <c r="K2336" t="s">
        <v>61</v>
      </c>
      <c r="L2336" t="s">
        <v>13</v>
      </c>
      <c r="M2336" t="s">
        <v>21</v>
      </c>
      <c r="N2336" t="s">
        <v>22</v>
      </c>
    </row>
    <row r="2337" spans="1:14" x14ac:dyDescent="0.25">
      <c r="A2337">
        <v>17896</v>
      </c>
      <c r="B2337">
        <v>7849</v>
      </c>
      <c r="C2337">
        <f>1/COUNTIF(B:B,pizza_sales[[#This Row],[order_id]])</f>
        <v>1</v>
      </c>
      <c r="D2337" t="s">
        <v>42</v>
      </c>
      <c r="E2337">
        <v>1</v>
      </c>
      <c r="F2337" s="1">
        <v>42343</v>
      </c>
      <c r="G2337" s="1" t="str">
        <f>TEXT(pizza_sales[[#This Row],[order_date]],"dddd")</f>
        <v>Saturday</v>
      </c>
      <c r="H2337" s="2">
        <v>0.67024305555555552</v>
      </c>
      <c r="I2337">
        <v>12.5</v>
      </c>
      <c r="J2337">
        <v>12.5</v>
      </c>
      <c r="K2337" t="s">
        <v>59</v>
      </c>
      <c r="L2337" t="s">
        <v>13</v>
      </c>
      <c r="M2337" t="s">
        <v>26</v>
      </c>
      <c r="N2337" t="s">
        <v>27</v>
      </c>
    </row>
    <row r="2338" spans="1:14" x14ac:dyDescent="0.25">
      <c r="A2338">
        <v>17899</v>
      </c>
      <c r="B2338">
        <v>7851</v>
      </c>
      <c r="C2338">
        <f>1/COUNTIF(B:B,pizza_sales[[#This Row],[order_id]])</f>
        <v>1</v>
      </c>
      <c r="D2338" t="s">
        <v>39</v>
      </c>
      <c r="E2338">
        <v>1</v>
      </c>
      <c r="F2338" s="1">
        <v>42343</v>
      </c>
      <c r="G2338" s="1" t="str">
        <f>TEXT(pizza_sales[[#This Row],[order_date]],"dddd")</f>
        <v>Saturday</v>
      </c>
      <c r="H2338" s="2">
        <v>0.67666666666666664</v>
      </c>
      <c r="I2338">
        <v>20.25</v>
      </c>
      <c r="J2338">
        <v>20.25</v>
      </c>
      <c r="K2338" t="s">
        <v>58</v>
      </c>
      <c r="L2338" t="s">
        <v>35</v>
      </c>
      <c r="M2338" t="s">
        <v>40</v>
      </c>
      <c r="N2338" t="s">
        <v>41</v>
      </c>
    </row>
    <row r="2339" spans="1:14" x14ac:dyDescent="0.25">
      <c r="A2339">
        <v>17905</v>
      </c>
      <c r="B2339">
        <v>7855</v>
      </c>
      <c r="C2339">
        <f>1/COUNTIF(B:B,pizza_sales[[#This Row],[order_id]])</f>
        <v>1</v>
      </c>
      <c r="D2339" t="s">
        <v>42</v>
      </c>
      <c r="E2339">
        <v>1</v>
      </c>
      <c r="F2339" s="1">
        <v>42343</v>
      </c>
      <c r="G2339" s="1" t="str">
        <f>TEXT(pizza_sales[[#This Row],[order_date]],"dddd")</f>
        <v>Saturday</v>
      </c>
      <c r="H2339" s="2">
        <v>0.70736111111111111</v>
      </c>
      <c r="I2339">
        <v>12.5</v>
      </c>
      <c r="J2339">
        <v>12.5</v>
      </c>
      <c r="K2339" t="s">
        <v>59</v>
      </c>
      <c r="L2339" t="s">
        <v>13</v>
      </c>
      <c r="M2339" t="s">
        <v>26</v>
      </c>
      <c r="N2339" t="s">
        <v>27</v>
      </c>
    </row>
    <row r="2340" spans="1:14" x14ac:dyDescent="0.25">
      <c r="A2340">
        <v>17906</v>
      </c>
      <c r="B2340">
        <v>7856</v>
      </c>
      <c r="C2340">
        <f>1/COUNTIF(B:B,pizza_sales[[#This Row],[order_id]])</f>
        <v>0.5</v>
      </c>
      <c r="D2340" t="s">
        <v>25</v>
      </c>
      <c r="E2340">
        <v>1</v>
      </c>
      <c r="F2340" s="1">
        <v>42343</v>
      </c>
      <c r="G2340" s="1" t="str">
        <f>TEXT(pizza_sales[[#This Row],[order_date]],"dddd")</f>
        <v>Saturday</v>
      </c>
      <c r="H2340" s="2">
        <v>0.7093518518518519</v>
      </c>
      <c r="I2340">
        <v>15.25</v>
      </c>
      <c r="J2340">
        <v>15.25</v>
      </c>
      <c r="K2340" t="s">
        <v>58</v>
      </c>
      <c r="L2340" t="s">
        <v>13</v>
      </c>
      <c r="M2340" t="s">
        <v>26</v>
      </c>
      <c r="N2340" t="s">
        <v>27</v>
      </c>
    </row>
    <row r="2341" spans="1:14" x14ac:dyDescent="0.25">
      <c r="A2341">
        <v>17907</v>
      </c>
      <c r="B2341">
        <v>7856</v>
      </c>
      <c r="C2341">
        <f>1/COUNTIF(B:B,pizza_sales[[#This Row],[order_id]])</f>
        <v>0.5</v>
      </c>
      <c r="D2341" t="s">
        <v>42</v>
      </c>
      <c r="E2341">
        <v>1</v>
      </c>
      <c r="F2341" s="1">
        <v>42343</v>
      </c>
      <c r="G2341" s="1" t="str">
        <f>TEXT(pizza_sales[[#This Row],[order_date]],"dddd")</f>
        <v>Saturday</v>
      </c>
      <c r="H2341" s="2">
        <v>0.7093518518518519</v>
      </c>
      <c r="I2341">
        <v>12.5</v>
      </c>
      <c r="J2341">
        <v>12.5</v>
      </c>
      <c r="K2341" t="s">
        <v>59</v>
      </c>
      <c r="L2341" t="s">
        <v>13</v>
      </c>
      <c r="M2341" t="s">
        <v>26</v>
      </c>
      <c r="N2341" t="s">
        <v>27</v>
      </c>
    </row>
    <row r="2342" spans="1:14" x14ac:dyDescent="0.25">
      <c r="A2342">
        <v>17913</v>
      </c>
      <c r="B2342">
        <v>7858</v>
      </c>
      <c r="C2342">
        <f>1/COUNTIF(B:B,pizza_sales[[#This Row],[order_id]])</f>
        <v>1</v>
      </c>
      <c r="D2342" t="s">
        <v>55</v>
      </c>
      <c r="E2342">
        <v>1</v>
      </c>
      <c r="F2342" s="1">
        <v>42343</v>
      </c>
      <c r="G2342" s="1" t="str">
        <f>TEXT(pizza_sales[[#This Row],[order_date]],"dddd")</f>
        <v>Saturday</v>
      </c>
      <c r="H2342" s="2">
        <v>0.71621527777777783</v>
      </c>
      <c r="I2342">
        <v>20.5</v>
      </c>
      <c r="J2342">
        <v>20.5</v>
      </c>
      <c r="K2342" t="s">
        <v>58</v>
      </c>
      <c r="L2342" t="s">
        <v>13</v>
      </c>
      <c r="M2342" t="s">
        <v>21</v>
      </c>
      <c r="N2342" t="s">
        <v>22</v>
      </c>
    </row>
    <row r="2343" spans="1:14" x14ac:dyDescent="0.25">
      <c r="A2343">
        <v>17914</v>
      </c>
      <c r="B2343">
        <v>7859</v>
      </c>
      <c r="C2343">
        <f>1/COUNTIF(B:B,pizza_sales[[#This Row],[order_id]])</f>
        <v>1</v>
      </c>
      <c r="D2343" t="s">
        <v>48</v>
      </c>
      <c r="E2343">
        <v>1</v>
      </c>
      <c r="F2343" s="1">
        <v>42343</v>
      </c>
      <c r="G2343" s="1" t="str">
        <f>TEXT(pizza_sales[[#This Row],[order_date]],"dddd")</f>
        <v>Saturday</v>
      </c>
      <c r="H2343" s="2">
        <v>0.72456018518518517</v>
      </c>
      <c r="I2343">
        <v>12.25</v>
      </c>
      <c r="J2343">
        <v>12.25</v>
      </c>
      <c r="K2343" t="s">
        <v>60</v>
      </c>
      <c r="L2343" t="s">
        <v>35</v>
      </c>
      <c r="M2343" t="s">
        <v>40</v>
      </c>
      <c r="N2343" t="s">
        <v>41</v>
      </c>
    </row>
    <row r="2344" spans="1:14" x14ac:dyDescent="0.25">
      <c r="A2344">
        <v>17915</v>
      </c>
      <c r="B2344">
        <v>7860</v>
      </c>
      <c r="C2344">
        <f>1/COUNTIF(B:B,pizza_sales[[#This Row],[order_id]])</f>
        <v>0.33333333333333331</v>
      </c>
      <c r="D2344" t="s">
        <v>54</v>
      </c>
      <c r="E2344">
        <v>1</v>
      </c>
      <c r="F2344" s="1">
        <v>42343</v>
      </c>
      <c r="G2344" s="1" t="str">
        <f>TEXT(pizza_sales[[#This Row],[order_date]],"dddd")</f>
        <v>Saturday</v>
      </c>
      <c r="H2344" s="2">
        <v>0.72606481481481477</v>
      </c>
      <c r="I2344">
        <v>12.25</v>
      </c>
      <c r="J2344">
        <v>12.25</v>
      </c>
      <c r="K2344" t="s">
        <v>60</v>
      </c>
      <c r="L2344" t="s">
        <v>35</v>
      </c>
      <c r="M2344" t="s">
        <v>36</v>
      </c>
      <c r="N2344" t="s">
        <v>37</v>
      </c>
    </row>
    <row r="2345" spans="1:14" x14ac:dyDescent="0.25">
      <c r="A2345">
        <v>17917</v>
      </c>
      <c r="B2345">
        <v>7860</v>
      </c>
      <c r="C2345">
        <f>1/COUNTIF(B:B,pizza_sales[[#This Row],[order_id]])</f>
        <v>0.33333333333333331</v>
      </c>
      <c r="D2345" t="s">
        <v>24</v>
      </c>
      <c r="E2345">
        <v>1</v>
      </c>
      <c r="F2345" s="1">
        <v>42343</v>
      </c>
      <c r="G2345" s="1" t="str">
        <f>TEXT(pizza_sales[[#This Row],[order_date]],"dddd")</f>
        <v>Saturday</v>
      </c>
      <c r="H2345" s="2">
        <v>0.72606481481481477</v>
      </c>
      <c r="I2345">
        <v>20.25</v>
      </c>
      <c r="J2345">
        <v>20.25</v>
      </c>
      <c r="K2345" t="s">
        <v>58</v>
      </c>
      <c r="L2345" t="s">
        <v>17</v>
      </c>
      <c r="M2345" t="s">
        <v>18</v>
      </c>
      <c r="N2345" t="s">
        <v>19</v>
      </c>
    </row>
    <row r="2346" spans="1:14" x14ac:dyDescent="0.25">
      <c r="A2346">
        <v>17918</v>
      </c>
      <c r="B2346">
        <v>7860</v>
      </c>
      <c r="C2346">
        <f>1/COUNTIF(B:B,pizza_sales[[#This Row],[order_id]])</f>
        <v>0.33333333333333331</v>
      </c>
      <c r="D2346" t="s">
        <v>49</v>
      </c>
      <c r="E2346">
        <v>1</v>
      </c>
      <c r="F2346" s="1">
        <v>42343</v>
      </c>
      <c r="G2346" s="1" t="str">
        <f>TEXT(pizza_sales[[#This Row],[order_date]],"dddd")</f>
        <v>Saturday</v>
      </c>
      <c r="H2346" s="2">
        <v>0.72606481481481477</v>
      </c>
      <c r="I2346">
        <v>16</v>
      </c>
      <c r="J2346">
        <v>16</v>
      </c>
      <c r="K2346" t="s">
        <v>59</v>
      </c>
      <c r="L2346" t="s">
        <v>13</v>
      </c>
      <c r="M2346" t="s">
        <v>21</v>
      </c>
      <c r="N2346" t="s">
        <v>22</v>
      </c>
    </row>
    <row r="2347" spans="1:14" x14ac:dyDescent="0.25">
      <c r="A2347">
        <v>17919</v>
      </c>
      <c r="B2347">
        <v>7861</v>
      </c>
      <c r="C2347">
        <f>1/COUNTIF(B:B,pizza_sales[[#This Row],[order_id]])</f>
        <v>1</v>
      </c>
      <c r="D2347" t="s">
        <v>51</v>
      </c>
      <c r="E2347">
        <v>1</v>
      </c>
      <c r="F2347" s="1">
        <v>42343</v>
      </c>
      <c r="G2347" s="1" t="str">
        <f>TEXT(pizza_sales[[#This Row],[order_date]],"dddd")</f>
        <v>Saturday</v>
      </c>
      <c r="H2347" s="2">
        <v>0.72666666666666668</v>
      </c>
      <c r="I2347">
        <v>23.65</v>
      </c>
      <c r="J2347">
        <v>23.65</v>
      </c>
      <c r="K2347" t="s">
        <v>60</v>
      </c>
      <c r="L2347" t="s">
        <v>35</v>
      </c>
      <c r="M2347" t="s">
        <v>52</v>
      </c>
      <c r="N2347" t="s">
        <v>53</v>
      </c>
    </row>
    <row r="2348" spans="1:14" x14ac:dyDescent="0.25">
      <c r="A2348">
        <v>17921</v>
      </c>
      <c r="B2348">
        <v>7862</v>
      </c>
      <c r="C2348">
        <f>1/COUNTIF(B:B,pizza_sales[[#This Row],[order_id]])</f>
        <v>1</v>
      </c>
      <c r="D2348" t="s">
        <v>54</v>
      </c>
      <c r="E2348">
        <v>1</v>
      </c>
      <c r="F2348" s="1">
        <v>42343</v>
      </c>
      <c r="G2348" s="1" t="str">
        <f>TEXT(pizza_sales[[#This Row],[order_date]],"dddd")</f>
        <v>Saturday</v>
      </c>
      <c r="H2348" s="2">
        <v>0.73175925925925922</v>
      </c>
      <c r="I2348">
        <v>12.25</v>
      </c>
      <c r="J2348">
        <v>12.25</v>
      </c>
      <c r="K2348" t="s">
        <v>60</v>
      </c>
      <c r="L2348" t="s">
        <v>35</v>
      </c>
      <c r="M2348" t="s">
        <v>36</v>
      </c>
      <c r="N2348" t="s">
        <v>37</v>
      </c>
    </row>
    <row r="2349" spans="1:14" x14ac:dyDescent="0.25">
      <c r="A2349">
        <v>17924</v>
      </c>
      <c r="B2349">
        <v>7863</v>
      </c>
      <c r="C2349">
        <f>1/COUNTIF(B:B,pizza_sales[[#This Row],[order_id]])</f>
        <v>1</v>
      </c>
      <c r="D2349" t="s">
        <v>44</v>
      </c>
      <c r="E2349">
        <v>1</v>
      </c>
      <c r="F2349" s="1">
        <v>42343</v>
      </c>
      <c r="G2349" s="1" t="str">
        <f>TEXT(pizza_sales[[#This Row],[order_date]],"dddd")</f>
        <v>Saturday</v>
      </c>
      <c r="H2349" s="2">
        <v>0.74047453703703703</v>
      </c>
      <c r="I2349">
        <v>9.75</v>
      </c>
      <c r="J2349">
        <v>9.75</v>
      </c>
      <c r="K2349" t="s">
        <v>60</v>
      </c>
      <c r="L2349" t="s">
        <v>13</v>
      </c>
      <c r="M2349" t="s">
        <v>26</v>
      </c>
      <c r="N2349" t="s">
        <v>27</v>
      </c>
    </row>
    <row r="2350" spans="1:14" x14ac:dyDescent="0.25">
      <c r="A2350">
        <v>17925</v>
      </c>
      <c r="B2350">
        <v>7864</v>
      </c>
      <c r="C2350">
        <f>1/COUNTIF(B:B,pizza_sales[[#This Row],[order_id]])</f>
        <v>1</v>
      </c>
      <c r="D2350" t="s">
        <v>44</v>
      </c>
      <c r="E2350">
        <v>1</v>
      </c>
      <c r="F2350" s="1">
        <v>42343</v>
      </c>
      <c r="G2350" s="1" t="str">
        <f>TEXT(pizza_sales[[#This Row],[order_date]],"dddd")</f>
        <v>Saturday</v>
      </c>
      <c r="H2350" s="2">
        <v>0.76491898148148152</v>
      </c>
      <c r="I2350">
        <v>9.75</v>
      </c>
      <c r="J2350">
        <v>9.75</v>
      </c>
      <c r="K2350" t="s">
        <v>60</v>
      </c>
      <c r="L2350" t="s">
        <v>13</v>
      </c>
      <c r="M2350" t="s">
        <v>26</v>
      </c>
      <c r="N2350" t="s">
        <v>27</v>
      </c>
    </row>
    <row r="2351" spans="1:14" x14ac:dyDescent="0.25">
      <c r="A2351">
        <v>17928</v>
      </c>
      <c r="B2351">
        <v>7865</v>
      </c>
      <c r="C2351">
        <f>1/COUNTIF(B:B,pizza_sales[[#This Row],[order_id]])</f>
        <v>1</v>
      </c>
      <c r="D2351" t="s">
        <v>47</v>
      </c>
      <c r="E2351">
        <v>1</v>
      </c>
      <c r="F2351" s="1">
        <v>42343</v>
      </c>
      <c r="G2351" s="1" t="str">
        <f>TEXT(pizza_sales[[#This Row],[order_date]],"dddd")</f>
        <v>Saturday</v>
      </c>
      <c r="H2351" s="2">
        <v>0.76509259259259255</v>
      </c>
      <c r="I2351">
        <v>16.5</v>
      </c>
      <c r="J2351">
        <v>16.5</v>
      </c>
      <c r="K2351" t="s">
        <v>58</v>
      </c>
      <c r="L2351" t="s">
        <v>13</v>
      </c>
      <c r="M2351" t="s">
        <v>14</v>
      </c>
      <c r="N2351" t="s">
        <v>15</v>
      </c>
    </row>
    <row r="2352" spans="1:14" x14ac:dyDescent="0.25">
      <c r="A2352">
        <v>17939</v>
      </c>
      <c r="B2352">
        <v>7871</v>
      </c>
      <c r="C2352">
        <f>1/COUNTIF(B:B,pizza_sales[[#This Row],[order_id]])</f>
        <v>1</v>
      </c>
      <c r="D2352" t="s">
        <v>43</v>
      </c>
      <c r="E2352">
        <v>1</v>
      </c>
      <c r="F2352" s="1">
        <v>42343</v>
      </c>
      <c r="G2352" s="1" t="str">
        <f>TEXT(pizza_sales[[#This Row],[order_date]],"dddd")</f>
        <v>Saturday</v>
      </c>
      <c r="H2352" s="2">
        <v>0.81171296296296291</v>
      </c>
      <c r="I2352">
        <v>16.25</v>
      </c>
      <c r="J2352">
        <v>16.25</v>
      </c>
      <c r="K2352" t="s">
        <v>59</v>
      </c>
      <c r="L2352" t="s">
        <v>35</v>
      </c>
      <c r="M2352" t="s">
        <v>40</v>
      </c>
      <c r="N2352" t="s">
        <v>41</v>
      </c>
    </row>
    <row r="2353" spans="1:14" x14ac:dyDescent="0.25">
      <c r="A2353">
        <v>17954</v>
      </c>
      <c r="B2353">
        <v>7878</v>
      </c>
      <c r="C2353">
        <f>1/COUNTIF(B:B,pizza_sales[[#This Row],[order_id]])</f>
        <v>1</v>
      </c>
      <c r="D2353" t="s">
        <v>24</v>
      </c>
      <c r="E2353">
        <v>1</v>
      </c>
      <c r="F2353" s="1">
        <v>42343</v>
      </c>
      <c r="G2353" s="1" t="str">
        <f>TEXT(pizza_sales[[#This Row],[order_date]],"dddd")</f>
        <v>Saturday</v>
      </c>
      <c r="H2353" s="2">
        <v>0.87624999999999997</v>
      </c>
      <c r="I2353">
        <v>20.25</v>
      </c>
      <c r="J2353">
        <v>20.25</v>
      </c>
      <c r="K2353" t="s">
        <v>58</v>
      </c>
      <c r="L2353" t="s">
        <v>17</v>
      </c>
      <c r="M2353" t="s">
        <v>18</v>
      </c>
      <c r="N2353" t="s">
        <v>19</v>
      </c>
    </row>
    <row r="2354" spans="1:14" x14ac:dyDescent="0.25">
      <c r="A2354">
        <v>17955</v>
      </c>
      <c r="B2354">
        <v>7879</v>
      </c>
      <c r="C2354">
        <f>1/COUNTIF(B:B,pizza_sales[[#This Row],[order_id]])</f>
        <v>1</v>
      </c>
      <c r="D2354" t="s">
        <v>20</v>
      </c>
      <c r="E2354">
        <v>1</v>
      </c>
      <c r="F2354" s="1">
        <v>42343</v>
      </c>
      <c r="G2354" s="1" t="str">
        <f>TEXT(pizza_sales[[#This Row],[order_date]],"dddd")</f>
        <v>Saturday</v>
      </c>
      <c r="H2354" s="2">
        <v>0.88991898148148152</v>
      </c>
      <c r="I2354">
        <v>12</v>
      </c>
      <c r="J2354">
        <v>12</v>
      </c>
      <c r="K2354" t="s">
        <v>60</v>
      </c>
      <c r="L2354" t="s">
        <v>13</v>
      </c>
      <c r="M2354" t="s">
        <v>21</v>
      </c>
      <c r="N2354" t="s">
        <v>22</v>
      </c>
    </row>
    <row r="2355" spans="1:14" x14ac:dyDescent="0.25">
      <c r="A2355">
        <v>17956</v>
      </c>
      <c r="B2355">
        <v>7880</v>
      </c>
      <c r="C2355">
        <f>1/COUNTIF(B:B,pizza_sales[[#This Row],[order_id]])</f>
        <v>1</v>
      </c>
      <c r="D2355" t="s">
        <v>55</v>
      </c>
      <c r="E2355">
        <v>1</v>
      </c>
      <c r="F2355" s="1">
        <v>42343</v>
      </c>
      <c r="G2355" s="1" t="str">
        <f>TEXT(pizza_sales[[#This Row],[order_date]],"dddd")</f>
        <v>Saturday</v>
      </c>
      <c r="H2355" s="2">
        <v>0.89585648148148145</v>
      </c>
      <c r="I2355">
        <v>20.5</v>
      </c>
      <c r="J2355">
        <v>20.5</v>
      </c>
      <c r="K2355" t="s">
        <v>58</v>
      </c>
      <c r="L2355" t="s">
        <v>13</v>
      </c>
      <c r="M2355" t="s">
        <v>21</v>
      </c>
      <c r="N2355" t="s">
        <v>22</v>
      </c>
    </row>
    <row r="2356" spans="1:14" x14ac:dyDescent="0.25">
      <c r="A2356">
        <v>17959</v>
      </c>
      <c r="B2356">
        <v>7882</v>
      </c>
      <c r="C2356">
        <f>1/COUNTIF(B:B,pizza_sales[[#This Row],[order_id]])</f>
        <v>1</v>
      </c>
      <c r="D2356" t="s">
        <v>38</v>
      </c>
      <c r="E2356">
        <v>1</v>
      </c>
      <c r="F2356" s="1">
        <v>42343</v>
      </c>
      <c r="G2356" s="1" t="str">
        <f>TEXT(pizza_sales[[#This Row],[order_date]],"dddd")</f>
        <v>Saturday</v>
      </c>
      <c r="H2356" s="2">
        <v>0.92781250000000004</v>
      </c>
      <c r="I2356">
        <v>20.5</v>
      </c>
      <c r="J2356">
        <v>20.5</v>
      </c>
      <c r="K2356" t="s">
        <v>58</v>
      </c>
      <c r="L2356" t="s">
        <v>13</v>
      </c>
      <c r="M2356" t="s">
        <v>32</v>
      </c>
      <c r="N2356" t="s">
        <v>33</v>
      </c>
    </row>
    <row r="2357" spans="1:14" x14ac:dyDescent="0.25">
      <c r="A2357">
        <v>20545</v>
      </c>
      <c r="B2357">
        <v>9026</v>
      </c>
      <c r="C2357">
        <f>1/COUNTIF(B:B,pizza_sales[[#This Row],[order_id]])</f>
        <v>1</v>
      </c>
      <c r="D2357" t="s">
        <v>44</v>
      </c>
      <c r="E2357">
        <v>1</v>
      </c>
      <c r="F2357" s="1">
        <v>42010</v>
      </c>
      <c r="G2357" s="1" t="str">
        <f>TEXT(pizza_sales[[#This Row],[order_date]],"dddd")</f>
        <v>Tuesday</v>
      </c>
      <c r="H2357" s="2">
        <v>0.4785300925925926</v>
      </c>
      <c r="I2357">
        <v>9.75</v>
      </c>
      <c r="J2357">
        <v>9.75</v>
      </c>
      <c r="K2357" t="s">
        <v>60</v>
      </c>
      <c r="L2357" t="s">
        <v>13</v>
      </c>
      <c r="M2357" t="s">
        <v>26</v>
      </c>
      <c r="N2357" t="s">
        <v>27</v>
      </c>
    </row>
    <row r="2358" spans="1:14" x14ac:dyDescent="0.25">
      <c r="A2358">
        <v>20546</v>
      </c>
      <c r="B2358">
        <v>9027</v>
      </c>
      <c r="C2358">
        <f>1/COUNTIF(B:B,pizza_sales[[#This Row],[order_id]])</f>
        <v>1</v>
      </c>
      <c r="D2358" t="s">
        <v>56</v>
      </c>
      <c r="E2358">
        <v>1</v>
      </c>
      <c r="F2358" s="1">
        <v>42010</v>
      </c>
      <c r="G2358" s="1" t="str">
        <f>TEXT(pizza_sales[[#This Row],[order_date]],"dddd")</f>
        <v>Tuesday</v>
      </c>
      <c r="H2358" s="2">
        <v>0.47973379629629631</v>
      </c>
      <c r="I2358">
        <v>20.25</v>
      </c>
      <c r="J2358">
        <v>20.25</v>
      </c>
      <c r="K2358" t="s">
        <v>58</v>
      </c>
      <c r="L2358" t="s">
        <v>35</v>
      </c>
      <c r="M2358" t="s">
        <v>36</v>
      </c>
      <c r="N2358" t="s">
        <v>37</v>
      </c>
    </row>
    <row r="2359" spans="1:14" x14ac:dyDescent="0.25">
      <c r="A2359">
        <v>20548</v>
      </c>
      <c r="B2359">
        <v>9029</v>
      </c>
      <c r="C2359">
        <f>1/COUNTIF(B:B,pizza_sales[[#This Row],[order_id]])</f>
        <v>1</v>
      </c>
      <c r="D2359" t="s">
        <v>28</v>
      </c>
      <c r="E2359">
        <v>1</v>
      </c>
      <c r="F2359" s="1">
        <v>42010</v>
      </c>
      <c r="G2359" s="1" t="str">
        <f>TEXT(pizza_sales[[#This Row],[order_date]],"dddd")</f>
        <v>Tuesday</v>
      </c>
      <c r="H2359" s="2">
        <v>0.48449074074074072</v>
      </c>
      <c r="I2359">
        <v>12</v>
      </c>
      <c r="J2359">
        <v>12</v>
      </c>
      <c r="K2359" t="s">
        <v>60</v>
      </c>
      <c r="L2359" t="s">
        <v>13</v>
      </c>
      <c r="M2359" t="s">
        <v>29</v>
      </c>
      <c r="N2359" t="s">
        <v>30</v>
      </c>
    </row>
    <row r="2360" spans="1:14" x14ac:dyDescent="0.25">
      <c r="A2360">
        <v>20549</v>
      </c>
      <c r="B2360">
        <v>9030</v>
      </c>
      <c r="C2360">
        <f>1/COUNTIF(B:B,pizza_sales[[#This Row],[order_id]])</f>
        <v>1</v>
      </c>
      <c r="D2360" t="s">
        <v>46</v>
      </c>
      <c r="E2360">
        <v>1</v>
      </c>
      <c r="F2360" s="1">
        <v>42010</v>
      </c>
      <c r="G2360" s="1" t="str">
        <f>TEXT(pizza_sales[[#This Row],[order_date]],"dddd")</f>
        <v>Tuesday</v>
      </c>
      <c r="H2360" s="2">
        <v>0.48505787037037035</v>
      </c>
      <c r="I2360">
        <v>25.5</v>
      </c>
      <c r="J2360">
        <v>25.5</v>
      </c>
      <c r="K2360" t="s">
        <v>61</v>
      </c>
      <c r="L2360" t="s">
        <v>13</v>
      </c>
      <c r="M2360" t="s">
        <v>21</v>
      </c>
      <c r="N2360" t="s">
        <v>22</v>
      </c>
    </row>
    <row r="2361" spans="1:14" x14ac:dyDescent="0.25">
      <c r="A2361">
        <v>20553</v>
      </c>
      <c r="B2361">
        <v>9033</v>
      </c>
      <c r="C2361">
        <f>1/COUNTIF(B:B,pizza_sales[[#This Row],[order_id]])</f>
        <v>0.5</v>
      </c>
      <c r="D2361" t="s">
        <v>54</v>
      </c>
      <c r="E2361">
        <v>1</v>
      </c>
      <c r="F2361" s="1">
        <v>42010</v>
      </c>
      <c r="G2361" s="1" t="str">
        <f>TEXT(pizza_sales[[#This Row],[order_date]],"dddd")</f>
        <v>Tuesday</v>
      </c>
      <c r="H2361" s="2">
        <v>0.50398148148148147</v>
      </c>
      <c r="I2361">
        <v>12.25</v>
      </c>
      <c r="J2361">
        <v>12.25</v>
      </c>
      <c r="K2361" t="s">
        <v>60</v>
      </c>
      <c r="L2361" t="s">
        <v>35</v>
      </c>
      <c r="M2361" t="s">
        <v>36</v>
      </c>
      <c r="N2361" t="s">
        <v>37</v>
      </c>
    </row>
    <row r="2362" spans="1:14" x14ac:dyDescent="0.25">
      <c r="A2362">
        <v>20554</v>
      </c>
      <c r="B2362">
        <v>9033</v>
      </c>
      <c r="C2362">
        <f>1/COUNTIF(B:B,pizza_sales[[#This Row],[order_id]])</f>
        <v>0.5</v>
      </c>
      <c r="D2362" t="s">
        <v>48</v>
      </c>
      <c r="E2362">
        <v>1</v>
      </c>
      <c r="F2362" s="1">
        <v>42010</v>
      </c>
      <c r="G2362" s="1" t="str">
        <f>TEXT(pizza_sales[[#This Row],[order_date]],"dddd")</f>
        <v>Tuesday</v>
      </c>
      <c r="H2362" s="2">
        <v>0.50398148148148147</v>
      </c>
      <c r="I2362">
        <v>12.25</v>
      </c>
      <c r="J2362">
        <v>12.25</v>
      </c>
      <c r="K2362" t="s">
        <v>60</v>
      </c>
      <c r="L2362" t="s">
        <v>35</v>
      </c>
      <c r="M2362" t="s">
        <v>40</v>
      </c>
      <c r="N2362" t="s">
        <v>41</v>
      </c>
    </row>
    <row r="2363" spans="1:14" x14ac:dyDescent="0.25">
      <c r="A2363">
        <v>20557</v>
      </c>
      <c r="B2363">
        <v>9034</v>
      </c>
      <c r="C2363">
        <f>1/COUNTIF(B:B,pizza_sales[[#This Row],[order_id]])</f>
        <v>0.5</v>
      </c>
      <c r="D2363" t="s">
        <v>28</v>
      </c>
      <c r="E2363">
        <v>1</v>
      </c>
      <c r="F2363" s="1">
        <v>42010</v>
      </c>
      <c r="G2363" s="1" t="str">
        <f>TEXT(pizza_sales[[#This Row],[order_date]],"dddd")</f>
        <v>Tuesday</v>
      </c>
      <c r="H2363" s="2">
        <v>0.50587962962962962</v>
      </c>
      <c r="I2363">
        <v>12</v>
      </c>
      <c r="J2363">
        <v>12</v>
      </c>
      <c r="K2363" t="s">
        <v>60</v>
      </c>
      <c r="L2363" t="s">
        <v>13</v>
      </c>
      <c r="M2363" t="s">
        <v>29</v>
      </c>
      <c r="N2363" t="s">
        <v>30</v>
      </c>
    </row>
    <row r="2364" spans="1:14" x14ac:dyDescent="0.25">
      <c r="A2364">
        <v>20558</v>
      </c>
      <c r="B2364">
        <v>9034</v>
      </c>
      <c r="C2364">
        <f>1/COUNTIF(B:B,pizza_sales[[#This Row],[order_id]])</f>
        <v>0.5</v>
      </c>
      <c r="D2364" t="s">
        <v>43</v>
      </c>
      <c r="E2364">
        <v>1</v>
      </c>
      <c r="F2364" s="1">
        <v>42010</v>
      </c>
      <c r="G2364" s="1" t="str">
        <f>TEXT(pizza_sales[[#This Row],[order_date]],"dddd")</f>
        <v>Tuesday</v>
      </c>
      <c r="H2364" s="2">
        <v>0.50587962962962962</v>
      </c>
      <c r="I2364">
        <v>16.25</v>
      </c>
      <c r="J2364">
        <v>16.25</v>
      </c>
      <c r="K2364" t="s">
        <v>59</v>
      </c>
      <c r="L2364" t="s">
        <v>35</v>
      </c>
      <c r="M2364" t="s">
        <v>40</v>
      </c>
      <c r="N2364" t="s">
        <v>41</v>
      </c>
    </row>
    <row r="2365" spans="1:14" x14ac:dyDescent="0.25">
      <c r="A2365">
        <v>20562</v>
      </c>
      <c r="B2365">
        <v>9036</v>
      </c>
      <c r="C2365">
        <f>1/COUNTIF(B:B,pizza_sales[[#This Row],[order_id]])</f>
        <v>0.5</v>
      </c>
      <c r="D2365" t="s">
        <v>24</v>
      </c>
      <c r="E2365">
        <v>1</v>
      </c>
      <c r="F2365" s="1">
        <v>42010</v>
      </c>
      <c r="G2365" s="1" t="str">
        <f>TEXT(pizza_sales[[#This Row],[order_date]],"dddd")</f>
        <v>Tuesday</v>
      </c>
      <c r="H2365" s="2">
        <v>0.5100810185185185</v>
      </c>
      <c r="I2365">
        <v>20.25</v>
      </c>
      <c r="J2365">
        <v>20.25</v>
      </c>
      <c r="K2365" t="s">
        <v>58</v>
      </c>
      <c r="L2365" t="s">
        <v>17</v>
      </c>
      <c r="M2365" t="s">
        <v>18</v>
      </c>
      <c r="N2365" t="s">
        <v>19</v>
      </c>
    </row>
    <row r="2366" spans="1:14" x14ac:dyDescent="0.25">
      <c r="A2366">
        <v>20563</v>
      </c>
      <c r="B2366">
        <v>9036</v>
      </c>
      <c r="C2366">
        <f>1/COUNTIF(B:B,pizza_sales[[#This Row],[order_id]])</f>
        <v>0.5</v>
      </c>
      <c r="D2366" t="s">
        <v>31</v>
      </c>
      <c r="E2366">
        <v>1</v>
      </c>
      <c r="F2366" s="1">
        <v>42010</v>
      </c>
      <c r="G2366" s="1" t="str">
        <f>TEXT(pizza_sales[[#This Row],[order_date]],"dddd")</f>
        <v>Tuesday</v>
      </c>
      <c r="H2366" s="2">
        <v>0.5100810185185185</v>
      </c>
      <c r="I2366">
        <v>12</v>
      </c>
      <c r="J2366">
        <v>12</v>
      </c>
      <c r="K2366" t="s">
        <v>60</v>
      </c>
      <c r="L2366" t="s">
        <v>13</v>
      </c>
      <c r="M2366" t="s">
        <v>32</v>
      </c>
      <c r="N2366" t="s">
        <v>33</v>
      </c>
    </row>
    <row r="2367" spans="1:14" x14ac:dyDescent="0.25">
      <c r="A2367">
        <v>20570</v>
      </c>
      <c r="B2367">
        <v>9037</v>
      </c>
      <c r="C2367">
        <f>1/COUNTIF(B:B,pizza_sales[[#This Row],[order_id]])</f>
        <v>0.33333333333333331</v>
      </c>
      <c r="D2367" t="s">
        <v>31</v>
      </c>
      <c r="E2367">
        <v>1</v>
      </c>
      <c r="F2367" s="1">
        <v>42010</v>
      </c>
      <c r="G2367" s="1" t="str">
        <f>TEXT(pizza_sales[[#This Row],[order_date]],"dddd")</f>
        <v>Tuesday</v>
      </c>
      <c r="H2367" s="2">
        <v>0.51300925925925922</v>
      </c>
      <c r="I2367">
        <v>12</v>
      </c>
      <c r="J2367">
        <v>12</v>
      </c>
      <c r="K2367" t="s">
        <v>60</v>
      </c>
      <c r="L2367" t="s">
        <v>13</v>
      </c>
      <c r="M2367" t="s">
        <v>32</v>
      </c>
      <c r="N2367" t="s">
        <v>33</v>
      </c>
    </row>
    <row r="2368" spans="1:14" x14ac:dyDescent="0.25">
      <c r="A2368">
        <v>20572</v>
      </c>
      <c r="B2368">
        <v>9037</v>
      </c>
      <c r="C2368">
        <f>1/COUNTIF(B:B,pizza_sales[[#This Row],[order_id]])</f>
        <v>0.33333333333333331</v>
      </c>
      <c r="D2368" t="s">
        <v>43</v>
      </c>
      <c r="E2368">
        <v>1</v>
      </c>
      <c r="F2368" s="1">
        <v>42010</v>
      </c>
      <c r="G2368" s="1" t="str">
        <f>TEXT(pizza_sales[[#This Row],[order_date]],"dddd")</f>
        <v>Tuesday</v>
      </c>
      <c r="H2368" s="2">
        <v>0.51300925925925922</v>
      </c>
      <c r="I2368">
        <v>16.25</v>
      </c>
      <c r="J2368">
        <v>16.25</v>
      </c>
      <c r="K2368" t="s">
        <v>59</v>
      </c>
      <c r="L2368" t="s">
        <v>35</v>
      </c>
      <c r="M2368" t="s">
        <v>40</v>
      </c>
      <c r="N2368" t="s">
        <v>41</v>
      </c>
    </row>
    <row r="2369" spans="1:14" x14ac:dyDescent="0.25">
      <c r="A2369">
        <v>20576</v>
      </c>
      <c r="B2369">
        <v>9037</v>
      </c>
      <c r="C2369">
        <f>1/COUNTIF(B:B,pizza_sales[[#This Row],[order_id]])</f>
        <v>0.33333333333333331</v>
      </c>
      <c r="D2369" t="s">
        <v>55</v>
      </c>
      <c r="E2369">
        <v>1</v>
      </c>
      <c r="F2369" s="1">
        <v>42010</v>
      </c>
      <c r="G2369" s="1" t="str">
        <f>TEXT(pizza_sales[[#This Row],[order_date]],"dddd")</f>
        <v>Tuesday</v>
      </c>
      <c r="H2369" s="2">
        <v>0.51300925925925922</v>
      </c>
      <c r="I2369">
        <v>20.5</v>
      </c>
      <c r="J2369">
        <v>20.5</v>
      </c>
      <c r="K2369" t="s">
        <v>58</v>
      </c>
      <c r="L2369" t="s">
        <v>13</v>
      </c>
      <c r="M2369" t="s">
        <v>21</v>
      </c>
      <c r="N2369" t="s">
        <v>22</v>
      </c>
    </row>
    <row r="2370" spans="1:14" x14ac:dyDescent="0.25">
      <c r="A2370">
        <v>20578</v>
      </c>
      <c r="B2370">
        <v>9038</v>
      </c>
      <c r="C2370">
        <f>1/COUNTIF(B:B,pizza_sales[[#This Row],[order_id]])</f>
        <v>1</v>
      </c>
      <c r="D2370" t="s">
        <v>34</v>
      </c>
      <c r="E2370">
        <v>1</v>
      </c>
      <c r="F2370" s="1">
        <v>42010</v>
      </c>
      <c r="G2370" s="1" t="str">
        <f>TEXT(pizza_sales[[#This Row],[order_date]],"dddd")</f>
        <v>Tuesday</v>
      </c>
      <c r="H2370" s="2">
        <v>0.51424768518518515</v>
      </c>
      <c r="I2370">
        <v>16.25</v>
      </c>
      <c r="J2370">
        <v>16.25</v>
      </c>
      <c r="K2370" t="s">
        <v>59</v>
      </c>
      <c r="L2370" t="s">
        <v>35</v>
      </c>
      <c r="M2370" t="s">
        <v>36</v>
      </c>
      <c r="N2370" t="s">
        <v>37</v>
      </c>
    </row>
    <row r="2371" spans="1:14" x14ac:dyDescent="0.25">
      <c r="A2371">
        <v>20584</v>
      </c>
      <c r="B2371">
        <v>9040</v>
      </c>
      <c r="C2371">
        <f>1/COUNTIF(B:B,pizza_sales[[#This Row],[order_id]])</f>
        <v>1</v>
      </c>
      <c r="D2371" t="s">
        <v>46</v>
      </c>
      <c r="E2371">
        <v>1</v>
      </c>
      <c r="F2371" s="1">
        <v>42010</v>
      </c>
      <c r="G2371" s="1" t="str">
        <f>TEXT(pizza_sales[[#This Row],[order_date]],"dddd")</f>
        <v>Tuesday</v>
      </c>
      <c r="H2371" s="2">
        <v>0.52953703703703703</v>
      </c>
      <c r="I2371">
        <v>25.5</v>
      </c>
      <c r="J2371">
        <v>25.5</v>
      </c>
      <c r="K2371" t="s">
        <v>61</v>
      </c>
      <c r="L2371" t="s">
        <v>13</v>
      </c>
      <c r="M2371" t="s">
        <v>21</v>
      </c>
      <c r="N2371" t="s">
        <v>22</v>
      </c>
    </row>
    <row r="2372" spans="1:14" x14ac:dyDescent="0.25">
      <c r="A2372">
        <v>20586</v>
      </c>
      <c r="B2372">
        <v>9042</v>
      </c>
      <c r="C2372">
        <f>1/COUNTIF(B:B,pizza_sales[[#This Row],[order_id]])</f>
        <v>0.2</v>
      </c>
      <c r="D2372" t="s">
        <v>28</v>
      </c>
      <c r="E2372">
        <v>1</v>
      </c>
      <c r="F2372" s="1">
        <v>42010</v>
      </c>
      <c r="G2372" s="1" t="str">
        <f>TEXT(pizza_sales[[#This Row],[order_date]],"dddd")</f>
        <v>Tuesday</v>
      </c>
      <c r="H2372" s="2">
        <v>0.53886574074074078</v>
      </c>
      <c r="I2372">
        <v>12</v>
      </c>
      <c r="J2372">
        <v>12</v>
      </c>
      <c r="K2372" t="s">
        <v>60</v>
      </c>
      <c r="L2372" t="s">
        <v>13</v>
      </c>
      <c r="M2372" t="s">
        <v>29</v>
      </c>
      <c r="N2372" t="s">
        <v>30</v>
      </c>
    </row>
    <row r="2373" spans="1:14" x14ac:dyDescent="0.25">
      <c r="A2373">
        <v>20590</v>
      </c>
      <c r="B2373">
        <v>9042</v>
      </c>
      <c r="C2373">
        <f>1/COUNTIF(B:B,pizza_sales[[#This Row],[order_id]])</f>
        <v>0.2</v>
      </c>
      <c r="D2373" t="s">
        <v>24</v>
      </c>
      <c r="E2373">
        <v>2</v>
      </c>
      <c r="F2373" s="1">
        <v>42010</v>
      </c>
      <c r="G2373" s="1" t="str">
        <f>TEXT(pizza_sales[[#This Row],[order_date]],"dddd")</f>
        <v>Tuesday</v>
      </c>
      <c r="H2373" s="2">
        <v>0.53886574074074078</v>
      </c>
      <c r="I2373">
        <v>20.25</v>
      </c>
      <c r="J2373">
        <v>40.5</v>
      </c>
      <c r="K2373" t="s">
        <v>58</v>
      </c>
      <c r="L2373" t="s">
        <v>17</v>
      </c>
      <c r="M2373" t="s">
        <v>18</v>
      </c>
      <c r="N2373" t="s">
        <v>19</v>
      </c>
    </row>
    <row r="2374" spans="1:14" x14ac:dyDescent="0.25">
      <c r="A2374">
        <v>20591</v>
      </c>
      <c r="B2374">
        <v>9042</v>
      </c>
      <c r="C2374">
        <f>1/COUNTIF(B:B,pizza_sales[[#This Row],[order_id]])</f>
        <v>0.2</v>
      </c>
      <c r="D2374" t="s">
        <v>25</v>
      </c>
      <c r="E2374">
        <v>1</v>
      </c>
      <c r="F2374" s="1">
        <v>42010</v>
      </c>
      <c r="G2374" s="1" t="str">
        <f>TEXT(pizza_sales[[#This Row],[order_date]],"dddd")</f>
        <v>Tuesday</v>
      </c>
      <c r="H2374" s="2">
        <v>0.53886574074074078</v>
      </c>
      <c r="I2374">
        <v>15.25</v>
      </c>
      <c r="J2374">
        <v>15.25</v>
      </c>
      <c r="K2374" t="s">
        <v>58</v>
      </c>
      <c r="L2374" t="s">
        <v>13</v>
      </c>
      <c r="M2374" t="s">
        <v>26</v>
      </c>
      <c r="N2374" t="s">
        <v>27</v>
      </c>
    </row>
    <row r="2375" spans="1:14" x14ac:dyDescent="0.25">
      <c r="A2375">
        <v>20592</v>
      </c>
      <c r="B2375">
        <v>9042</v>
      </c>
      <c r="C2375">
        <f>1/COUNTIF(B:B,pizza_sales[[#This Row],[order_id]])</f>
        <v>0.2</v>
      </c>
      <c r="D2375" t="s">
        <v>42</v>
      </c>
      <c r="E2375">
        <v>2</v>
      </c>
      <c r="F2375" s="1">
        <v>42010</v>
      </c>
      <c r="G2375" s="1" t="str">
        <f>TEXT(pizza_sales[[#This Row],[order_date]],"dddd")</f>
        <v>Tuesday</v>
      </c>
      <c r="H2375" s="2">
        <v>0.53886574074074078</v>
      </c>
      <c r="I2375">
        <v>12.5</v>
      </c>
      <c r="J2375">
        <v>25</v>
      </c>
      <c r="K2375" t="s">
        <v>59</v>
      </c>
      <c r="L2375" t="s">
        <v>13</v>
      </c>
      <c r="M2375" t="s">
        <v>26</v>
      </c>
      <c r="N2375" t="s">
        <v>27</v>
      </c>
    </row>
    <row r="2376" spans="1:14" x14ac:dyDescent="0.25">
      <c r="A2376">
        <v>20593</v>
      </c>
      <c r="B2376">
        <v>9042</v>
      </c>
      <c r="C2376">
        <f>1/COUNTIF(B:B,pizza_sales[[#This Row],[order_id]])</f>
        <v>0.2</v>
      </c>
      <c r="D2376" t="s">
        <v>39</v>
      </c>
      <c r="E2376">
        <v>1</v>
      </c>
      <c r="F2376" s="1">
        <v>42010</v>
      </c>
      <c r="G2376" s="1" t="str">
        <f>TEXT(pizza_sales[[#This Row],[order_date]],"dddd")</f>
        <v>Tuesday</v>
      </c>
      <c r="H2376" s="2">
        <v>0.53886574074074078</v>
      </c>
      <c r="I2376">
        <v>20.25</v>
      </c>
      <c r="J2376">
        <v>20.25</v>
      </c>
      <c r="K2376" t="s">
        <v>58</v>
      </c>
      <c r="L2376" t="s">
        <v>35</v>
      </c>
      <c r="M2376" t="s">
        <v>40</v>
      </c>
      <c r="N2376" t="s">
        <v>41</v>
      </c>
    </row>
    <row r="2377" spans="1:14" x14ac:dyDescent="0.25">
      <c r="A2377">
        <v>20612</v>
      </c>
      <c r="B2377">
        <v>9051</v>
      </c>
      <c r="C2377">
        <f>1/COUNTIF(B:B,pizza_sales[[#This Row],[order_id]])</f>
        <v>1</v>
      </c>
      <c r="D2377" t="s">
        <v>51</v>
      </c>
      <c r="E2377">
        <v>1</v>
      </c>
      <c r="F2377" s="1">
        <v>42010</v>
      </c>
      <c r="G2377" s="1" t="str">
        <f>TEXT(pizza_sales[[#This Row],[order_date]],"dddd")</f>
        <v>Tuesday</v>
      </c>
      <c r="H2377" s="2">
        <v>0.6015625</v>
      </c>
      <c r="I2377">
        <v>23.65</v>
      </c>
      <c r="J2377">
        <v>23.65</v>
      </c>
      <c r="K2377" t="s">
        <v>60</v>
      </c>
      <c r="L2377" t="s">
        <v>35</v>
      </c>
      <c r="M2377" t="s">
        <v>52</v>
      </c>
      <c r="N2377" t="s">
        <v>53</v>
      </c>
    </row>
    <row r="2378" spans="1:14" x14ac:dyDescent="0.25">
      <c r="A2378">
        <v>20615</v>
      </c>
      <c r="B2378">
        <v>9052</v>
      </c>
      <c r="C2378">
        <f>1/COUNTIF(B:B,pizza_sales[[#This Row],[order_id]])</f>
        <v>1</v>
      </c>
      <c r="D2378" t="s">
        <v>50</v>
      </c>
      <c r="E2378">
        <v>1</v>
      </c>
      <c r="F2378" s="1">
        <v>42010</v>
      </c>
      <c r="G2378" s="1" t="str">
        <f>TEXT(pizza_sales[[#This Row],[order_date]],"dddd")</f>
        <v>Tuesday</v>
      </c>
      <c r="H2378" s="2">
        <v>0.60504629629629625</v>
      </c>
      <c r="I2378">
        <v>16</v>
      </c>
      <c r="J2378">
        <v>16</v>
      </c>
      <c r="K2378" t="s">
        <v>59</v>
      </c>
      <c r="L2378" t="s">
        <v>13</v>
      </c>
      <c r="M2378" t="s">
        <v>32</v>
      </c>
      <c r="N2378" t="s">
        <v>33</v>
      </c>
    </row>
    <row r="2379" spans="1:14" x14ac:dyDescent="0.25">
      <c r="A2379">
        <v>20618</v>
      </c>
      <c r="B2379">
        <v>9053</v>
      </c>
      <c r="C2379">
        <f>1/COUNTIF(B:B,pizza_sales[[#This Row],[order_id]])</f>
        <v>1</v>
      </c>
      <c r="D2379" t="s">
        <v>48</v>
      </c>
      <c r="E2379">
        <v>1</v>
      </c>
      <c r="F2379" s="1">
        <v>42010</v>
      </c>
      <c r="G2379" s="1" t="str">
        <f>TEXT(pizza_sales[[#This Row],[order_date]],"dddd")</f>
        <v>Tuesday</v>
      </c>
      <c r="H2379" s="2">
        <v>0.61186342592592591</v>
      </c>
      <c r="I2379">
        <v>12.25</v>
      </c>
      <c r="J2379">
        <v>12.25</v>
      </c>
      <c r="K2379" t="s">
        <v>60</v>
      </c>
      <c r="L2379" t="s">
        <v>35</v>
      </c>
      <c r="M2379" t="s">
        <v>40</v>
      </c>
      <c r="N2379" t="s">
        <v>41</v>
      </c>
    </row>
    <row r="2380" spans="1:14" x14ac:dyDescent="0.25">
      <c r="A2380">
        <v>20619</v>
      </c>
      <c r="B2380">
        <v>9054</v>
      </c>
      <c r="C2380">
        <f>1/COUNTIF(B:B,pizza_sales[[#This Row],[order_id]])</f>
        <v>1</v>
      </c>
      <c r="D2380" t="s">
        <v>51</v>
      </c>
      <c r="E2380">
        <v>1</v>
      </c>
      <c r="F2380" s="1">
        <v>42010</v>
      </c>
      <c r="G2380" s="1" t="str">
        <f>TEXT(pizza_sales[[#This Row],[order_date]],"dddd")</f>
        <v>Tuesday</v>
      </c>
      <c r="H2380" s="2">
        <v>0.61214120370370373</v>
      </c>
      <c r="I2380">
        <v>23.65</v>
      </c>
      <c r="J2380">
        <v>23.65</v>
      </c>
      <c r="K2380" t="s">
        <v>60</v>
      </c>
      <c r="L2380" t="s">
        <v>35</v>
      </c>
      <c r="M2380" t="s">
        <v>52</v>
      </c>
      <c r="N2380" t="s">
        <v>53</v>
      </c>
    </row>
    <row r="2381" spans="1:14" x14ac:dyDescent="0.25">
      <c r="A2381">
        <v>20624</v>
      </c>
      <c r="B2381">
        <v>9056</v>
      </c>
      <c r="C2381">
        <f>1/COUNTIF(B:B,pizza_sales[[#This Row],[order_id]])</f>
        <v>0.5</v>
      </c>
      <c r="D2381" t="s">
        <v>34</v>
      </c>
      <c r="E2381">
        <v>1</v>
      </c>
      <c r="F2381" s="1">
        <v>42010</v>
      </c>
      <c r="G2381" s="1" t="str">
        <f>TEXT(pizza_sales[[#This Row],[order_date]],"dddd")</f>
        <v>Tuesday</v>
      </c>
      <c r="H2381" s="2">
        <v>0.62761574074074078</v>
      </c>
      <c r="I2381">
        <v>16.25</v>
      </c>
      <c r="J2381">
        <v>16.25</v>
      </c>
      <c r="K2381" t="s">
        <v>59</v>
      </c>
      <c r="L2381" t="s">
        <v>35</v>
      </c>
      <c r="M2381" t="s">
        <v>36</v>
      </c>
      <c r="N2381" t="s">
        <v>37</v>
      </c>
    </row>
    <row r="2382" spans="1:14" x14ac:dyDescent="0.25">
      <c r="A2382">
        <v>20626</v>
      </c>
      <c r="B2382">
        <v>9056</v>
      </c>
      <c r="C2382">
        <f>1/COUNTIF(B:B,pizza_sales[[#This Row],[order_id]])</f>
        <v>0.5</v>
      </c>
      <c r="D2382" t="s">
        <v>24</v>
      </c>
      <c r="E2382">
        <v>1</v>
      </c>
      <c r="F2382" s="1">
        <v>42010</v>
      </c>
      <c r="G2382" s="1" t="str">
        <f>TEXT(pizza_sales[[#This Row],[order_date]],"dddd")</f>
        <v>Tuesday</v>
      </c>
      <c r="H2382" s="2">
        <v>0.62761574074074078</v>
      </c>
      <c r="I2382">
        <v>20.25</v>
      </c>
      <c r="J2382">
        <v>20.25</v>
      </c>
      <c r="K2382" t="s">
        <v>58</v>
      </c>
      <c r="L2382" t="s">
        <v>17</v>
      </c>
      <c r="M2382" t="s">
        <v>18</v>
      </c>
      <c r="N2382" t="s">
        <v>19</v>
      </c>
    </row>
    <row r="2383" spans="1:14" x14ac:dyDescent="0.25">
      <c r="A2383">
        <v>20631</v>
      </c>
      <c r="B2383">
        <v>9057</v>
      </c>
      <c r="C2383">
        <f>1/COUNTIF(B:B,pizza_sales[[#This Row],[order_id]])</f>
        <v>1</v>
      </c>
      <c r="D2383" t="s">
        <v>31</v>
      </c>
      <c r="E2383">
        <v>1</v>
      </c>
      <c r="F2383" s="1">
        <v>42010</v>
      </c>
      <c r="G2383" s="1" t="str">
        <f>TEXT(pizza_sales[[#This Row],[order_date]],"dddd")</f>
        <v>Tuesday</v>
      </c>
      <c r="H2383" s="2">
        <v>0.63530092592592591</v>
      </c>
      <c r="I2383">
        <v>12</v>
      </c>
      <c r="J2383">
        <v>12</v>
      </c>
      <c r="K2383" t="s">
        <v>60</v>
      </c>
      <c r="L2383" t="s">
        <v>13</v>
      </c>
      <c r="M2383" t="s">
        <v>32</v>
      </c>
      <c r="N2383" t="s">
        <v>33</v>
      </c>
    </row>
    <row r="2384" spans="1:14" x14ac:dyDescent="0.25">
      <c r="A2384">
        <v>20636</v>
      </c>
      <c r="B2384">
        <v>9059</v>
      </c>
      <c r="C2384">
        <f>1/COUNTIF(B:B,pizza_sales[[#This Row],[order_id]])</f>
        <v>1</v>
      </c>
      <c r="D2384" t="s">
        <v>46</v>
      </c>
      <c r="E2384">
        <v>1</v>
      </c>
      <c r="F2384" s="1">
        <v>42010</v>
      </c>
      <c r="G2384" s="1" t="str">
        <f>TEXT(pizza_sales[[#This Row],[order_date]],"dddd")</f>
        <v>Tuesday</v>
      </c>
      <c r="H2384" s="2">
        <v>0.64875000000000005</v>
      </c>
      <c r="I2384">
        <v>25.5</v>
      </c>
      <c r="J2384">
        <v>25.5</v>
      </c>
      <c r="K2384" t="s">
        <v>61</v>
      </c>
      <c r="L2384" t="s">
        <v>13</v>
      </c>
      <c r="M2384" t="s">
        <v>21</v>
      </c>
      <c r="N2384" t="s">
        <v>22</v>
      </c>
    </row>
    <row r="2385" spans="1:14" x14ac:dyDescent="0.25">
      <c r="A2385">
        <v>20637</v>
      </c>
      <c r="B2385">
        <v>9060</v>
      </c>
      <c r="C2385">
        <f>1/COUNTIF(B:B,pizza_sales[[#This Row],[order_id]])</f>
        <v>1</v>
      </c>
      <c r="D2385" t="s">
        <v>51</v>
      </c>
      <c r="E2385">
        <v>1</v>
      </c>
      <c r="F2385" s="1">
        <v>42010</v>
      </c>
      <c r="G2385" s="1" t="str">
        <f>TEXT(pizza_sales[[#This Row],[order_date]],"dddd")</f>
        <v>Tuesday</v>
      </c>
      <c r="H2385" s="2">
        <v>0.65004629629629629</v>
      </c>
      <c r="I2385">
        <v>23.65</v>
      </c>
      <c r="J2385">
        <v>23.65</v>
      </c>
      <c r="K2385" t="s">
        <v>60</v>
      </c>
      <c r="L2385" t="s">
        <v>35</v>
      </c>
      <c r="M2385" t="s">
        <v>52</v>
      </c>
      <c r="N2385" t="s">
        <v>53</v>
      </c>
    </row>
    <row r="2386" spans="1:14" x14ac:dyDescent="0.25">
      <c r="A2386">
        <v>20644</v>
      </c>
      <c r="B2386">
        <v>9063</v>
      </c>
      <c r="C2386">
        <f>1/COUNTIF(B:B,pizza_sales[[#This Row],[order_id]])</f>
        <v>1</v>
      </c>
      <c r="D2386" t="s">
        <v>45</v>
      </c>
      <c r="E2386">
        <v>1</v>
      </c>
      <c r="F2386" s="1">
        <v>42010</v>
      </c>
      <c r="G2386" s="1" t="str">
        <f>TEXT(pizza_sales[[#This Row],[order_date]],"dddd")</f>
        <v>Tuesday</v>
      </c>
      <c r="H2386" s="2">
        <v>0.66142361111111114</v>
      </c>
      <c r="I2386">
        <v>10.5</v>
      </c>
      <c r="J2386">
        <v>10.5</v>
      </c>
      <c r="K2386" t="s">
        <v>60</v>
      </c>
      <c r="L2386" t="s">
        <v>13</v>
      </c>
      <c r="M2386" t="s">
        <v>14</v>
      </c>
      <c r="N2386" t="s">
        <v>15</v>
      </c>
    </row>
    <row r="2387" spans="1:14" x14ac:dyDescent="0.25">
      <c r="A2387">
        <v>20648</v>
      </c>
      <c r="B2387">
        <v>9065</v>
      </c>
      <c r="C2387">
        <f>1/COUNTIF(B:B,pizza_sales[[#This Row],[order_id]])</f>
        <v>1</v>
      </c>
      <c r="D2387" t="s">
        <v>45</v>
      </c>
      <c r="E2387">
        <v>1</v>
      </c>
      <c r="F2387" s="1">
        <v>42010</v>
      </c>
      <c r="G2387" s="1" t="str">
        <f>TEXT(pizza_sales[[#This Row],[order_date]],"dddd")</f>
        <v>Tuesday</v>
      </c>
      <c r="H2387" s="2">
        <v>0.66443287037037035</v>
      </c>
      <c r="I2387">
        <v>10.5</v>
      </c>
      <c r="J2387">
        <v>10.5</v>
      </c>
      <c r="K2387" t="s">
        <v>60</v>
      </c>
      <c r="L2387" t="s">
        <v>13</v>
      </c>
      <c r="M2387" t="s">
        <v>14</v>
      </c>
      <c r="N2387" t="s">
        <v>15</v>
      </c>
    </row>
    <row r="2388" spans="1:14" x14ac:dyDescent="0.25">
      <c r="A2388">
        <v>20649</v>
      </c>
      <c r="B2388">
        <v>9066</v>
      </c>
      <c r="C2388">
        <f>1/COUNTIF(B:B,pizza_sales[[#This Row],[order_id]])</f>
        <v>1</v>
      </c>
      <c r="D2388" t="s">
        <v>48</v>
      </c>
      <c r="E2388">
        <v>1</v>
      </c>
      <c r="F2388" s="1">
        <v>42010</v>
      </c>
      <c r="G2388" s="1" t="str">
        <f>TEXT(pizza_sales[[#This Row],[order_date]],"dddd")</f>
        <v>Tuesday</v>
      </c>
      <c r="H2388" s="2">
        <v>0.67037037037037039</v>
      </c>
      <c r="I2388">
        <v>12.25</v>
      </c>
      <c r="J2388">
        <v>12.25</v>
      </c>
      <c r="K2388" t="s">
        <v>60</v>
      </c>
      <c r="L2388" t="s">
        <v>35</v>
      </c>
      <c r="M2388" t="s">
        <v>40</v>
      </c>
      <c r="N2388" t="s">
        <v>41</v>
      </c>
    </row>
    <row r="2389" spans="1:14" x14ac:dyDescent="0.25">
      <c r="A2389">
        <v>20650</v>
      </c>
      <c r="B2389">
        <v>9067</v>
      </c>
      <c r="C2389">
        <f>1/COUNTIF(B:B,pizza_sales[[#This Row],[order_id]])</f>
        <v>1</v>
      </c>
      <c r="D2389" t="s">
        <v>28</v>
      </c>
      <c r="E2389">
        <v>1</v>
      </c>
      <c r="F2389" s="1">
        <v>42010</v>
      </c>
      <c r="G2389" s="1" t="str">
        <f>TEXT(pizza_sales[[#This Row],[order_date]],"dddd")</f>
        <v>Tuesday</v>
      </c>
      <c r="H2389" s="2">
        <v>0.68074074074074076</v>
      </c>
      <c r="I2389">
        <v>12</v>
      </c>
      <c r="J2389">
        <v>12</v>
      </c>
      <c r="K2389" t="s">
        <v>60</v>
      </c>
      <c r="L2389" t="s">
        <v>13</v>
      </c>
      <c r="M2389" t="s">
        <v>29</v>
      </c>
      <c r="N2389" t="s">
        <v>30</v>
      </c>
    </row>
    <row r="2390" spans="1:14" x14ac:dyDescent="0.25">
      <c r="A2390">
        <v>20655</v>
      </c>
      <c r="B2390">
        <v>9070</v>
      </c>
      <c r="C2390">
        <f>1/COUNTIF(B:B,pizza_sales[[#This Row],[order_id]])</f>
        <v>1</v>
      </c>
      <c r="D2390" t="s">
        <v>34</v>
      </c>
      <c r="E2390">
        <v>1</v>
      </c>
      <c r="F2390" s="1">
        <v>42010</v>
      </c>
      <c r="G2390" s="1" t="str">
        <f>TEXT(pizza_sales[[#This Row],[order_date]],"dddd")</f>
        <v>Tuesday</v>
      </c>
      <c r="H2390" s="2">
        <v>0.70677083333333335</v>
      </c>
      <c r="I2390">
        <v>16.25</v>
      </c>
      <c r="J2390">
        <v>16.25</v>
      </c>
      <c r="K2390" t="s">
        <v>59</v>
      </c>
      <c r="L2390" t="s">
        <v>35</v>
      </c>
      <c r="M2390" t="s">
        <v>36</v>
      </c>
      <c r="N2390" t="s">
        <v>37</v>
      </c>
    </row>
    <row r="2391" spans="1:14" x14ac:dyDescent="0.25">
      <c r="A2391">
        <v>20666</v>
      </c>
      <c r="B2391">
        <v>9073</v>
      </c>
      <c r="C2391">
        <f>1/COUNTIF(B:B,pizza_sales[[#This Row],[order_id]])</f>
        <v>1</v>
      </c>
      <c r="D2391" t="s">
        <v>44</v>
      </c>
      <c r="E2391">
        <v>1</v>
      </c>
      <c r="F2391" s="1">
        <v>42010</v>
      </c>
      <c r="G2391" s="1" t="str">
        <f>TEXT(pizza_sales[[#This Row],[order_date]],"dddd")</f>
        <v>Tuesday</v>
      </c>
      <c r="H2391" s="2">
        <v>0.74446759259259254</v>
      </c>
      <c r="I2391">
        <v>9.75</v>
      </c>
      <c r="J2391">
        <v>9.75</v>
      </c>
      <c r="K2391" t="s">
        <v>60</v>
      </c>
      <c r="L2391" t="s">
        <v>13</v>
      </c>
      <c r="M2391" t="s">
        <v>26</v>
      </c>
      <c r="N2391" t="s">
        <v>27</v>
      </c>
    </row>
    <row r="2392" spans="1:14" x14ac:dyDescent="0.25">
      <c r="A2392">
        <v>20669</v>
      </c>
      <c r="B2392">
        <v>9074</v>
      </c>
      <c r="C2392">
        <f>1/COUNTIF(B:B,pizza_sales[[#This Row],[order_id]])</f>
        <v>1</v>
      </c>
      <c r="D2392" t="s">
        <v>39</v>
      </c>
      <c r="E2392">
        <v>1</v>
      </c>
      <c r="F2392" s="1">
        <v>42010</v>
      </c>
      <c r="G2392" s="1" t="str">
        <f>TEXT(pizza_sales[[#This Row],[order_date]],"dddd")</f>
        <v>Tuesday</v>
      </c>
      <c r="H2392" s="2">
        <v>0.74804398148148143</v>
      </c>
      <c r="I2392">
        <v>20.25</v>
      </c>
      <c r="J2392">
        <v>20.25</v>
      </c>
      <c r="K2392" t="s">
        <v>58</v>
      </c>
      <c r="L2392" t="s">
        <v>35</v>
      </c>
      <c r="M2392" t="s">
        <v>40</v>
      </c>
      <c r="N2392" t="s">
        <v>41</v>
      </c>
    </row>
    <row r="2393" spans="1:14" x14ac:dyDescent="0.25">
      <c r="A2393">
        <v>20674</v>
      </c>
      <c r="B2393">
        <v>9076</v>
      </c>
      <c r="C2393">
        <f>1/COUNTIF(B:B,pizza_sales[[#This Row],[order_id]])</f>
        <v>1</v>
      </c>
      <c r="D2393" t="s">
        <v>12</v>
      </c>
      <c r="E2393">
        <v>1</v>
      </c>
      <c r="F2393" s="1">
        <v>42010</v>
      </c>
      <c r="G2393" s="1" t="str">
        <f>TEXT(pizza_sales[[#This Row],[order_date]],"dddd")</f>
        <v>Tuesday</v>
      </c>
      <c r="H2393" s="2">
        <v>0.75614583333333329</v>
      </c>
      <c r="I2393">
        <v>13.25</v>
      </c>
      <c r="J2393">
        <v>13.25</v>
      </c>
      <c r="K2393" t="s">
        <v>59</v>
      </c>
      <c r="L2393" t="s">
        <v>13</v>
      </c>
      <c r="M2393" t="s">
        <v>14</v>
      </c>
      <c r="N2393" t="s">
        <v>15</v>
      </c>
    </row>
    <row r="2394" spans="1:14" x14ac:dyDescent="0.25">
      <c r="A2394">
        <v>20681</v>
      </c>
      <c r="B2394">
        <v>9079</v>
      </c>
      <c r="C2394">
        <f>1/COUNTIF(B:B,pizza_sales[[#This Row],[order_id]])</f>
        <v>0.33333333333333331</v>
      </c>
      <c r="D2394" t="s">
        <v>45</v>
      </c>
      <c r="E2394">
        <v>1</v>
      </c>
      <c r="F2394" s="1">
        <v>42010</v>
      </c>
      <c r="G2394" s="1" t="str">
        <f>TEXT(pizza_sales[[#This Row],[order_date]],"dddd")</f>
        <v>Tuesday</v>
      </c>
      <c r="H2394" s="2">
        <v>0.77716435185185184</v>
      </c>
      <c r="I2394">
        <v>10.5</v>
      </c>
      <c r="J2394">
        <v>10.5</v>
      </c>
      <c r="K2394" t="s">
        <v>60</v>
      </c>
      <c r="L2394" t="s">
        <v>13</v>
      </c>
      <c r="M2394" t="s">
        <v>14</v>
      </c>
      <c r="N2394" t="s">
        <v>15</v>
      </c>
    </row>
    <row r="2395" spans="1:14" x14ac:dyDescent="0.25">
      <c r="A2395">
        <v>20683</v>
      </c>
      <c r="B2395">
        <v>9079</v>
      </c>
      <c r="C2395">
        <f>1/COUNTIF(B:B,pizza_sales[[#This Row],[order_id]])</f>
        <v>0.33333333333333331</v>
      </c>
      <c r="D2395" t="s">
        <v>16</v>
      </c>
      <c r="E2395">
        <v>1</v>
      </c>
      <c r="F2395" s="1">
        <v>42010</v>
      </c>
      <c r="G2395" s="1" t="str">
        <f>TEXT(pizza_sales[[#This Row],[order_date]],"dddd")</f>
        <v>Tuesday</v>
      </c>
      <c r="H2395" s="2">
        <v>0.77716435185185184</v>
      </c>
      <c r="I2395">
        <v>16</v>
      </c>
      <c r="J2395">
        <v>16</v>
      </c>
      <c r="K2395" t="s">
        <v>59</v>
      </c>
      <c r="L2395" t="s">
        <v>17</v>
      </c>
      <c r="M2395" t="s">
        <v>18</v>
      </c>
      <c r="N2395" t="s">
        <v>19</v>
      </c>
    </row>
    <row r="2396" spans="1:14" x14ac:dyDescent="0.25">
      <c r="A2396">
        <v>20684</v>
      </c>
      <c r="B2396">
        <v>9079</v>
      </c>
      <c r="C2396">
        <f>1/COUNTIF(B:B,pizza_sales[[#This Row],[order_id]])</f>
        <v>0.33333333333333331</v>
      </c>
      <c r="D2396" t="s">
        <v>39</v>
      </c>
      <c r="E2396">
        <v>1</v>
      </c>
      <c r="F2396" s="1">
        <v>42010</v>
      </c>
      <c r="G2396" s="1" t="str">
        <f>TEXT(pizza_sales[[#This Row],[order_date]],"dddd")</f>
        <v>Tuesday</v>
      </c>
      <c r="H2396" s="2">
        <v>0.77716435185185184</v>
      </c>
      <c r="I2396">
        <v>20.25</v>
      </c>
      <c r="J2396">
        <v>20.25</v>
      </c>
      <c r="K2396" t="s">
        <v>58</v>
      </c>
      <c r="L2396" t="s">
        <v>35</v>
      </c>
      <c r="M2396" t="s">
        <v>40</v>
      </c>
      <c r="N2396" t="s">
        <v>41</v>
      </c>
    </row>
    <row r="2397" spans="1:14" x14ac:dyDescent="0.25">
      <c r="A2397">
        <v>20693</v>
      </c>
      <c r="B2397">
        <v>9082</v>
      </c>
      <c r="C2397">
        <f>1/COUNTIF(B:B,pizza_sales[[#This Row],[order_id]])</f>
        <v>1</v>
      </c>
      <c r="D2397" t="s">
        <v>56</v>
      </c>
      <c r="E2397">
        <v>1</v>
      </c>
      <c r="F2397" s="1">
        <v>42010</v>
      </c>
      <c r="G2397" s="1" t="str">
        <f>TEXT(pizza_sales[[#This Row],[order_date]],"dddd")</f>
        <v>Tuesday</v>
      </c>
      <c r="H2397" s="2">
        <v>0.79931712962962964</v>
      </c>
      <c r="I2397">
        <v>20.25</v>
      </c>
      <c r="J2397">
        <v>20.25</v>
      </c>
      <c r="K2397" t="s">
        <v>58</v>
      </c>
      <c r="L2397" t="s">
        <v>35</v>
      </c>
      <c r="M2397" t="s">
        <v>36</v>
      </c>
      <c r="N2397" t="s">
        <v>37</v>
      </c>
    </row>
    <row r="2398" spans="1:14" x14ac:dyDescent="0.25">
      <c r="A2398">
        <v>20695</v>
      </c>
      <c r="B2398">
        <v>9083</v>
      </c>
      <c r="C2398">
        <f>1/COUNTIF(B:B,pizza_sales[[#This Row],[order_id]])</f>
        <v>0.5</v>
      </c>
      <c r="D2398" t="s">
        <v>51</v>
      </c>
      <c r="E2398">
        <v>1</v>
      </c>
      <c r="F2398" s="1">
        <v>42010</v>
      </c>
      <c r="G2398" s="1" t="str">
        <f>TEXT(pizza_sales[[#This Row],[order_date]],"dddd")</f>
        <v>Tuesday</v>
      </c>
      <c r="H2398" s="2">
        <v>0.80336805555555557</v>
      </c>
      <c r="I2398">
        <v>23.65</v>
      </c>
      <c r="J2398">
        <v>23.65</v>
      </c>
      <c r="K2398" t="s">
        <v>60</v>
      </c>
      <c r="L2398" t="s">
        <v>35</v>
      </c>
      <c r="M2398" t="s">
        <v>52</v>
      </c>
      <c r="N2398" t="s">
        <v>53</v>
      </c>
    </row>
    <row r="2399" spans="1:14" x14ac:dyDescent="0.25">
      <c r="A2399">
        <v>20696</v>
      </c>
      <c r="B2399">
        <v>9083</v>
      </c>
      <c r="C2399">
        <f>1/COUNTIF(B:B,pizza_sales[[#This Row],[order_id]])</f>
        <v>0.5</v>
      </c>
      <c r="D2399" t="s">
        <v>46</v>
      </c>
      <c r="E2399">
        <v>1</v>
      </c>
      <c r="F2399" s="1">
        <v>42010</v>
      </c>
      <c r="G2399" s="1" t="str">
        <f>TEXT(pizza_sales[[#This Row],[order_date]],"dddd")</f>
        <v>Tuesday</v>
      </c>
      <c r="H2399" s="2">
        <v>0.80336805555555557</v>
      </c>
      <c r="I2399">
        <v>25.5</v>
      </c>
      <c r="J2399">
        <v>25.5</v>
      </c>
      <c r="K2399" t="s">
        <v>61</v>
      </c>
      <c r="L2399" t="s">
        <v>13</v>
      </c>
      <c r="M2399" t="s">
        <v>21</v>
      </c>
      <c r="N2399" t="s">
        <v>22</v>
      </c>
    </row>
    <row r="2400" spans="1:14" x14ac:dyDescent="0.25">
      <c r="A2400">
        <v>20702</v>
      </c>
      <c r="B2400">
        <v>9086</v>
      </c>
      <c r="C2400">
        <f>1/COUNTIF(B:B,pizza_sales[[#This Row],[order_id]])</f>
        <v>1</v>
      </c>
      <c r="D2400" t="s">
        <v>24</v>
      </c>
      <c r="E2400">
        <v>1</v>
      </c>
      <c r="F2400" s="1">
        <v>42010</v>
      </c>
      <c r="G2400" s="1" t="str">
        <f>TEXT(pizza_sales[[#This Row],[order_date]],"dddd")</f>
        <v>Tuesday</v>
      </c>
      <c r="H2400" s="2">
        <v>0.82125000000000004</v>
      </c>
      <c r="I2400">
        <v>20.25</v>
      </c>
      <c r="J2400">
        <v>20.25</v>
      </c>
      <c r="K2400" t="s">
        <v>58</v>
      </c>
      <c r="L2400" t="s">
        <v>17</v>
      </c>
      <c r="M2400" t="s">
        <v>18</v>
      </c>
      <c r="N2400" t="s">
        <v>19</v>
      </c>
    </row>
    <row r="2401" spans="1:14" x14ac:dyDescent="0.25">
      <c r="A2401">
        <v>20713</v>
      </c>
      <c r="B2401">
        <v>9092</v>
      </c>
      <c r="C2401">
        <f>1/COUNTIF(B:B,pizza_sales[[#This Row],[order_id]])</f>
        <v>1</v>
      </c>
      <c r="D2401" t="s">
        <v>45</v>
      </c>
      <c r="E2401">
        <v>1</v>
      </c>
      <c r="F2401" s="1">
        <v>42010</v>
      </c>
      <c r="G2401" s="1" t="str">
        <f>TEXT(pizza_sales[[#This Row],[order_date]],"dddd")</f>
        <v>Tuesday</v>
      </c>
      <c r="H2401" s="2">
        <v>0.87633101851851847</v>
      </c>
      <c r="I2401">
        <v>10.5</v>
      </c>
      <c r="J2401">
        <v>10.5</v>
      </c>
      <c r="K2401" t="s">
        <v>60</v>
      </c>
      <c r="L2401" t="s">
        <v>13</v>
      </c>
      <c r="M2401" t="s">
        <v>14</v>
      </c>
      <c r="N2401" t="s">
        <v>15</v>
      </c>
    </row>
    <row r="2402" spans="1:14" x14ac:dyDescent="0.25">
      <c r="A2402">
        <v>20725</v>
      </c>
      <c r="B2402">
        <v>9096</v>
      </c>
      <c r="C2402">
        <f>1/COUNTIF(B:B,pizza_sales[[#This Row],[order_id]])</f>
        <v>1</v>
      </c>
      <c r="D2402" t="s">
        <v>43</v>
      </c>
      <c r="E2402">
        <v>1</v>
      </c>
      <c r="F2402" s="1">
        <v>42041</v>
      </c>
      <c r="G2402" s="1" t="str">
        <f>TEXT(pizza_sales[[#This Row],[order_date]],"dddd")</f>
        <v>Friday</v>
      </c>
      <c r="H2402" s="2">
        <v>0.4723148148148148</v>
      </c>
      <c r="I2402">
        <v>16.25</v>
      </c>
      <c r="J2402">
        <v>16.25</v>
      </c>
      <c r="K2402" t="s">
        <v>59</v>
      </c>
      <c r="L2402" t="s">
        <v>35</v>
      </c>
      <c r="M2402" t="s">
        <v>40</v>
      </c>
      <c r="N2402" t="s">
        <v>41</v>
      </c>
    </row>
    <row r="2403" spans="1:14" x14ac:dyDescent="0.25">
      <c r="A2403">
        <v>20729</v>
      </c>
      <c r="B2403">
        <v>9099</v>
      </c>
      <c r="C2403">
        <f>1/COUNTIF(B:B,pizza_sales[[#This Row],[order_id]])</f>
        <v>1</v>
      </c>
      <c r="D2403" t="s">
        <v>25</v>
      </c>
      <c r="E2403">
        <v>1</v>
      </c>
      <c r="F2403" s="1">
        <v>42041</v>
      </c>
      <c r="G2403" s="1" t="str">
        <f>TEXT(pizza_sales[[#This Row],[order_date]],"dddd")</f>
        <v>Friday</v>
      </c>
      <c r="H2403" s="2">
        <v>0.48310185185185184</v>
      </c>
      <c r="I2403">
        <v>15.25</v>
      </c>
      <c r="J2403">
        <v>15.25</v>
      </c>
      <c r="K2403" t="s">
        <v>58</v>
      </c>
      <c r="L2403" t="s">
        <v>13</v>
      </c>
      <c r="M2403" t="s">
        <v>26</v>
      </c>
      <c r="N2403" t="s">
        <v>27</v>
      </c>
    </row>
    <row r="2404" spans="1:14" x14ac:dyDescent="0.25">
      <c r="A2404">
        <v>20734</v>
      </c>
      <c r="B2404">
        <v>9100</v>
      </c>
      <c r="C2404">
        <f>1/COUNTIF(B:B,pizza_sales[[#This Row],[order_id]])</f>
        <v>1</v>
      </c>
      <c r="D2404" t="s">
        <v>48</v>
      </c>
      <c r="E2404">
        <v>1</v>
      </c>
      <c r="F2404" s="1">
        <v>42041</v>
      </c>
      <c r="G2404" s="1" t="str">
        <f>TEXT(pizza_sales[[#This Row],[order_date]],"dddd")</f>
        <v>Friday</v>
      </c>
      <c r="H2404" s="2">
        <v>0.508275462962963</v>
      </c>
      <c r="I2404">
        <v>12.25</v>
      </c>
      <c r="J2404">
        <v>12.25</v>
      </c>
      <c r="K2404" t="s">
        <v>60</v>
      </c>
      <c r="L2404" t="s">
        <v>35</v>
      </c>
      <c r="M2404" t="s">
        <v>40</v>
      </c>
      <c r="N2404" t="s">
        <v>41</v>
      </c>
    </row>
    <row r="2405" spans="1:14" x14ac:dyDescent="0.25">
      <c r="A2405">
        <v>20738</v>
      </c>
      <c r="B2405">
        <v>9101</v>
      </c>
      <c r="C2405">
        <f>1/COUNTIF(B:B,pizza_sales[[#This Row],[order_id]])</f>
        <v>0.33333333333333331</v>
      </c>
      <c r="D2405" t="s">
        <v>12</v>
      </c>
      <c r="E2405">
        <v>1</v>
      </c>
      <c r="F2405" s="1">
        <v>42041</v>
      </c>
      <c r="G2405" s="1" t="str">
        <f>TEXT(pizza_sales[[#This Row],[order_date]],"dddd")</f>
        <v>Friday</v>
      </c>
      <c r="H2405" s="2">
        <v>0.50993055555555555</v>
      </c>
      <c r="I2405">
        <v>13.25</v>
      </c>
      <c r="J2405">
        <v>13.25</v>
      </c>
      <c r="K2405" t="s">
        <v>59</v>
      </c>
      <c r="L2405" t="s">
        <v>13</v>
      </c>
      <c r="M2405" t="s">
        <v>14</v>
      </c>
      <c r="N2405" t="s">
        <v>15</v>
      </c>
    </row>
    <row r="2406" spans="1:14" x14ac:dyDescent="0.25">
      <c r="A2406">
        <v>20739</v>
      </c>
      <c r="B2406">
        <v>9101</v>
      </c>
      <c r="C2406">
        <f>1/COUNTIF(B:B,pizza_sales[[#This Row],[order_id]])</f>
        <v>0.33333333333333331</v>
      </c>
      <c r="D2406" t="s">
        <v>45</v>
      </c>
      <c r="E2406">
        <v>1</v>
      </c>
      <c r="F2406" s="1">
        <v>42041</v>
      </c>
      <c r="G2406" s="1" t="str">
        <f>TEXT(pizza_sales[[#This Row],[order_date]],"dddd")</f>
        <v>Friday</v>
      </c>
      <c r="H2406" s="2">
        <v>0.50993055555555555</v>
      </c>
      <c r="I2406">
        <v>10.5</v>
      </c>
      <c r="J2406">
        <v>10.5</v>
      </c>
      <c r="K2406" t="s">
        <v>60</v>
      </c>
      <c r="L2406" t="s">
        <v>13</v>
      </c>
      <c r="M2406" t="s">
        <v>14</v>
      </c>
      <c r="N2406" t="s">
        <v>15</v>
      </c>
    </row>
    <row r="2407" spans="1:14" x14ac:dyDescent="0.25">
      <c r="A2407">
        <v>20740</v>
      </c>
      <c r="B2407">
        <v>9101</v>
      </c>
      <c r="C2407">
        <f>1/COUNTIF(B:B,pizza_sales[[#This Row],[order_id]])</f>
        <v>0.33333333333333331</v>
      </c>
      <c r="D2407" t="s">
        <v>43</v>
      </c>
      <c r="E2407">
        <v>1</v>
      </c>
      <c r="F2407" s="1">
        <v>42041</v>
      </c>
      <c r="G2407" s="1" t="str">
        <f>TEXT(pizza_sales[[#This Row],[order_date]],"dddd")</f>
        <v>Friday</v>
      </c>
      <c r="H2407" s="2">
        <v>0.50993055555555555</v>
      </c>
      <c r="I2407">
        <v>16.25</v>
      </c>
      <c r="J2407">
        <v>16.25</v>
      </c>
      <c r="K2407" t="s">
        <v>59</v>
      </c>
      <c r="L2407" t="s">
        <v>35</v>
      </c>
      <c r="M2407" t="s">
        <v>40</v>
      </c>
      <c r="N2407" t="s">
        <v>41</v>
      </c>
    </row>
    <row r="2408" spans="1:14" x14ac:dyDescent="0.25">
      <c r="A2408">
        <v>20743</v>
      </c>
      <c r="B2408">
        <v>9102</v>
      </c>
      <c r="C2408">
        <f>1/COUNTIF(B:B,pizza_sales[[#This Row],[order_id]])</f>
        <v>0.33333333333333331</v>
      </c>
      <c r="D2408" t="s">
        <v>24</v>
      </c>
      <c r="E2408">
        <v>1</v>
      </c>
      <c r="F2408" s="1">
        <v>42041</v>
      </c>
      <c r="G2408" s="1" t="str">
        <f>TEXT(pizza_sales[[#This Row],[order_date]],"dddd")</f>
        <v>Friday</v>
      </c>
      <c r="H2408" s="2">
        <v>0.52844907407407404</v>
      </c>
      <c r="I2408">
        <v>20.25</v>
      </c>
      <c r="J2408">
        <v>20.25</v>
      </c>
      <c r="K2408" t="s">
        <v>58</v>
      </c>
      <c r="L2408" t="s">
        <v>17</v>
      </c>
      <c r="M2408" t="s">
        <v>18</v>
      </c>
      <c r="N2408" t="s">
        <v>19</v>
      </c>
    </row>
    <row r="2409" spans="1:14" x14ac:dyDescent="0.25">
      <c r="A2409">
        <v>20744</v>
      </c>
      <c r="B2409">
        <v>9102</v>
      </c>
      <c r="C2409">
        <f>1/COUNTIF(B:B,pizza_sales[[#This Row],[order_id]])</f>
        <v>0.33333333333333331</v>
      </c>
      <c r="D2409" t="s">
        <v>42</v>
      </c>
      <c r="E2409">
        <v>1</v>
      </c>
      <c r="F2409" s="1">
        <v>42041</v>
      </c>
      <c r="G2409" s="1" t="str">
        <f>TEXT(pizza_sales[[#This Row],[order_date]],"dddd")</f>
        <v>Friday</v>
      </c>
      <c r="H2409" s="2">
        <v>0.52844907407407404</v>
      </c>
      <c r="I2409">
        <v>12.5</v>
      </c>
      <c r="J2409">
        <v>12.5</v>
      </c>
      <c r="K2409" t="s">
        <v>59</v>
      </c>
      <c r="L2409" t="s">
        <v>13</v>
      </c>
      <c r="M2409" t="s">
        <v>26</v>
      </c>
      <c r="N2409" t="s">
        <v>27</v>
      </c>
    </row>
    <row r="2410" spans="1:14" x14ac:dyDescent="0.25">
      <c r="A2410">
        <v>20748</v>
      </c>
      <c r="B2410">
        <v>9102</v>
      </c>
      <c r="C2410">
        <f>1/COUNTIF(B:B,pizza_sales[[#This Row],[order_id]])</f>
        <v>0.33333333333333331</v>
      </c>
      <c r="D2410" t="s">
        <v>39</v>
      </c>
      <c r="E2410">
        <v>2</v>
      </c>
      <c r="F2410" s="1">
        <v>42041</v>
      </c>
      <c r="G2410" s="1" t="str">
        <f>TEXT(pizza_sales[[#This Row],[order_date]],"dddd")</f>
        <v>Friday</v>
      </c>
      <c r="H2410" s="2">
        <v>0.52844907407407404</v>
      </c>
      <c r="I2410">
        <v>20.25</v>
      </c>
      <c r="J2410">
        <v>40.5</v>
      </c>
      <c r="K2410" t="s">
        <v>58</v>
      </c>
      <c r="L2410" t="s">
        <v>35</v>
      </c>
      <c r="M2410" t="s">
        <v>40</v>
      </c>
      <c r="N2410" t="s">
        <v>41</v>
      </c>
    </row>
    <row r="2411" spans="1:14" x14ac:dyDescent="0.25">
      <c r="A2411">
        <v>20750</v>
      </c>
      <c r="B2411">
        <v>9103</v>
      </c>
      <c r="C2411">
        <f>1/COUNTIF(B:B,pizza_sales[[#This Row],[order_id]])</f>
        <v>1</v>
      </c>
      <c r="D2411" t="s">
        <v>42</v>
      </c>
      <c r="E2411">
        <v>1</v>
      </c>
      <c r="F2411" s="1">
        <v>42041</v>
      </c>
      <c r="G2411" s="1" t="str">
        <f>TEXT(pizza_sales[[#This Row],[order_date]],"dddd")</f>
        <v>Friday</v>
      </c>
      <c r="H2411" s="2">
        <v>0.53696759259259264</v>
      </c>
      <c r="I2411">
        <v>12.5</v>
      </c>
      <c r="J2411">
        <v>12.5</v>
      </c>
      <c r="K2411" t="s">
        <v>59</v>
      </c>
      <c r="L2411" t="s">
        <v>13</v>
      </c>
      <c r="M2411" t="s">
        <v>26</v>
      </c>
      <c r="N2411" t="s">
        <v>27</v>
      </c>
    </row>
    <row r="2412" spans="1:14" x14ac:dyDescent="0.25">
      <c r="A2412">
        <v>20755</v>
      </c>
      <c r="B2412">
        <v>9104</v>
      </c>
      <c r="C2412">
        <f>1/COUNTIF(B:B,pizza_sales[[#This Row],[order_id]])</f>
        <v>1</v>
      </c>
      <c r="D2412" t="s">
        <v>42</v>
      </c>
      <c r="E2412">
        <v>1</v>
      </c>
      <c r="F2412" s="1">
        <v>42041</v>
      </c>
      <c r="G2412" s="1" t="str">
        <f>TEXT(pizza_sales[[#This Row],[order_date]],"dddd")</f>
        <v>Friday</v>
      </c>
      <c r="H2412" s="2">
        <v>0.5411111111111111</v>
      </c>
      <c r="I2412">
        <v>12.5</v>
      </c>
      <c r="J2412">
        <v>12.5</v>
      </c>
      <c r="K2412" t="s">
        <v>59</v>
      </c>
      <c r="L2412" t="s">
        <v>13</v>
      </c>
      <c r="M2412" t="s">
        <v>26</v>
      </c>
      <c r="N2412" t="s">
        <v>27</v>
      </c>
    </row>
    <row r="2413" spans="1:14" x14ac:dyDescent="0.25">
      <c r="A2413">
        <v>20757</v>
      </c>
      <c r="B2413">
        <v>9106</v>
      </c>
      <c r="C2413">
        <f>1/COUNTIF(B:B,pizza_sales[[#This Row],[order_id]])</f>
        <v>1</v>
      </c>
      <c r="D2413" t="s">
        <v>28</v>
      </c>
      <c r="E2413">
        <v>1</v>
      </c>
      <c r="F2413" s="1">
        <v>42041</v>
      </c>
      <c r="G2413" s="1" t="str">
        <f>TEXT(pizza_sales[[#This Row],[order_date]],"dddd")</f>
        <v>Friday</v>
      </c>
      <c r="H2413" s="2">
        <v>0.54520833333333329</v>
      </c>
      <c r="I2413">
        <v>12</v>
      </c>
      <c r="J2413">
        <v>12</v>
      </c>
      <c r="K2413" t="s">
        <v>60</v>
      </c>
      <c r="L2413" t="s">
        <v>13</v>
      </c>
      <c r="M2413" t="s">
        <v>29</v>
      </c>
      <c r="N2413" t="s">
        <v>30</v>
      </c>
    </row>
    <row r="2414" spans="1:14" x14ac:dyDescent="0.25">
      <c r="A2414">
        <v>20762</v>
      </c>
      <c r="B2414">
        <v>9108</v>
      </c>
      <c r="C2414">
        <f>1/COUNTIF(B:B,pizza_sales[[#This Row],[order_id]])</f>
        <v>1</v>
      </c>
      <c r="D2414" t="s">
        <v>39</v>
      </c>
      <c r="E2414">
        <v>1</v>
      </c>
      <c r="F2414" s="1">
        <v>42041</v>
      </c>
      <c r="G2414" s="1" t="str">
        <f>TEXT(pizza_sales[[#This Row],[order_date]],"dddd")</f>
        <v>Friday</v>
      </c>
      <c r="H2414" s="2">
        <v>0.54790509259259257</v>
      </c>
      <c r="I2414">
        <v>20.25</v>
      </c>
      <c r="J2414">
        <v>20.25</v>
      </c>
      <c r="K2414" t="s">
        <v>58</v>
      </c>
      <c r="L2414" t="s">
        <v>35</v>
      </c>
      <c r="M2414" t="s">
        <v>40</v>
      </c>
      <c r="N2414" t="s">
        <v>41</v>
      </c>
    </row>
    <row r="2415" spans="1:14" x14ac:dyDescent="0.25">
      <c r="A2415">
        <v>20771</v>
      </c>
      <c r="B2415">
        <v>9111</v>
      </c>
      <c r="C2415">
        <f>1/COUNTIF(B:B,pizza_sales[[#This Row],[order_id]])</f>
        <v>1</v>
      </c>
      <c r="D2415" t="s">
        <v>20</v>
      </c>
      <c r="E2415">
        <v>1</v>
      </c>
      <c r="F2415" s="1">
        <v>42041</v>
      </c>
      <c r="G2415" s="1" t="str">
        <f>TEXT(pizza_sales[[#This Row],[order_date]],"dddd")</f>
        <v>Friday</v>
      </c>
      <c r="H2415" s="2">
        <v>0.56000000000000005</v>
      </c>
      <c r="I2415">
        <v>12</v>
      </c>
      <c r="J2415">
        <v>12</v>
      </c>
      <c r="K2415" t="s">
        <v>60</v>
      </c>
      <c r="L2415" t="s">
        <v>13</v>
      </c>
      <c r="M2415" t="s">
        <v>21</v>
      </c>
      <c r="N2415" t="s">
        <v>22</v>
      </c>
    </row>
    <row r="2416" spans="1:14" x14ac:dyDescent="0.25">
      <c r="A2416">
        <v>20778</v>
      </c>
      <c r="B2416">
        <v>9115</v>
      </c>
      <c r="C2416">
        <f>1/COUNTIF(B:B,pizza_sales[[#This Row],[order_id]])</f>
        <v>1</v>
      </c>
      <c r="D2416" t="s">
        <v>43</v>
      </c>
      <c r="E2416">
        <v>1</v>
      </c>
      <c r="F2416" s="1">
        <v>42041</v>
      </c>
      <c r="G2416" s="1" t="str">
        <f>TEXT(pizza_sales[[#This Row],[order_date]],"dddd")</f>
        <v>Friday</v>
      </c>
      <c r="H2416" s="2">
        <v>0.60384259259259254</v>
      </c>
      <c r="I2416">
        <v>16.25</v>
      </c>
      <c r="J2416">
        <v>16.25</v>
      </c>
      <c r="K2416" t="s">
        <v>59</v>
      </c>
      <c r="L2416" t="s">
        <v>35</v>
      </c>
      <c r="M2416" t="s">
        <v>40</v>
      </c>
      <c r="N2416" t="s">
        <v>41</v>
      </c>
    </row>
    <row r="2417" spans="1:14" x14ac:dyDescent="0.25">
      <c r="A2417">
        <v>20779</v>
      </c>
      <c r="B2417">
        <v>9116</v>
      </c>
      <c r="C2417">
        <f>1/COUNTIF(B:B,pizza_sales[[#This Row],[order_id]])</f>
        <v>1</v>
      </c>
      <c r="D2417" t="s">
        <v>24</v>
      </c>
      <c r="E2417">
        <v>1</v>
      </c>
      <c r="F2417" s="1">
        <v>42041</v>
      </c>
      <c r="G2417" s="1" t="str">
        <f>TEXT(pizza_sales[[#This Row],[order_date]],"dddd")</f>
        <v>Friday</v>
      </c>
      <c r="H2417" s="2">
        <v>0.60751157407407408</v>
      </c>
      <c r="I2417">
        <v>20.25</v>
      </c>
      <c r="J2417">
        <v>20.25</v>
      </c>
      <c r="K2417" t="s">
        <v>58</v>
      </c>
      <c r="L2417" t="s">
        <v>17</v>
      </c>
      <c r="M2417" t="s">
        <v>18</v>
      </c>
      <c r="N2417" t="s">
        <v>19</v>
      </c>
    </row>
    <row r="2418" spans="1:14" x14ac:dyDescent="0.25">
      <c r="A2418">
        <v>20781</v>
      </c>
      <c r="B2418">
        <v>9117</v>
      </c>
      <c r="C2418">
        <f>1/COUNTIF(B:B,pizza_sales[[#This Row],[order_id]])</f>
        <v>1</v>
      </c>
      <c r="D2418" t="s">
        <v>28</v>
      </c>
      <c r="E2418">
        <v>1</v>
      </c>
      <c r="F2418" s="1">
        <v>42041</v>
      </c>
      <c r="G2418" s="1" t="str">
        <f>TEXT(pizza_sales[[#This Row],[order_date]],"dddd")</f>
        <v>Friday</v>
      </c>
      <c r="H2418" s="2">
        <v>0.60818287037037033</v>
      </c>
      <c r="I2418">
        <v>12</v>
      </c>
      <c r="J2418">
        <v>12</v>
      </c>
      <c r="K2418" t="s">
        <v>60</v>
      </c>
      <c r="L2418" t="s">
        <v>13</v>
      </c>
      <c r="M2418" t="s">
        <v>29</v>
      </c>
      <c r="N2418" t="s">
        <v>30</v>
      </c>
    </row>
    <row r="2419" spans="1:14" x14ac:dyDescent="0.25">
      <c r="A2419">
        <v>20788</v>
      </c>
      <c r="B2419">
        <v>9120</v>
      </c>
      <c r="C2419">
        <f>1/COUNTIF(B:B,pizza_sales[[#This Row],[order_id]])</f>
        <v>0.5</v>
      </c>
      <c r="D2419" t="s">
        <v>28</v>
      </c>
      <c r="E2419">
        <v>1</v>
      </c>
      <c r="F2419" s="1">
        <v>42041</v>
      </c>
      <c r="G2419" s="1" t="str">
        <f>TEXT(pizza_sales[[#This Row],[order_date]],"dddd")</f>
        <v>Friday</v>
      </c>
      <c r="H2419" s="2">
        <v>0.63034722222222217</v>
      </c>
      <c r="I2419">
        <v>12</v>
      </c>
      <c r="J2419">
        <v>12</v>
      </c>
      <c r="K2419" t="s">
        <v>60</v>
      </c>
      <c r="L2419" t="s">
        <v>13</v>
      </c>
      <c r="M2419" t="s">
        <v>29</v>
      </c>
      <c r="N2419" t="s">
        <v>30</v>
      </c>
    </row>
    <row r="2420" spans="1:14" x14ac:dyDescent="0.25">
      <c r="A2420">
        <v>20789</v>
      </c>
      <c r="B2420">
        <v>9120</v>
      </c>
      <c r="C2420">
        <f>1/COUNTIF(B:B,pizza_sales[[#This Row],[order_id]])</f>
        <v>0.5</v>
      </c>
      <c r="D2420" t="s">
        <v>51</v>
      </c>
      <c r="E2420">
        <v>1</v>
      </c>
      <c r="F2420" s="1">
        <v>42041</v>
      </c>
      <c r="G2420" s="1" t="str">
        <f>TEXT(pizza_sales[[#This Row],[order_date]],"dddd")</f>
        <v>Friday</v>
      </c>
      <c r="H2420" s="2">
        <v>0.63034722222222217</v>
      </c>
      <c r="I2420">
        <v>23.65</v>
      </c>
      <c r="J2420">
        <v>23.65</v>
      </c>
      <c r="K2420" t="s">
        <v>60</v>
      </c>
      <c r="L2420" t="s">
        <v>35</v>
      </c>
      <c r="M2420" t="s">
        <v>52</v>
      </c>
      <c r="N2420" t="s">
        <v>53</v>
      </c>
    </row>
    <row r="2421" spans="1:14" x14ac:dyDescent="0.25">
      <c r="A2421">
        <v>20797</v>
      </c>
      <c r="B2421">
        <v>9124</v>
      </c>
      <c r="C2421">
        <f>1/COUNTIF(B:B,pizza_sales[[#This Row],[order_id]])</f>
        <v>1</v>
      </c>
      <c r="D2421" t="s">
        <v>55</v>
      </c>
      <c r="E2421">
        <v>1</v>
      </c>
      <c r="F2421" s="1">
        <v>42041</v>
      </c>
      <c r="G2421" s="1" t="str">
        <f>TEXT(pizza_sales[[#This Row],[order_date]],"dddd")</f>
        <v>Friday</v>
      </c>
      <c r="H2421" s="2">
        <v>0.6592824074074074</v>
      </c>
      <c r="I2421">
        <v>20.5</v>
      </c>
      <c r="J2421">
        <v>20.5</v>
      </c>
      <c r="K2421" t="s">
        <v>58</v>
      </c>
      <c r="L2421" t="s">
        <v>13</v>
      </c>
      <c r="M2421" t="s">
        <v>21</v>
      </c>
      <c r="N2421" t="s">
        <v>22</v>
      </c>
    </row>
    <row r="2422" spans="1:14" x14ac:dyDescent="0.25">
      <c r="A2422">
        <v>20803</v>
      </c>
      <c r="B2422">
        <v>9127</v>
      </c>
      <c r="C2422">
        <f>1/COUNTIF(B:B,pizza_sales[[#This Row],[order_id]])</f>
        <v>1</v>
      </c>
      <c r="D2422" t="s">
        <v>24</v>
      </c>
      <c r="E2422">
        <v>1</v>
      </c>
      <c r="F2422" s="1">
        <v>42041</v>
      </c>
      <c r="G2422" s="1" t="str">
        <f>TEXT(pizza_sales[[#This Row],[order_date]],"dddd")</f>
        <v>Friday</v>
      </c>
      <c r="H2422" s="2">
        <v>0.67271990740740739</v>
      </c>
      <c r="I2422">
        <v>20.25</v>
      </c>
      <c r="J2422">
        <v>20.25</v>
      </c>
      <c r="K2422" t="s">
        <v>58</v>
      </c>
      <c r="L2422" t="s">
        <v>17</v>
      </c>
      <c r="M2422" t="s">
        <v>18</v>
      </c>
      <c r="N2422" t="s">
        <v>19</v>
      </c>
    </row>
    <row r="2423" spans="1:14" x14ac:dyDescent="0.25">
      <c r="A2423">
        <v>20811</v>
      </c>
      <c r="B2423">
        <v>9130</v>
      </c>
      <c r="C2423">
        <f>1/COUNTIF(B:B,pizza_sales[[#This Row],[order_id]])</f>
        <v>1</v>
      </c>
      <c r="D2423" t="s">
        <v>16</v>
      </c>
      <c r="E2423">
        <v>1</v>
      </c>
      <c r="F2423" s="1">
        <v>42041</v>
      </c>
      <c r="G2423" s="1" t="str">
        <f>TEXT(pizza_sales[[#This Row],[order_date]],"dddd")</f>
        <v>Friday</v>
      </c>
      <c r="H2423" s="2">
        <v>0.69715277777777773</v>
      </c>
      <c r="I2423">
        <v>16</v>
      </c>
      <c r="J2423">
        <v>16</v>
      </c>
      <c r="K2423" t="s">
        <v>59</v>
      </c>
      <c r="L2423" t="s">
        <v>17</v>
      </c>
      <c r="M2423" t="s">
        <v>18</v>
      </c>
      <c r="N2423" t="s">
        <v>19</v>
      </c>
    </row>
    <row r="2424" spans="1:14" x14ac:dyDescent="0.25">
      <c r="A2424">
        <v>20820</v>
      </c>
      <c r="B2424">
        <v>9133</v>
      </c>
      <c r="C2424">
        <f>1/COUNTIF(B:B,pizza_sales[[#This Row],[order_id]])</f>
        <v>1</v>
      </c>
      <c r="D2424" t="s">
        <v>50</v>
      </c>
      <c r="E2424">
        <v>1</v>
      </c>
      <c r="F2424" s="1">
        <v>42041</v>
      </c>
      <c r="G2424" s="1" t="str">
        <f>TEXT(pizza_sales[[#This Row],[order_date]],"dddd")</f>
        <v>Friday</v>
      </c>
      <c r="H2424" s="2">
        <v>0.70877314814814818</v>
      </c>
      <c r="I2424">
        <v>16</v>
      </c>
      <c r="J2424">
        <v>16</v>
      </c>
      <c r="K2424" t="s">
        <v>59</v>
      </c>
      <c r="L2424" t="s">
        <v>13</v>
      </c>
      <c r="M2424" t="s">
        <v>32</v>
      </c>
      <c r="N2424" t="s">
        <v>33</v>
      </c>
    </row>
    <row r="2425" spans="1:14" x14ac:dyDescent="0.25">
      <c r="A2425">
        <v>20825</v>
      </c>
      <c r="B2425">
        <v>9135</v>
      </c>
      <c r="C2425">
        <f>1/COUNTIF(B:B,pizza_sales[[#This Row],[order_id]])</f>
        <v>1</v>
      </c>
      <c r="D2425" t="s">
        <v>43</v>
      </c>
      <c r="E2425">
        <v>1</v>
      </c>
      <c r="F2425" s="1">
        <v>42041</v>
      </c>
      <c r="G2425" s="1" t="str">
        <f>TEXT(pizza_sales[[#This Row],[order_date]],"dddd")</f>
        <v>Friday</v>
      </c>
      <c r="H2425" s="2">
        <v>0.72266203703703702</v>
      </c>
      <c r="I2425">
        <v>16.25</v>
      </c>
      <c r="J2425">
        <v>16.25</v>
      </c>
      <c r="K2425" t="s">
        <v>59</v>
      </c>
      <c r="L2425" t="s">
        <v>35</v>
      </c>
      <c r="M2425" t="s">
        <v>40</v>
      </c>
      <c r="N2425" t="s">
        <v>41</v>
      </c>
    </row>
    <row r="2426" spans="1:14" x14ac:dyDescent="0.25">
      <c r="A2426">
        <v>20827</v>
      </c>
      <c r="B2426">
        <v>9136</v>
      </c>
      <c r="C2426">
        <f>1/COUNTIF(B:B,pizza_sales[[#This Row],[order_id]])</f>
        <v>1</v>
      </c>
      <c r="D2426" t="s">
        <v>43</v>
      </c>
      <c r="E2426">
        <v>1</v>
      </c>
      <c r="F2426" s="1">
        <v>42041</v>
      </c>
      <c r="G2426" s="1" t="str">
        <f>TEXT(pizza_sales[[#This Row],[order_date]],"dddd")</f>
        <v>Friday</v>
      </c>
      <c r="H2426" s="2">
        <v>0.74394675925925924</v>
      </c>
      <c r="I2426">
        <v>16.25</v>
      </c>
      <c r="J2426">
        <v>16.25</v>
      </c>
      <c r="K2426" t="s">
        <v>59</v>
      </c>
      <c r="L2426" t="s">
        <v>35</v>
      </c>
      <c r="M2426" t="s">
        <v>40</v>
      </c>
      <c r="N2426" t="s">
        <v>41</v>
      </c>
    </row>
    <row r="2427" spans="1:14" x14ac:dyDescent="0.25">
      <c r="A2427">
        <v>20828</v>
      </c>
      <c r="B2427">
        <v>9137</v>
      </c>
      <c r="C2427">
        <f>1/COUNTIF(B:B,pizza_sales[[#This Row],[order_id]])</f>
        <v>0.5</v>
      </c>
      <c r="D2427" t="s">
        <v>47</v>
      </c>
      <c r="E2427">
        <v>1</v>
      </c>
      <c r="F2427" s="1">
        <v>42041</v>
      </c>
      <c r="G2427" s="1" t="str">
        <f>TEXT(pizza_sales[[#This Row],[order_date]],"dddd")</f>
        <v>Friday</v>
      </c>
      <c r="H2427" s="2">
        <v>0.74802083333333336</v>
      </c>
      <c r="I2427">
        <v>16.5</v>
      </c>
      <c r="J2427">
        <v>16.5</v>
      </c>
      <c r="K2427" t="s">
        <v>58</v>
      </c>
      <c r="L2427" t="s">
        <v>13</v>
      </c>
      <c r="M2427" t="s">
        <v>14</v>
      </c>
      <c r="N2427" t="s">
        <v>15</v>
      </c>
    </row>
    <row r="2428" spans="1:14" x14ac:dyDescent="0.25">
      <c r="A2428">
        <v>20829</v>
      </c>
      <c r="B2428">
        <v>9137</v>
      </c>
      <c r="C2428">
        <f>1/COUNTIF(B:B,pizza_sales[[#This Row],[order_id]])</f>
        <v>0.5</v>
      </c>
      <c r="D2428" t="s">
        <v>25</v>
      </c>
      <c r="E2428">
        <v>1</v>
      </c>
      <c r="F2428" s="1">
        <v>42041</v>
      </c>
      <c r="G2428" s="1" t="str">
        <f>TEXT(pizza_sales[[#This Row],[order_date]],"dddd")</f>
        <v>Friday</v>
      </c>
      <c r="H2428" s="2">
        <v>0.74802083333333336</v>
      </c>
      <c r="I2428">
        <v>15.25</v>
      </c>
      <c r="J2428">
        <v>15.25</v>
      </c>
      <c r="K2428" t="s">
        <v>58</v>
      </c>
      <c r="L2428" t="s">
        <v>13</v>
      </c>
      <c r="M2428" t="s">
        <v>26</v>
      </c>
      <c r="N2428" t="s">
        <v>27</v>
      </c>
    </row>
    <row r="2429" spans="1:14" x14ac:dyDescent="0.25">
      <c r="A2429">
        <v>20831</v>
      </c>
      <c r="B2429">
        <v>9138</v>
      </c>
      <c r="C2429">
        <f>1/COUNTIF(B:B,pizza_sales[[#This Row],[order_id]])</f>
        <v>1</v>
      </c>
      <c r="D2429" t="s">
        <v>28</v>
      </c>
      <c r="E2429">
        <v>1</v>
      </c>
      <c r="F2429" s="1">
        <v>42041</v>
      </c>
      <c r="G2429" s="1" t="str">
        <f>TEXT(pizza_sales[[#This Row],[order_date]],"dddd")</f>
        <v>Friday</v>
      </c>
      <c r="H2429" s="2">
        <v>0.76714120370370376</v>
      </c>
      <c r="I2429">
        <v>12</v>
      </c>
      <c r="J2429">
        <v>12</v>
      </c>
      <c r="K2429" t="s">
        <v>60</v>
      </c>
      <c r="L2429" t="s">
        <v>13</v>
      </c>
      <c r="M2429" t="s">
        <v>29</v>
      </c>
      <c r="N2429" t="s">
        <v>30</v>
      </c>
    </row>
    <row r="2430" spans="1:14" x14ac:dyDescent="0.25">
      <c r="A2430">
        <v>20841</v>
      </c>
      <c r="B2430">
        <v>9143</v>
      </c>
      <c r="C2430">
        <f>1/COUNTIF(B:B,pizza_sales[[#This Row],[order_id]])</f>
        <v>1</v>
      </c>
      <c r="D2430" t="s">
        <v>55</v>
      </c>
      <c r="E2430">
        <v>1</v>
      </c>
      <c r="F2430" s="1">
        <v>42041</v>
      </c>
      <c r="G2430" s="1" t="str">
        <f>TEXT(pizza_sales[[#This Row],[order_date]],"dddd")</f>
        <v>Friday</v>
      </c>
      <c r="H2430" s="2">
        <v>0.79605324074074069</v>
      </c>
      <c r="I2430">
        <v>20.5</v>
      </c>
      <c r="J2430">
        <v>20.5</v>
      </c>
      <c r="K2430" t="s">
        <v>58</v>
      </c>
      <c r="L2430" t="s">
        <v>13</v>
      </c>
      <c r="M2430" t="s">
        <v>21</v>
      </c>
      <c r="N2430" t="s">
        <v>22</v>
      </c>
    </row>
    <row r="2431" spans="1:14" x14ac:dyDescent="0.25">
      <c r="A2431">
        <v>20844</v>
      </c>
      <c r="B2431">
        <v>9145</v>
      </c>
      <c r="C2431">
        <f>1/COUNTIF(B:B,pizza_sales[[#This Row],[order_id]])</f>
        <v>1</v>
      </c>
      <c r="D2431" t="s">
        <v>24</v>
      </c>
      <c r="E2431">
        <v>1</v>
      </c>
      <c r="F2431" s="1">
        <v>42041</v>
      </c>
      <c r="G2431" s="1" t="str">
        <f>TEXT(pizza_sales[[#This Row],[order_date]],"dddd")</f>
        <v>Friday</v>
      </c>
      <c r="H2431" s="2">
        <v>0.79983796296296295</v>
      </c>
      <c r="I2431">
        <v>20.25</v>
      </c>
      <c r="J2431">
        <v>20.25</v>
      </c>
      <c r="K2431" t="s">
        <v>58</v>
      </c>
      <c r="L2431" t="s">
        <v>17</v>
      </c>
      <c r="M2431" t="s">
        <v>18</v>
      </c>
      <c r="N2431" t="s">
        <v>19</v>
      </c>
    </row>
    <row r="2432" spans="1:14" x14ac:dyDescent="0.25">
      <c r="A2432">
        <v>20847</v>
      </c>
      <c r="B2432">
        <v>9146</v>
      </c>
      <c r="C2432">
        <f>1/COUNTIF(B:B,pizza_sales[[#This Row],[order_id]])</f>
        <v>0.5</v>
      </c>
      <c r="D2432" t="s">
        <v>54</v>
      </c>
      <c r="E2432">
        <v>1</v>
      </c>
      <c r="F2432" s="1">
        <v>42041</v>
      </c>
      <c r="G2432" s="1" t="str">
        <f>TEXT(pizza_sales[[#This Row],[order_date]],"dddd")</f>
        <v>Friday</v>
      </c>
      <c r="H2432" s="2">
        <v>0.80153935185185188</v>
      </c>
      <c r="I2432">
        <v>12.25</v>
      </c>
      <c r="J2432">
        <v>12.25</v>
      </c>
      <c r="K2432" t="s">
        <v>60</v>
      </c>
      <c r="L2432" t="s">
        <v>35</v>
      </c>
      <c r="M2432" t="s">
        <v>36</v>
      </c>
      <c r="N2432" t="s">
        <v>37</v>
      </c>
    </row>
    <row r="2433" spans="1:14" x14ac:dyDescent="0.25">
      <c r="A2433">
        <v>20849</v>
      </c>
      <c r="B2433">
        <v>9146</v>
      </c>
      <c r="C2433">
        <f>1/COUNTIF(B:B,pizza_sales[[#This Row],[order_id]])</f>
        <v>0.5</v>
      </c>
      <c r="D2433" t="s">
        <v>55</v>
      </c>
      <c r="E2433">
        <v>1</v>
      </c>
      <c r="F2433" s="1">
        <v>42041</v>
      </c>
      <c r="G2433" s="1" t="str">
        <f>TEXT(pizza_sales[[#This Row],[order_date]],"dddd")</f>
        <v>Friday</v>
      </c>
      <c r="H2433" s="2">
        <v>0.80153935185185188</v>
      </c>
      <c r="I2433">
        <v>20.5</v>
      </c>
      <c r="J2433">
        <v>20.5</v>
      </c>
      <c r="K2433" t="s">
        <v>58</v>
      </c>
      <c r="L2433" t="s">
        <v>13</v>
      </c>
      <c r="M2433" t="s">
        <v>21</v>
      </c>
      <c r="N2433" t="s">
        <v>22</v>
      </c>
    </row>
    <row r="2434" spans="1:14" x14ac:dyDescent="0.25">
      <c r="A2434">
        <v>20850</v>
      </c>
      <c r="B2434">
        <v>9147</v>
      </c>
      <c r="C2434">
        <f>1/COUNTIF(B:B,pizza_sales[[#This Row],[order_id]])</f>
        <v>1</v>
      </c>
      <c r="D2434" t="s">
        <v>48</v>
      </c>
      <c r="E2434">
        <v>1</v>
      </c>
      <c r="F2434" s="1">
        <v>42041</v>
      </c>
      <c r="G2434" s="1" t="str">
        <f>TEXT(pizza_sales[[#This Row],[order_date]],"dddd")</f>
        <v>Friday</v>
      </c>
      <c r="H2434" s="2">
        <v>0.81258101851851849</v>
      </c>
      <c r="I2434">
        <v>12.25</v>
      </c>
      <c r="J2434">
        <v>12.25</v>
      </c>
      <c r="K2434" t="s">
        <v>60</v>
      </c>
      <c r="L2434" t="s">
        <v>35</v>
      </c>
      <c r="M2434" t="s">
        <v>40</v>
      </c>
      <c r="N2434" t="s">
        <v>41</v>
      </c>
    </row>
    <row r="2435" spans="1:14" x14ac:dyDescent="0.25">
      <c r="A2435">
        <v>20854</v>
      </c>
      <c r="B2435">
        <v>9149</v>
      </c>
      <c r="C2435">
        <f>1/COUNTIF(B:B,pizza_sales[[#This Row],[order_id]])</f>
        <v>1</v>
      </c>
      <c r="D2435" t="s">
        <v>42</v>
      </c>
      <c r="E2435">
        <v>1</v>
      </c>
      <c r="F2435" s="1">
        <v>42041</v>
      </c>
      <c r="G2435" s="1" t="str">
        <f>TEXT(pizza_sales[[#This Row],[order_date]],"dddd")</f>
        <v>Friday</v>
      </c>
      <c r="H2435" s="2">
        <v>0.88708333333333333</v>
      </c>
      <c r="I2435">
        <v>12.5</v>
      </c>
      <c r="J2435">
        <v>12.5</v>
      </c>
      <c r="K2435" t="s">
        <v>59</v>
      </c>
      <c r="L2435" t="s">
        <v>13</v>
      </c>
      <c r="M2435" t="s">
        <v>26</v>
      </c>
      <c r="N2435" t="s">
        <v>27</v>
      </c>
    </row>
    <row r="2436" spans="1:14" x14ac:dyDescent="0.25">
      <c r="A2436">
        <v>20874</v>
      </c>
      <c r="B2436">
        <v>9158</v>
      </c>
      <c r="C2436">
        <f>1/COUNTIF(B:B,pizza_sales[[#This Row],[order_id]])</f>
        <v>1</v>
      </c>
      <c r="D2436" t="s">
        <v>28</v>
      </c>
      <c r="E2436">
        <v>1</v>
      </c>
      <c r="F2436" s="1">
        <v>42069</v>
      </c>
      <c r="G2436" s="1" t="str">
        <f>TEXT(pizza_sales[[#This Row],[order_date]],"dddd")</f>
        <v>Friday</v>
      </c>
      <c r="H2436" s="2">
        <v>0.50662037037037033</v>
      </c>
      <c r="I2436">
        <v>12</v>
      </c>
      <c r="J2436">
        <v>12</v>
      </c>
      <c r="K2436" t="s">
        <v>60</v>
      </c>
      <c r="L2436" t="s">
        <v>13</v>
      </c>
      <c r="M2436" t="s">
        <v>29</v>
      </c>
      <c r="N2436" t="s">
        <v>30</v>
      </c>
    </row>
    <row r="2437" spans="1:14" x14ac:dyDescent="0.25">
      <c r="A2437">
        <v>20886</v>
      </c>
      <c r="B2437">
        <v>9163</v>
      </c>
      <c r="C2437">
        <f>1/COUNTIF(B:B,pizza_sales[[#This Row],[order_id]])</f>
        <v>0.25</v>
      </c>
      <c r="D2437" t="s">
        <v>47</v>
      </c>
      <c r="E2437">
        <v>1</v>
      </c>
      <c r="F2437" s="1">
        <v>42069</v>
      </c>
      <c r="G2437" s="1" t="str">
        <f>TEXT(pizza_sales[[#This Row],[order_date]],"dddd")</f>
        <v>Friday</v>
      </c>
      <c r="H2437" s="2">
        <v>0.53423611111111113</v>
      </c>
      <c r="I2437">
        <v>16.5</v>
      </c>
      <c r="J2437">
        <v>16.5</v>
      </c>
      <c r="K2437" t="s">
        <v>58</v>
      </c>
      <c r="L2437" t="s">
        <v>13</v>
      </c>
      <c r="M2437" t="s">
        <v>14</v>
      </c>
      <c r="N2437" t="s">
        <v>15</v>
      </c>
    </row>
    <row r="2438" spans="1:14" x14ac:dyDescent="0.25">
      <c r="A2438">
        <v>20888</v>
      </c>
      <c r="B2438">
        <v>9163</v>
      </c>
      <c r="C2438">
        <f>1/COUNTIF(B:B,pizza_sales[[#This Row],[order_id]])</f>
        <v>0.25</v>
      </c>
      <c r="D2438" t="s">
        <v>24</v>
      </c>
      <c r="E2438">
        <v>1</v>
      </c>
      <c r="F2438" s="1">
        <v>42069</v>
      </c>
      <c r="G2438" s="1" t="str">
        <f>TEXT(pizza_sales[[#This Row],[order_date]],"dddd")</f>
        <v>Friday</v>
      </c>
      <c r="H2438" s="2">
        <v>0.53423611111111113</v>
      </c>
      <c r="I2438">
        <v>20.25</v>
      </c>
      <c r="J2438">
        <v>20.25</v>
      </c>
      <c r="K2438" t="s">
        <v>58</v>
      </c>
      <c r="L2438" t="s">
        <v>17</v>
      </c>
      <c r="M2438" t="s">
        <v>18</v>
      </c>
      <c r="N2438" t="s">
        <v>19</v>
      </c>
    </row>
    <row r="2439" spans="1:14" x14ac:dyDescent="0.25">
      <c r="A2439">
        <v>20889</v>
      </c>
      <c r="B2439">
        <v>9163</v>
      </c>
      <c r="C2439">
        <f>1/COUNTIF(B:B,pizza_sales[[#This Row],[order_id]])</f>
        <v>0.25</v>
      </c>
      <c r="D2439" t="s">
        <v>25</v>
      </c>
      <c r="E2439">
        <v>1</v>
      </c>
      <c r="F2439" s="1">
        <v>42069</v>
      </c>
      <c r="G2439" s="1" t="str">
        <f>TEXT(pizza_sales[[#This Row],[order_date]],"dddd")</f>
        <v>Friday</v>
      </c>
      <c r="H2439" s="2">
        <v>0.53423611111111113</v>
      </c>
      <c r="I2439">
        <v>15.25</v>
      </c>
      <c r="J2439">
        <v>15.25</v>
      </c>
      <c r="K2439" t="s">
        <v>58</v>
      </c>
      <c r="L2439" t="s">
        <v>13</v>
      </c>
      <c r="M2439" t="s">
        <v>26</v>
      </c>
      <c r="N2439" t="s">
        <v>27</v>
      </c>
    </row>
    <row r="2440" spans="1:14" x14ac:dyDescent="0.25">
      <c r="A2440">
        <v>20891</v>
      </c>
      <c r="B2440">
        <v>9163</v>
      </c>
      <c r="C2440">
        <f>1/COUNTIF(B:B,pizza_sales[[#This Row],[order_id]])</f>
        <v>0.25</v>
      </c>
      <c r="D2440" t="s">
        <v>43</v>
      </c>
      <c r="E2440">
        <v>1</v>
      </c>
      <c r="F2440" s="1">
        <v>42069</v>
      </c>
      <c r="G2440" s="1" t="str">
        <f>TEXT(pizza_sales[[#This Row],[order_date]],"dddd")</f>
        <v>Friday</v>
      </c>
      <c r="H2440" s="2">
        <v>0.53423611111111113</v>
      </c>
      <c r="I2440">
        <v>16.25</v>
      </c>
      <c r="J2440">
        <v>16.25</v>
      </c>
      <c r="K2440" t="s">
        <v>59</v>
      </c>
      <c r="L2440" t="s">
        <v>35</v>
      </c>
      <c r="M2440" t="s">
        <v>40</v>
      </c>
      <c r="N2440" t="s">
        <v>41</v>
      </c>
    </row>
    <row r="2441" spans="1:14" x14ac:dyDescent="0.25">
      <c r="A2441">
        <v>20895</v>
      </c>
      <c r="B2441">
        <v>9166</v>
      </c>
      <c r="C2441">
        <f>1/COUNTIF(B:B,pizza_sales[[#This Row],[order_id]])</f>
        <v>1</v>
      </c>
      <c r="D2441" t="s">
        <v>47</v>
      </c>
      <c r="E2441">
        <v>1</v>
      </c>
      <c r="F2441" s="1">
        <v>42069</v>
      </c>
      <c r="G2441" s="1" t="str">
        <f>TEXT(pizza_sales[[#This Row],[order_date]],"dddd")</f>
        <v>Friday</v>
      </c>
      <c r="H2441" s="2">
        <v>0.5400462962962963</v>
      </c>
      <c r="I2441">
        <v>16.5</v>
      </c>
      <c r="J2441">
        <v>16.5</v>
      </c>
      <c r="K2441" t="s">
        <v>58</v>
      </c>
      <c r="L2441" t="s">
        <v>13</v>
      </c>
      <c r="M2441" t="s">
        <v>14</v>
      </c>
      <c r="N2441" t="s">
        <v>15</v>
      </c>
    </row>
    <row r="2442" spans="1:14" x14ac:dyDescent="0.25">
      <c r="A2442">
        <v>20897</v>
      </c>
      <c r="B2442">
        <v>9167</v>
      </c>
      <c r="C2442">
        <f>1/COUNTIF(B:B,pizza_sales[[#This Row],[order_id]])</f>
        <v>1</v>
      </c>
      <c r="D2442" t="s">
        <v>39</v>
      </c>
      <c r="E2442">
        <v>1</v>
      </c>
      <c r="F2442" s="1">
        <v>42069</v>
      </c>
      <c r="G2442" s="1" t="str">
        <f>TEXT(pizza_sales[[#This Row],[order_date]],"dddd")</f>
        <v>Friday</v>
      </c>
      <c r="H2442" s="2">
        <v>0.54329861111111111</v>
      </c>
      <c r="I2442">
        <v>20.25</v>
      </c>
      <c r="J2442">
        <v>20.25</v>
      </c>
      <c r="K2442" t="s">
        <v>58</v>
      </c>
      <c r="L2442" t="s">
        <v>35</v>
      </c>
      <c r="M2442" t="s">
        <v>40</v>
      </c>
      <c r="N2442" t="s">
        <v>41</v>
      </c>
    </row>
    <row r="2443" spans="1:14" x14ac:dyDescent="0.25">
      <c r="A2443">
        <v>20905</v>
      </c>
      <c r="B2443">
        <v>9171</v>
      </c>
      <c r="C2443">
        <f>1/COUNTIF(B:B,pizza_sales[[#This Row],[order_id]])</f>
        <v>1</v>
      </c>
      <c r="D2443" t="s">
        <v>25</v>
      </c>
      <c r="E2443">
        <v>1</v>
      </c>
      <c r="F2443" s="1">
        <v>42069</v>
      </c>
      <c r="G2443" s="1" t="str">
        <f>TEXT(pizza_sales[[#This Row],[order_date]],"dddd")</f>
        <v>Friday</v>
      </c>
      <c r="H2443" s="2">
        <v>0.56467592592592597</v>
      </c>
      <c r="I2443">
        <v>15.25</v>
      </c>
      <c r="J2443">
        <v>15.25</v>
      </c>
      <c r="K2443" t="s">
        <v>58</v>
      </c>
      <c r="L2443" t="s">
        <v>13</v>
      </c>
      <c r="M2443" t="s">
        <v>26</v>
      </c>
      <c r="N2443" t="s">
        <v>27</v>
      </c>
    </row>
    <row r="2444" spans="1:14" x14ac:dyDescent="0.25">
      <c r="A2444">
        <v>20906</v>
      </c>
      <c r="B2444">
        <v>9172</v>
      </c>
      <c r="C2444">
        <f>1/COUNTIF(B:B,pizza_sales[[#This Row],[order_id]])</f>
        <v>1</v>
      </c>
      <c r="D2444" t="s">
        <v>39</v>
      </c>
      <c r="E2444">
        <v>1</v>
      </c>
      <c r="F2444" s="1">
        <v>42069</v>
      </c>
      <c r="G2444" s="1" t="str">
        <f>TEXT(pizza_sales[[#This Row],[order_date]],"dddd")</f>
        <v>Friday</v>
      </c>
      <c r="H2444" s="2">
        <v>0.56665509259259261</v>
      </c>
      <c r="I2444">
        <v>20.25</v>
      </c>
      <c r="J2444">
        <v>20.25</v>
      </c>
      <c r="K2444" t="s">
        <v>58</v>
      </c>
      <c r="L2444" t="s">
        <v>35</v>
      </c>
      <c r="M2444" t="s">
        <v>40</v>
      </c>
      <c r="N2444" t="s">
        <v>41</v>
      </c>
    </row>
    <row r="2445" spans="1:14" x14ac:dyDescent="0.25">
      <c r="A2445">
        <v>20914</v>
      </c>
      <c r="B2445">
        <v>9176</v>
      </c>
      <c r="C2445">
        <f>1/COUNTIF(B:B,pizza_sales[[#This Row],[order_id]])</f>
        <v>1</v>
      </c>
      <c r="D2445" t="s">
        <v>39</v>
      </c>
      <c r="E2445">
        <v>1</v>
      </c>
      <c r="F2445" s="1">
        <v>42069</v>
      </c>
      <c r="G2445" s="1" t="str">
        <f>TEXT(pizza_sales[[#This Row],[order_date]],"dddd")</f>
        <v>Friday</v>
      </c>
      <c r="H2445" s="2">
        <v>0.60725694444444445</v>
      </c>
      <c r="I2445">
        <v>20.25</v>
      </c>
      <c r="J2445">
        <v>20.25</v>
      </c>
      <c r="K2445" t="s">
        <v>58</v>
      </c>
      <c r="L2445" t="s">
        <v>35</v>
      </c>
      <c r="M2445" t="s">
        <v>40</v>
      </c>
      <c r="N2445" t="s">
        <v>41</v>
      </c>
    </row>
    <row r="2446" spans="1:14" x14ac:dyDescent="0.25">
      <c r="A2446">
        <v>20919</v>
      </c>
      <c r="B2446">
        <v>9178</v>
      </c>
      <c r="C2446">
        <f>1/COUNTIF(B:B,pizza_sales[[#This Row],[order_id]])</f>
        <v>1</v>
      </c>
      <c r="D2446" t="s">
        <v>44</v>
      </c>
      <c r="E2446">
        <v>1</v>
      </c>
      <c r="F2446" s="1">
        <v>42069</v>
      </c>
      <c r="G2446" s="1" t="str">
        <f>TEXT(pizza_sales[[#This Row],[order_date]],"dddd")</f>
        <v>Friday</v>
      </c>
      <c r="H2446" s="2">
        <v>0.61508101851851849</v>
      </c>
      <c r="I2446">
        <v>9.75</v>
      </c>
      <c r="J2446">
        <v>9.75</v>
      </c>
      <c r="K2446" t="s">
        <v>60</v>
      </c>
      <c r="L2446" t="s">
        <v>13</v>
      </c>
      <c r="M2446" t="s">
        <v>26</v>
      </c>
      <c r="N2446" t="s">
        <v>27</v>
      </c>
    </row>
    <row r="2447" spans="1:14" x14ac:dyDescent="0.25">
      <c r="A2447">
        <v>20923</v>
      </c>
      <c r="B2447">
        <v>9180</v>
      </c>
      <c r="C2447">
        <f>1/COUNTIF(B:B,pizza_sales[[#This Row],[order_id]])</f>
        <v>1</v>
      </c>
      <c r="D2447" t="s">
        <v>24</v>
      </c>
      <c r="E2447">
        <v>1</v>
      </c>
      <c r="F2447" s="1">
        <v>42069</v>
      </c>
      <c r="G2447" s="1" t="str">
        <f>TEXT(pizza_sales[[#This Row],[order_date]],"dddd")</f>
        <v>Friday</v>
      </c>
      <c r="H2447" s="2">
        <v>0.64174768518518521</v>
      </c>
      <c r="I2447">
        <v>20.25</v>
      </c>
      <c r="J2447">
        <v>20.25</v>
      </c>
      <c r="K2447" t="s">
        <v>58</v>
      </c>
      <c r="L2447" t="s">
        <v>17</v>
      </c>
      <c r="M2447" t="s">
        <v>18</v>
      </c>
      <c r="N2447" t="s">
        <v>19</v>
      </c>
    </row>
    <row r="2448" spans="1:14" x14ac:dyDescent="0.25">
      <c r="A2448">
        <v>20926</v>
      </c>
      <c r="B2448">
        <v>9181</v>
      </c>
      <c r="C2448">
        <f>1/COUNTIF(B:B,pizza_sales[[#This Row],[order_id]])</f>
        <v>1</v>
      </c>
      <c r="D2448" t="s">
        <v>24</v>
      </c>
      <c r="E2448">
        <v>1</v>
      </c>
      <c r="F2448" s="1">
        <v>42069</v>
      </c>
      <c r="G2448" s="1" t="str">
        <f>TEXT(pizza_sales[[#This Row],[order_date]],"dddd")</f>
        <v>Friday</v>
      </c>
      <c r="H2448" s="2">
        <v>0.64887731481481481</v>
      </c>
      <c r="I2448">
        <v>20.25</v>
      </c>
      <c r="J2448">
        <v>20.25</v>
      </c>
      <c r="K2448" t="s">
        <v>58</v>
      </c>
      <c r="L2448" t="s">
        <v>17</v>
      </c>
      <c r="M2448" t="s">
        <v>18</v>
      </c>
      <c r="N2448" t="s">
        <v>19</v>
      </c>
    </row>
    <row r="2449" spans="1:14" x14ac:dyDescent="0.25">
      <c r="A2449">
        <v>20932</v>
      </c>
      <c r="B2449">
        <v>9183</v>
      </c>
      <c r="C2449">
        <f>1/COUNTIF(B:B,pizza_sales[[#This Row],[order_id]])</f>
        <v>1</v>
      </c>
      <c r="D2449" t="s">
        <v>38</v>
      </c>
      <c r="E2449">
        <v>1</v>
      </c>
      <c r="F2449" s="1">
        <v>42069</v>
      </c>
      <c r="G2449" s="1" t="str">
        <f>TEXT(pizza_sales[[#This Row],[order_date]],"dddd")</f>
        <v>Friday</v>
      </c>
      <c r="H2449" s="2">
        <v>0.66908564814814819</v>
      </c>
      <c r="I2449">
        <v>20.5</v>
      </c>
      <c r="J2449">
        <v>20.5</v>
      </c>
      <c r="K2449" t="s">
        <v>58</v>
      </c>
      <c r="L2449" t="s">
        <v>13</v>
      </c>
      <c r="M2449" t="s">
        <v>32</v>
      </c>
      <c r="N2449" t="s">
        <v>33</v>
      </c>
    </row>
    <row r="2450" spans="1:14" x14ac:dyDescent="0.25">
      <c r="A2450">
        <v>20935</v>
      </c>
      <c r="B2450">
        <v>9184</v>
      </c>
      <c r="C2450">
        <f>1/COUNTIF(B:B,pizza_sales[[#This Row],[order_id]])</f>
        <v>1</v>
      </c>
      <c r="D2450" t="s">
        <v>43</v>
      </c>
      <c r="E2450">
        <v>1</v>
      </c>
      <c r="F2450" s="1">
        <v>42069</v>
      </c>
      <c r="G2450" s="1" t="str">
        <f>TEXT(pizza_sales[[#This Row],[order_date]],"dddd")</f>
        <v>Friday</v>
      </c>
      <c r="H2450" s="2">
        <v>0.67934027777777772</v>
      </c>
      <c r="I2450">
        <v>16.25</v>
      </c>
      <c r="J2450">
        <v>16.25</v>
      </c>
      <c r="K2450" t="s">
        <v>59</v>
      </c>
      <c r="L2450" t="s">
        <v>35</v>
      </c>
      <c r="M2450" t="s">
        <v>40</v>
      </c>
      <c r="N2450" t="s">
        <v>41</v>
      </c>
    </row>
    <row r="2451" spans="1:14" x14ac:dyDescent="0.25">
      <c r="A2451">
        <v>20937</v>
      </c>
      <c r="B2451">
        <v>9186</v>
      </c>
      <c r="C2451">
        <f>1/COUNTIF(B:B,pizza_sales[[#This Row],[order_id]])</f>
        <v>1</v>
      </c>
      <c r="D2451" t="s">
        <v>34</v>
      </c>
      <c r="E2451">
        <v>1</v>
      </c>
      <c r="F2451" s="1">
        <v>42069</v>
      </c>
      <c r="G2451" s="1" t="str">
        <f>TEXT(pizza_sales[[#This Row],[order_date]],"dddd")</f>
        <v>Friday</v>
      </c>
      <c r="H2451" s="2">
        <v>0.70159722222222221</v>
      </c>
      <c r="I2451">
        <v>16.25</v>
      </c>
      <c r="J2451">
        <v>16.25</v>
      </c>
      <c r="K2451" t="s">
        <v>59</v>
      </c>
      <c r="L2451" t="s">
        <v>35</v>
      </c>
      <c r="M2451" t="s">
        <v>36</v>
      </c>
      <c r="N2451" t="s">
        <v>37</v>
      </c>
    </row>
    <row r="2452" spans="1:14" x14ac:dyDescent="0.25">
      <c r="A2452">
        <v>20947</v>
      </c>
      <c r="B2452">
        <v>9191</v>
      </c>
      <c r="C2452">
        <f>1/COUNTIF(B:B,pizza_sales[[#This Row],[order_id]])</f>
        <v>1</v>
      </c>
      <c r="D2452" t="s">
        <v>45</v>
      </c>
      <c r="E2452">
        <v>1</v>
      </c>
      <c r="F2452" s="1">
        <v>42069</v>
      </c>
      <c r="G2452" s="1" t="str">
        <f>TEXT(pizza_sales[[#This Row],[order_date]],"dddd")</f>
        <v>Friday</v>
      </c>
      <c r="H2452" s="2">
        <v>0.72052083333333339</v>
      </c>
      <c r="I2452">
        <v>10.5</v>
      </c>
      <c r="J2452">
        <v>10.5</v>
      </c>
      <c r="K2452" t="s">
        <v>60</v>
      </c>
      <c r="L2452" t="s">
        <v>13</v>
      </c>
      <c r="M2452" t="s">
        <v>14</v>
      </c>
      <c r="N2452" t="s">
        <v>15</v>
      </c>
    </row>
    <row r="2453" spans="1:14" x14ac:dyDescent="0.25">
      <c r="A2453">
        <v>20951</v>
      </c>
      <c r="B2453">
        <v>9192</v>
      </c>
      <c r="C2453">
        <f>1/COUNTIF(B:B,pizza_sales[[#This Row],[order_id]])</f>
        <v>0.33333333333333331</v>
      </c>
      <c r="D2453" t="s">
        <v>24</v>
      </c>
      <c r="E2453">
        <v>1</v>
      </c>
      <c r="F2453" s="1">
        <v>42069</v>
      </c>
      <c r="G2453" s="1" t="str">
        <f>TEXT(pizza_sales[[#This Row],[order_date]],"dddd")</f>
        <v>Friday</v>
      </c>
      <c r="H2453" s="2">
        <v>0.73789351851851848</v>
      </c>
      <c r="I2453">
        <v>20.25</v>
      </c>
      <c r="J2453">
        <v>20.25</v>
      </c>
      <c r="K2453" t="s">
        <v>58</v>
      </c>
      <c r="L2453" t="s">
        <v>17</v>
      </c>
      <c r="M2453" t="s">
        <v>18</v>
      </c>
      <c r="N2453" t="s">
        <v>19</v>
      </c>
    </row>
    <row r="2454" spans="1:14" x14ac:dyDescent="0.25">
      <c r="A2454">
        <v>20952</v>
      </c>
      <c r="B2454">
        <v>9192</v>
      </c>
      <c r="C2454">
        <f>1/COUNTIF(B:B,pizza_sales[[#This Row],[order_id]])</f>
        <v>0.33333333333333331</v>
      </c>
      <c r="D2454" t="s">
        <v>50</v>
      </c>
      <c r="E2454">
        <v>1</v>
      </c>
      <c r="F2454" s="1">
        <v>42069</v>
      </c>
      <c r="G2454" s="1" t="str">
        <f>TEXT(pizza_sales[[#This Row],[order_date]],"dddd")</f>
        <v>Friday</v>
      </c>
      <c r="H2454" s="2">
        <v>0.73789351851851848</v>
      </c>
      <c r="I2454">
        <v>16</v>
      </c>
      <c r="J2454">
        <v>16</v>
      </c>
      <c r="K2454" t="s">
        <v>59</v>
      </c>
      <c r="L2454" t="s">
        <v>13</v>
      </c>
      <c r="M2454" t="s">
        <v>32</v>
      </c>
      <c r="N2454" t="s">
        <v>33</v>
      </c>
    </row>
    <row r="2455" spans="1:14" x14ac:dyDescent="0.25">
      <c r="A2455">
        <v>20953</v>
      </c>
      <c r="B2455">
        <v>9192</v>
      </c>
      <c r="C2455">
        <f>1/COUNTIF(B:B,pizza_sales[[#This Row],[order_id]])</f>
        <v>0.33333333333333331</v>
      </c>
      <c r="D2455" t="s">
        <v>20</v>
      </c>
      <c r="E2455">
        <v>1</v>
      </c>
      <c r="F2455" s="1">
        <v>42069</v>
      </c>
      <c r="G2455" s="1" t="str">
        <f>TEXT(pizza_sales[[#This Row],[order_date]],"dddd")</f>
        <v>Friday</v>
      </c>
      <c r="H2455" s="2">
        <v>0.73789351851851848</v>
      </c>
      <c r="I2455">
        <v>12</v>
      </c>
      <c r="J2455">
        <v>12</v>
      </c>
      <c r="K2455" t="s">
        <v>60</v>
      </c>
      <c r="L2455" t="s">
        <v>13</v>
      </c>
      <c r="M2455" t="s">
        <v>21</v>
      </c>
      <c r="N2455" t="s">
        <v>22</v>
      </c>
    </row>
    <row r="2456" spans="1:14" x14ac:dyDescent="0.25">
      <c r="A2456">
        <v>20962</v>
      </c>
      <c r="B2456">
        <v>9197</v>
      </c>
      <c r="C2456">
        <f>1/COUNTIF(B:B,pizza_sales[[#This Row],[order_id]])</f>
        <v>1</v>
      </c>
      <c r="D2456" t="s">
        <v>56</v>
      </c>
      <c r="E2456">
        <v>1</v>
      </c>
      <c r="F2456" s="1">
        <v>42069</v>
      </c>
      <c r="G2456" s="1" t="str">
        <f>TEXT(pizza_sales[[#This Row],[order_date]],"dddd")</f>
        <v>Friday</v>
      </c>
      <c r="H2456" s="2">
        <v>0.7933796296296296</v>
      </c>
      <c r="I2456">
        <v>20.25</v>
      </c>
      <c r="J2456">
        <v>20.25</v>
      </c>
      <c r="K2456" t="s">
        <v>58</v>
      </c>
      <c r="L2456" t="s">
        <v>35</v>
      </c>
      <c r="M2456" t="s">
        <v>36</v>
      </c>
      <c r="N2456" t="s">
        <v>37</v>
      </c>
    </row>
    <row r="2457" spans="1:14" x14ac:dyDescent="0.25">
      <c r="A2457">
        <v>20972</v>
      </c>
      <c r="B2457">
        <v>9201</v>
      </c>
      <c r="C2457">
        <f>1/COUNTIF(B:B,pizza_sales[[#This Row],[order_id]])</f>
        <v>0.5</v>
      </c>
      <c r="D2457" t="s">
        <v>43</v>
      </c>
      <c r="E2457">
        <v>1</v>
      </c>
      <c r="F2457" s="1">
        <v>42069</v>
      </c>
      <c r="G2457" s="1" t="str">
        <f>TEXT(pizza_sales[[#This Row],[order_date]],"dddd")</f>
        <v>Friday</v>
      </c>
      <c r="H2457" s="2">
        <v>0.85736111111111113</v>
      </c>
      <c r="I2457">
        <v>16.25</v>
      </c>
      <c r="J2457">
        <v>16.25</v>
      </c>
      <c r="K2457" t="s">
        <v>59</v>
      </c>
      <c r="L2457" t="s">
        <v>35</v>
      </c>
      <c r="M2457" t="s">
        <v>40</v>
      </c>
      <c r="N2457" t="s">
        <v>41</v>
      </c>
    </row>
    <row r="2458" spans="1:14" x14ac:dyDescent="0.25">
      <c r="A2458">
        <v>20973</v>
      </c>
      <c r="B2458">
        <v>9201</v>
      </c>
      <c r="C2458">
        <f>1/COUNTIF(B:B,pizza_sales[[#This Row],[order_id]])</f>
        <v>0.5</v>
      </c>
      <c r="D2458" t="s">
        <v>48</v>
      </c>
      <c r="E2458">
        <v>1</v>
      </c>
      <c r="F2458" s="1">
        <v>42069</v>
      </c>
      <c r="G2458" s="1" t="str">
        <f>TEXT(pizza_sales[[#This Row],[order_date]],"dddd")</f>
        <v>Friday</v>
      </c>
      <c r="H2458" s="2">
        <v>0.85736111111111113</v>
      </c>
      <c r="I2458">
        <v>12.25</v>
      </c>
      <c r="J2458">
        <v>12.25</v>
      </c>
      <c r="K2458" t="s">
        <v>60</v>
      </c>
      <c r="L2458" t="s">
        <v>35</v>
      </c>
      <c r="M2458" t="s">
        <v>40</v>
      </c>
      <c r="N2458" t="s">
        <v>41</v>
      </c>
    </row>
    <row r="2459" spans="1:14" x14ac:dyDescent="0.25">
      <c r="A2459">
        <v>20975</v>
      </c>
      <c r="B2459">
        <v>9202</v>
      </c>
      <c r="C2459">
        <f>1/COUNTIF(B:B,pizza_sales[[#This Row],[order_id]])</f>
        <v>1</v>
      </c>
      <c r="D2459" t="s">
        <v>31</v>
      </c>
      <c r="E2459">
        <v>1</v>
      </c>
      <c r="F2459" s="1">
        <v>42069</v>
      </c>
      <c r="G2459" s="1" t="str">
        <f>TEXT(pizza_sales[[#This Row],[order_date]],"dddd")</f>
        <v>Friday</v>
      </c>
      <c r="H2459" s="2">
        <v>0.86564814814814817</v>
      </c>
      <c r="I2459">
        <v>12</v>
      </c>
      <c r="J2459">
        <v>12</v>
      </c>
      <c r="K2459" t="s">
        <v>60</v>
      </c>
      <c r="L2459" t="s">
        <v>13</v>
      </c>
      <c r="M2459" t="s">
        <v>32</v>
      </c>
      <c r="N2459" t="s">
        <v>33</v>
      </c>
    </row>
    <row r="2460" spans="1:14" x14ac:dyDescent="0.25">
      <c r="A2460">
        <v>20976</v>
      </c>
      <c r="B2460">
        <v>9203</v>
      </c>
      <c r="C2460">
        <f>1/COUNTIF(B:B,pizza_sales[[#This Row],[order_id]])</f>
        <v>1</v>
      </c>
      <c r="D2460" t="s">
        <v>24</v>
      </c>
      <c r="E2460">
        <v>1</v>
      </c>
      <c r="F2460" s="1">
        <v>42069</v>
      </c>
      <c r="G2460" s="1" t="str">
        <f>TEXT(pizza_sales[[#This Row],[order_date]],"dddd")</f>
        <v>Friday</v>
      </c>
      <c r="H2460" s="2">
        <v>0.89523148148148146</v>
      </c>
      <c r="I2460">
        <v>20.25</v>
      </c>
      <c r="J2460">
        <v>20.25</v>
      </c>
      <c r="K2460" t="s">
        <v>58</v>
      </c>
      <c r="L2460" t="s">
        <v>17</v>
      </c>
      <c r="M2460" t="s">
        <v>18</v>
      </c>
      <c r="N2460" t="s">
        <v>19</v>
      </c>
    </row>
    <row r="2461" spans="1:14" x14ac:dyDescent="0.25">
      <c r="A2461">
        <v>20979</v>
      </c>
      <c r="B2461">
        <v>9205</v>
      </c>
      <c r="C2461">
        <f>1/COUNTIF(B:B,pizza_sales[[#This Row],[order_id]])</f>
        <v>1</v>
      </c>
      <c r="D2461" t="s">
        <v>44</v>
      </c>
      <c r="E2461">
        <v>1</v>
      </c>
      <c r="F2461" s="1">
        <v>42100</v>
      </c>
      <c r="G2461" s="1" t="str">
        <f>TEXT(pizza_sales[[#This Row],[order_date]],"dddd")</f>
        <v>Monday</v>
      </c>
      <c r="H2461" s="2">
        <v>0.47296296296296297</v>
      </c>
      <c r="I2461">
        <v>9.75</v>
      </c>
      <c r="J2461">
        <v>9.75</v>
      </c>
      <c r="K2461" t="s">
        <v>60</v>
      </c>
      <c r="L2461" t="s">
        <v>13</v>
      </c>
      <c r="M2461" t="s">
        <v>26</v>
      </c>
      <c r="N2461" t="s">
        <v>27</v>
      </c>
    </row>
    <row r="2462" spans="1:14" x14ac:dyDescent="0.25">
      <c r="A2462">
        <v>20983</v>
      </c>
      <c r="B2462">
        <v>9207</v>
      </c>
      <c r="C2462">
        <f>1/COUNTIF(B:B,pizza_sales[[#This Row],[order_id]])</f>
        <v>0.33333333333333331</v>
      </c>
      <c r="D2462" t="s">
        <v>51</v>
      </c>
      <c r="E2462">
        <v>1</v>
      </c>
      <c r="F2462" s="1">
        <v>42100</v>
      </c>
      <c r="G2462" s="1" t="str">
        <f>TEXT(pizza_sales[[#This Row],[order_date]],"dddd")</f>
        <v>Monday</v>
      </c>
      <c r="H2462" s="2">
        <v>0.50657407407407407</v>
      </c>
      <c r="I2462">
        <v>23.65</v>
      </c>
      <c r="J2462">
        <v>23.65</v>
      </c>
      <c r="K2462" t="s">
        <v>60</v>
      </c>
      <c r="L2462" t="s">
        <v>35</v>
      </c>
      <c r="M2462" t="s">
        <v>52</v>
      </c>
      <c r="N2462" t="s">
        <v>53</v>
      </c>
    </row>
    <row r="2463" spans="1:14" x14ac:dyDescent="0.25">
      <c r="A2463">
        <v>20987</v>
      </c>
      <c r="B2463">
        <v>9207</v>
      </c>
      <c r="C2463">
        <f>1/COUNTIF(B:B,pizza_sales[[#This Row],[order_id]])</f>
        <v>0.33333333333333331</v>
      </c>
      <c r="D2463" t="s">
        <v>45</v>
      </c>
      <c r="E2463">
        <v>1</v>
      </c>
      <c r="F2463" s="1">
        <v>42100</v>
      </c>
      <c r="G2463" s="1" t="str">
        <f>TEXT(pizza_sales[[#This Row],[order_date]],"dddd")</f>
        <v>Monday</v>
      </c>
      <c r="H2463" s="2">
        <v>0.50657407407407407</v>
      </c>
      <c r="I2463">
        <v>10.5</v>
      </c>
      <c r="J2463">
        <v>10.5</v>
      </c>
      <c r="K2463" t="s">
        <v>60</v>
      </c>
      <c r="L2463" t="s">
        <v>13</v>
      </c>
      <c r="M2463" t="s">
        <v>14</v>
      </c>
      <c r="N2463" t="s">
        <v>15</v>
      </c>
    </row>
    <row r="2464" spans="1:14" x14ac:dyDescent="0.25">
      <c r="A2464">
        <v>20992</v>
      </c>
      <c r="B2464">
        <v>9207</v>
      </c>
      <c r="C2464">
        <f>1/COUNTIF(B:B,pizza_sales[[#This Row],[order_id]])</f>
        <v>0.33333333333333331</v>
      </c>
      <c r="D2464" t="s">
        <v>48</v>
      </c>
      <c r="E2464">
        <v>2</v>
      </c>
      <c r="F2464" s="1">
        <v>42100</v>
      </c>
      <c r="G2464" s="1" t="str">
        <f>TEXT(pizza_sales[[#This Row],[order_date]],"dddd")</f>
        <v>Monday</v>
      </c>
      <c r="H2464" s="2">
        <v>0.50657407407407407</v>
      </c>
      <c r="I2464">
        <v>12.25</v>
      </c>
      <c r="J2464">
        <v>24.5</v>
      </c>
      <c r="K2464" t="s">
        <v>60</v>
      </c>
      <c r="L2464" t="s">
        <v>35</v>
      </c>
      <c r="M2464" t="s">
        <v>40</v>
      </c>
      <c r="N2464" t="s">
        <v>41</v>
      </c>
    </row>
    <row r="2465" spans="1:14" x14ac:dyDescent="0.25">
      <c r="A2465">
        <v>20995</v>
      </c>
      <c r="B2465">
        <v>9208</v>
      </c>
      <c r="C2465">
        <f>1/COUNTIF(B:B,pizza_sales[[#This Row],[order_id]])</f>
        <v>1</v>
      </c>
      <c r="D2465" t="s">
        <v>54</v>
      </c>
      <c r="E2465">
        <v>1</v>
      </c>
      <c r="F2465" s="1">
        <v>42100</v>
      </c>
      <c r="G2465" s="1" t="str">
        <f>TEXT(pizza_sales[[#This Row],[order_date]],"dddd")</f>
        <v>Monday</v>
      </c>
      <c r="H2465" s="2">
        <v>0.50930555555555557</v>
      </c>
      <c r="I2465">
        <v>12.25</v>
      </c>
      <c r="J2465">
        <v>12.25</v>
      </c>
      <c r="K2465" t="s">
        <v>60</v>
      </c>
      <c r="L2465" t="s">
        <v>35</v>
      </c>
      <c r="M2465" t="s">
        <v>36</v>
      </c>
      <c r="N2465" t="s">
        <v>37</v>
      </c>
    </row>
    <row r="2466" spans="1:14" x14ac:dyDescent="0.25">
      <c r="A2466">
        <v>20998</v>
      </c>
      <c r="B2466">
        <v>9209</v>
      </c>
      <c r="C2466">
        <f>1/COUNTIF(B:B,pizza_sales[[#This Row],[order_id]])</f>
        <v>0.33333333333333331</v>
      </c>
      <c r="D2466" t="s">
        <v>56</v>
      </c>
      <c r="E2466">
        <v>1</v>
      </c>
      <c r="F2466" s="1">
        <v>42100</v>
      </c>
      <c r="G2466" s="1" t="str">
        <f>TEXT(pizza_sales[[#This Row],[order_date]],"dddd")</f>
        <v>Monday</v>
      </c>
      <c r="H2466" s="2">
        <v>0.51158564814814811</v>
      </c>
      <c r="I2466">
        <v>20.25</v>
      </c>
      <c r="J2466">
        <v>20.25</v>
      </c>
      <c r="K2466" t="s">
        <v>58</v>
      </c>
      <c r="L2466" t="s">
        <v>35</v>
      </c>
      <c r="M2466" t="s">
        <v>36</v>
      </c>
      <c r="N2466" t="s">
        <v>37</v>
      </c>
    </row>
    <row r="2467" spans="1:14" x14ac:dyDescent="0.25">
      <c r="A2467">
        <v>21002</v>
      </c>
      <c r="B2467">
        <v>9209</v>
      </c>
      <c r="C2467">
        <f>1/COUNTIF(B:B,pizza_sales[[#This Row],[order_id]])</f>
        <v>0.33333333333333331</v>
      </c>
      <c r="D2467" t="s">
        <v>24</v>
      </c>
      <c r="E2467">
        <v>1</v>
      </c>
      <c r="F2467" s="1">
        <v>42100</v>
      </c>
      <c r="G2467" s="1" t="str">
        <f>TEXT(pizza_sales[[#This Row],[order_date]],"dddd")</f>
        <v>Monday</v>
      </c>
      <c r="H2467" s="2">
        <v>0.51158564814814811</v>
      </c>
      <c r="I2467">
        <v>20.25</v>
      </c>
      <c r="J2467">
        <v>20.25</v>
      </c>
      <c r="K2467" t="s">
        <v>58</v>
      </c>
      <c r="L2467" t="s">
        <v>17</v>
      </c>
      <c r="M2467" t="s">
        <v>18</v>
      </c>
      <c r="N2467" t="s">
        <v>19</v>
      </c>
    </row>
    <row r="2468" spans="1:14" x14ac:dyDescent="0.25">
      <c r="A2468">
        <v>21004</v>
      </c>
      <c r="B2468">
        <v>9209</v>
      </c>
      <c r="C2468">
        <f>1/COUNTIF(B:B,pizza_sales[[#This Row],[order_id]])</f>
        <v>0.33333333333333331</v>
      </c>
      <c r="D2468" t="s">
        <v>48</v>
      </c>
      <c r="E2468">
        <v>1</v>
      </c>
      <c r="F2468" s="1">
        <v>42100</v>
      </c>
      <c r="G2468" s="1" t="str">
        <f>TEXT(pizza_sales[[#This Row],[order_date]],"dddd")</f>
        <v>Monday</v>
      </c>
      <c r="H2468" s="2">
        <v>0.51158564814814811</v>
      </c>
      <c r="I2468">
        <v>12.25</v>
      </c>
      <c r="J2468">
        <v>12.25</v>
      </c>
      <c r="K2468" t="s">
        <v>60</v>
      </c>
      <c r="L2468" t="s">
        <v>35</v>
      </c>
      <c r="M2468" t="s">
        <v>40</v>
      </c>
      <c r="N2468" t="s">
        <v>41</v>
      </c>
    </row>
    <row r="2469" spans="1:14" x14ac:dyDescent="0.25">
      <c r="A2469">
        <v>21014</v>
      </c>
      <c r="B2469">
        <v>9213</v>
      </c>
      <c r="C2469">
        <f>1/COUNTIF(B:B,pizza_sales[[#This Row],[order_id]])</f>
        <v>1</v>
      </c>
      <c r="D2469" t="s">
        <v>45</v>
      </c>
      <c r="E2469">
        <v>1</v>
      </c>
      <c r="F2469" s="1">
        <v>42100</v>
      </c>
      <c r="G2469" s="1" t="str">
        <f>TEXT(pizza_sales[[#This Row],[order_date]],"dddd")</f>
        <v>Monday</v>
      </c>
      <c r="H2469" s="2">
        <v>0.5287384259259259</v>
      </c>
      <c r="I2469">
        <v>10.5</v>
      </c>
      <c r="J2469">
        <v>10.5</v>
      </c>
      <c r="K2469" t="s">
        <v>60</v>
      </c>
      <c r="L2469" t="s">
        <v>13</v>
      </c>
      <c r="M2469" t="s">
        <v>14</v>
      </c>
      <c r="N2469" t="s">
        <v>15</v>
      </c>
    </row>
    <row r="2470" spans="1:14" x14ac:dyDescent="0.25">
      <c r="A2470">
        <v>21015</v>
      </c>
      <c r="B2470">
        <v>9214</v>
      </c>
      <c r="C2470">
        <f>1/COUNTIF(B:B,pizza_sales[[#This Row],[order_id]])</f>
        <v>0.25</v>
      </c>
      <c r="D2470" t="s">
        <v>28</v>
      </c>
      <c r="E2470">
        <v>2</v>
      </c>
      <c r="F2470" s="1">
        <v>42100</v>
      </c>
      <c r="G2470" s="1" t="str">
        <f>TEXT(pizza_sales[[#This Row],[order_date]],"dddd")</f>
        <v>Monday</v>
      </c>
      <c r="H2470" s="2">
        <v>0.52896990740740746</v>
      </c>
      <c r="I2470">
        <v>12</v>
      </c>
      <c r="J2470">
        <v>24</v>
      </c>
      <c r="K2470" t="s">
        <v>60</v>
      </c>
      <c r="L2470" t="s">
        <v>13</v>
      </c>
      <c r="M2470" t="s">
        <v>29</v>
      </c>
      <c r="N2470" t="s">
        <v>30</v>
      </c>
    </row>
    <row r="2471" spans="1:14" x14ac:dyDescent="0.25">
      <c r="A2471">
        <v>21018</v>
      </c>
      <c r="B2471">
        <v>9214</v>
      </c>
      <c r="C2471">
        <f>1/COUNTIF(B:B,pizza_sales[[#This Row],[order_id]])</f>
        <v>0.25</v>
      </c>
      <c r="D2471" t="s">
        <v>47</v>
      </c>
      <c r="E2471">
        <v>1</v>
      </c>
      <c r="F2471" s="1">
        <v>42100</v>
      </c>
      <c r="G2471" s="1" t="str">
        <f>TEXT(pizza_sales[[#This Row],[order_date]],"dddd")</f>
        <v>Monday</v>
      </c>
      <c r="H2471" s="2">
        <v>0.52896990740740746</v>
      </c>
      <c r="I2471">
        <v>16.5</v>
      </c>
      <c r="J2471">
        <v>16.5</v>
      </c>
      <c r="K2471" t="s">
        <v>58</v>
      </c>
      <c r="L2471" t="s">
        <v>13</v>
      </c>
      <c r="M2471" t="s">
        <v>14</v>
      </c>
      <c r="N2471" t="s">
        <v>15</v>
      </c>
    </row>
    <row r="2472" spans="1:14" x14ac:dyDescent="0.25">
      <c r="A2472">
        <v>21019</v>
      </c>
      <c r="B2472">
        <v>9214</v>
      </c>
      <c r="C2472">
        <f>1/COUNTIF(B:B,pizza_sales[[#This Row],[order_id]])</f>
        <v>0.25</v>
      </c>
      <c r="D2472" t="s">
        <v>12</v>
      </c>
      <c r="E2472">
        <v>1</v>
      </c>
      <c r="F2472" s="1">
        <v>42100</v>
      </c>
      <c r="G2472" s="1" t="str">
        <f>TEXT(pizza_sales[[#This Row],[order_date]],"dddd")</f>
        <v>Monday</v>
      </c>
      <c r="H2472" s="2">
        <v>0.52896990740740746</v>
      </c>
      <c r="I2472">
        <v>13.25</v>
      </c>
      <c r="J2472">
        <v>13.25</v>
      </c>
      <c r="K2472" t="s">
        <v>59</v>
      </c>
      <c r="L2472" t="s">
        <v>13</v>
      </c>
      <c r="M2472" t="s">
        <v>14</v>
      </c>
      <c r="N2472" t="s">
        <v>15</v>
      </c>
    </row>
    <row r="2473" spans="1:14" x14ac:dyDescent="0.25">
      <c r="A2473">
        <v>21023</v>
      </c>
      <c r="B2473">
        <v>9214</v>
      </c>
      <c r="C2473">
        <f>1/COUNTIF(B:B,pizza_sales[[#This Row],[order_id]])</f>
        <v>0.25</v>
      </c>
      <c r="D2473" t="s">
        <v>25</v>
      </c>
      <c r="E2473">
        <v>1</v>
      </c>
      <c r="F2473" s="1">
        <v>42100</v>
      </c>
      <c r="G2473" s="1" t="str">
        <f>TEXT(pizza_sales[[#This Row],[order_date]],"dddd")</f>
        <v>Monday</v>
      </c>
      <c r="H2473" s="2">
        <v>0.52896990740740746</v>
      </c>
      <c r="I2473">
        <v>15.25</v>
      </c>
      <c r="J2473">
        <v>15.25</v>
      </c>
      <c r="K2473" t="s">
        <v>58</v>
      </c>
      <c r="L2473" t="s">
        <v>13</v>
      </c>
      <c r="M2473" t="s">
        <v>26</v>
      </c>
      <c r="N2473" t="s">
        <v>27</v>
      </c>
    </row>
    <row r="2474" spans="1:14" x14ac:dyDescent="0.25">
      <c r="A2474">
        <v>21029</v>
      </c>
      <c r="B2474">
        <v>9216</v>
      </c>
      <c r="C2474">
        <f>1/COUNTIF(B:B,pizza_sales[[#This Row],[order_id]])</f>
        <v>1</v>
      </c>
      <c r="D2474" t="s">
        <v>42</v>
      </c>
      <c r="E2474">
        <v>1</v>
      </c>
      <c r="F2474" s="1">
        <v>42100</v>
      </c>
      <c r="G2474" s="1" t="str">
        <f>TEXT(pizza_sales[[#This Row],[order_date]],"dddd")</f>
        <v>Monday</v>
      </c>
      <c r="H2474" s="2">
        <v>0.54268518518518516</v>
      </c>
      <c r="I2474">
        <v>12.5</v>
      </c>
      <c r="J2474">
        <v>12.5</v>
      </c>
      <c r="K2474" t="s">
        <v>59</v>
      </c>
      <c r="L2474" t="s">
        <v>13</v>
      </c>
      <c r="M2474" t="s">
        <v>26</v>
      </c>
      <c r="N2474" t="s">
        <v>27</v>
      </c>
    </row>
    <row r="2475" spans="1:14" x14ac:dyDescent="0.25">
      <c r="A2475">
        <v>21030</v>
      </c>
      <c r="B2475">
        <v>9217</v>
      </c>
      <c r="C2475">
        <f>1/COUNTIF(B:B,pizza_sales[[#This Row],[order_id]])</f>
        <v>1</v>
      </c>
      <c r="D2475" t="s">
        <v>28</v>
      </c>
      <c r="E2475">
        <v>1</v>
      </c>
      <c r="F2475" s="1">
        <v>42100</v>
      </c>
      <c r="G2475" s="1" t="str">
        <f>TEXT(pizza_sales[[#This Row],[order_date]],"dddd")</f>
        <v>Monday</v>
      </c>
      <c r="H2475" s="2">
        <v>0.54988425925925921</v>
      </c>
      <c r="I2475">
        <v>12</v>
      </c>
      <c r="J2475">
        <v>12</v>
      </c>
      <c r="K2475" t="s">
        <v>60</v>
      </c>
      <c r="L2475" t="s">
        <v>13</v>
      </c>
      <c r="M2475" t="s">
        <v>29</v>
      </c>
      <c r="N2475" t="s">
        <v>30</v>
      </c>
    </row>
    <row r="2476" spans="1:14" x14ac:dyDescent="0.25">
      <c r="A2476">
        <v>21036</v>
      </c>
      <c r="B2476">
        <v>9220</v>
      </c>
      <c r="C2476">
        <f>1/COUNTIF(B:B,pizza_sales[[#This Row],[order_id]])</f>
        <v>0.33333333333333331</v>
      </c>
      <c r="D2476" t="s">
        <v>28</v>
      </c>
      <c r="E2476">
        <v>1</v>
      </c>
      <c r="F2476" s="1">
        <v>42100</v>
      </c>
      <c r="G2476" s="1" t="str">
        <f>TEXT(pizza_sales[[#This Row],[order_date]],"dddd")</f>
        <v>Monday</v>
      </c>
      <c r="H2476" s="2">
        <v>0.55571759259259257</v>
      </c>
      <c r="I2476">
        <v>12</v>
      </c>
      <c r="J2476">
        <v>12</v>
      </c>
      <c r="K2476" t="s">
        <v>60</v>
      </c>
      <c r="L2476" t="s">
        <v>13</v>
      </c>
      <c r="M2476" t="s">
        <v>29</v>
      </c>
      <c r="N2476" t="s">
        <v>30</v>
      </c>
    </row>
    <row r="2477" spans="1:14" x14ac:dyDescent="0.25">
      <c r="A2477">
        <v>21037</v>
      </c>
      <c r="B2477">
        <v>9220</v>
      </c>
      <c r="C2477">
        <f>1/COUNTIF(B:B,pizza_sales[[#This Row],[order_id]])</f>
        <v>0.33333333333333331</v>
      </c>
      <c r="D2477" t="s">
        <v>42</v>
      </c>
      <c r="E2477">
        <v>1</v>
      </c>
      <c r="F2477" s="1">
        <v>42100</v>
      </c>
      <c r="G2477" s="1" t="str">
        <f>TEXT(pizza_sales[[#This Row],[order_date]],"dddd")</f>
        <v>Monday</v>
      </c>
      <c r="H2477" s="2">
        <v>0.55571759259259257</v>
      </c>
      <c r="I2477">
        <v>12.5</v>
      </c>
      <c r="J2477">
        <v>12.5</v>
      </c>
      <c r="K2477" t="s">
        <v>59</v>
      </c>
      <c r="L2477" t="s">
        <v>13</v>
      </c>
      <c r="M2477" t="s">
        <v>26</v>
      </c>
      <c r="N2477" t="s">
        <v>27</v>
      </c>
    </row>
    <row r="2478" spans="1:14" x14ac:dyDescent="0.25">
      <c r="A2478">
        <v>21038</v>
      </c>
      <c r="B2478">
        <v>9220</v>
      </c>
      <c r="C2478">
        <f>1/COUNTIF(B:B,pizza_sales[[#This Row],[order_id]])</f>
        <v>0.33333333333333331</v>
      </c>
      <c r="D2478" t="s">
        <v>39</v>
      </c>
      <c r="E2478">
        <v>1</v>
      </c>
      <c r="F2478" s="1">
        <v>42100</v>
      </c>
      <c r="G2478" s="1" t="str">
        <f>TEXT(pizza_sales[[#This Row],[order_date]],"dddd")</f>
        <v>Monday</v>
      </c>
      <c r="H2478" s="2">
        <v>0.55571759259259257</v>
      </c>
      <c r="I2478">
        <v>20.25</v>
      </c>
      <c r="J2478">
        <v>20.25</v>
      </c>
      <c r="K2478" t="s">
        <v>58</v>
      </c>
      <c r="L2478" t="s">
        <v>35</v>
      </c>
      <c r="M2478" t="s">
        <v>40</v>
      </c>
      <c r="N2478" t="s">
        <v>41</v>
      </c>
    </row>
    <row r="2479" spans="1:14" x14ac:dyDescent="0.25">
      <c r="A2479">
        <v>21040</v>
      </c>
      <c r="B2479">
        <v>9222</v>
      </c>
      <c r="C2479">
        <f>1/COUNTIF(B:B,pizza_sales[[#This Row],[order_id]])</f>
        <v>1</v>
      </c>
      <c r="D2479" t="s">
        <v>47</v>
      </c>
      <c r="E2479">
        <v>1</v>
      </c>
      <c r="F2479" s="1">
        <v>42100</v>
      </c>
      <c r="G2479" s="1" t="str">
        <f>TEXT(pizza_sales[[#This Row],[order_date]],"dddd")</f>
        <v>Monday</v>
      </c>
      <c r="H2479" s="2">
        <v>0.56233796296296301</v>
      </c>
      <c r="I2479">
        <v>16.5</v>
      </c>
      <c r="J2479">
        <v>16.5</v>
      </c>
      <c r="K2479" t="s">
        <v>58</v>
      </c>
      <c r="L2479" t="s">
        <v>13</v>
      </c>
      <c r="M2479" t="s">
        <v>14</v>
      </c>
      <c r="N2479" t="s">
        <v>15</v>
      </c>
    </row>
    <row r="2480" spans="1:14" x14ac:dyDescent="0.25">
      <c r="A2480">
        <v>21042</v>
      </c>
      <c r="B2480">
        <v>9223</v>
      </c>
      <c r="C2480">
        <f>1/COUNTIF(B:B,pizza_sales[[#This Row],[order_id]])</f>
        <v>1</v>
      </c>
      <c r="D2480" t="s">
        <v>24</v>
      </c>
      <c r="E2480">
        <v>1</v>
      </c>
      <c r="F2480" s="1">
        <v>42100</v>
      </c>
      <c r="G2480" s="1" t="str">
        <f>TEXT(pizza_sales[[#This Row],[order_date]],"dddd")</f>
        <v>Monday</v>
      </c>
      <c r="H2480" s="2">
        <v>0.5753935185185185</v>
      </c>
      <c r="I2480">
        <v>20.25</v>
      </c>
      <c r="J2480">
        <v>20.25</v>
      </c>
      <c r="K2480" t="s">
        <v>58</v>
      </c>
      <c r="L2480" t="s">
        <v>17</v>
      </c>
      <c r="M2480" t="s">
        <v>18</v>
      </c>
      <c r="N2480" t="s">
        <v>19</v>
      </c>
    </row>
    <row r="2481" spans="1:14" x14ac:dyDescent="0.25">
      <c r="A2481">
        <v>21045</v>
      </c>
      <c r="B2481">
        <v>9224</v>
      </c>
      <c r="C2481">
        <f>1/COUNTIF(B:B,pizza_sales[[#This Row],[order_id]])</f>
        <v>1</v>
      </c>
      <c r="D2481" t="s">
        <v>55</v>
      </c>
      <c r="E2481">
        <v>1</v>
      </c>
      <c r="F2481" s="1">
        <v>42100</v>
      </c>
      <c r="G2481" s="1" t="str">
        <f>TEXT(pizza_sales[[#This Row],[order_date]],"dddd")</f>
        <v>Monday</v>
      </c>
      <c r="H2481" s="2">
        <v>0.57958333333333334</v>
      </c>
      <c r="I2481">
        <v>20.5</v>
      </c>
      <c r="J2481">
        <v>20.5</v>
      </c>
      <c r="K2481" t="s">
        <v>58</v>
      </c>
      <c r="L2481" t="s">
        <v>13</v>
      </c>
      <c r="M2481" t="s">
        <v>21</v>
      </c>
      <c r="N2481" t="s">
        <v>22</v>
      </c>
    </row>
    <row r="2482" spans="1:14" x14ac:dyDescent="0.25">
      <c r="A2482">
        <v>21047</v>
      </c>
      <c r="B2482">
        <v>9225</v>
      </c>
      <c r="C2482">
        <f>1/COUNTIF(B:B,pizza_sales[[#This Row],[order_id]])</f>
        <v>1</v>
      </c>
      <c r="D2482" t="s">
        <v>28</v>
      </c>
      <c r="E2482">
        <v>1</v>
      </c>
      <c r="F2482" s="1">
        <v>42100</v>
      </c>
      <c r="G2482" s="1" t="str">
        <f>TEXT(pizza_sales[[#This Row],[order_date]],"dddd")</f>
        <v>Monday</v>
      </c>
      <c r="H2482" s="2">
        <v>0.59780092592592593</v>
      </c>
      <c r="I2482">
        <v>12</v>
      </c>
      <c r="J2482">
        <v>12</v>
      </c>
      <c r="K2482" t="s">
        <v>60</v>
      </c>
      <c r="L2482" t="s">
        <v>13</v>
      </c>
      <c r="M2482" t="s">
        <v>29</v>
      </c>
      <c r="N2482" t="s">
        <v>30</v>
      </c>
    </row>
    <row r="2483" spans="1:14" x14ac:dyDescent="0.25">
      <c r="A2483">
        <v>21051</v>
      </c>
      <c r="B2483">
        <v>9228</v>
      </c>
      <c r="C2483">
        <f>1/COUNTIF(B:B,pizza_sales[[#This Row],[order_id]])</f>
        <v>1</v>
      </c>
      <c r="D2483" t="s">
        <v>47</v>
      </c>
      <c r="E2483">
        <v>1</v>
      </c>
      <c r="F2483" s="1">
        <v>42100</v>
      </c>
      <c r="G2483" s="1" t="str">
        <f>TEXT(pizza_sales[[#This Row],[order_date]],"dddd")</f>
        <v>Monday</v>
      </c>
      <c r="H2483" s="2">
        <v>0.62042824074074077</v>
      </c>
      <c r="I2483">
        <v>16.5</v>
      </c>
      <c r="J2483">
        <v>16.5</v>
      </c>
      <c r="K2483" t="s">
        <v>58</v>
      </c>
      <c r="L2483" t="s">
        <v>13</v>
      </c>
      <c r="M2483" t="s">
        <v>14</v>
      </c>
      <c r="N2483" t="s">
        <v>15</v>
      </c>
    </row>
    <row r="2484" spans="1:14" x14ac:dyDescent="0.25">
      <c r="A2484">
        <v>21053</v>
      </c>
      <c r="B2484">
        <v>9229</v>
      </c>
      <c r="C2484">
        <f>1/COUNTIF(B:B,pizza_sales[[#This Row],[order_id]])</f>
        <v>1</v>
      </c>
      <c r="D2484" t="s">
        <v>25</v>
      </c>
      <c r="E2484">
        <v>1</v>
      </c>
      <c r="F2484" s="1">
        <v>42100</v>
      </c>
      <c r="G2484" s="1" t="str">
        <f>TEXT(pizza_sales[[#This Row],[order_date]],"dddd")</f>
        <v>Monday</v>
      </c>
      <c r="H2484" s="2">
        <v>0.62747685185185187</v>
      </c>
      <c r="I2484">
        <v>15.25</v>
      </c>
      <c r="J2484">
        <v>15.25</v>
      </c>
      <c r="K2484" t="s">
        <v>58</v>
      </c>
      <c r="L2484" t="s">
        <v>13</v>
      </c>
      <c r="M2484" t="s">
        <v>26</v>
      </c>
      <c r="N2484" t="s">
        <v>27</v>
      </c>
    </row>
    <row r="2485" spans="1:14" x14ac:dyDescent="0.25">
      <c r="A2485">
        <v>21054</v>
      </c>
      <c r="B2485">
        <v>9230</v>
      </c>
      <c r="C2485">
        <f>1/COUNTIF(B:B,pizza_sales[[#This Row],[order_id]])</f>
        <v>1</v>
      </c>
      <c r="D2485" t="s">
        <v>50</v>
      </c>
      <c r="E2485">
        <v>1</v>
      </c>
      <c r="F2485" s="1">
        <v>42100</v>
      </c>
      <c r="G2485" s="1" t="str">
        <f>TEXT(pizza_sales[[#This Row],[order_date]],"dddd")</f>
        <v>Monday</v>
      </c>
      <c r="H2485" s="2">
        <v>0.63840277777777776</v>
      </c>
      <c r="I2485">
        <v>16</v>
      </c>
      <c r="J2485">
        <v>16</v>
      </c>
      <c r="K2485" t="s">
        <v>59</v>
      </c>
      <c r="L2485" t="s">
        <v>13</v>
      </c>
      <c r="M2485" t="s">
        <v>32</v>
      </c>
      <c r="N2485" t="s">
        <v>33</v>
      </c>
    </row>
    <row r="2486" spans="1:14" x14ac:dyDescent="0.25">
      <c r="A2486">
        <v>21057</v>
      </c>
      <c r="B2486">
        <v>9232</v>
      </c>
      <c r="C2486">
        <f>1/COUNTIF(B:B,pizza_sales[[#This Row],[order_id]])</f>
        <v>1</v>
      </c>
      <c r="D2486" t="s">
        <v>51</v>
      </c>
      <c r="E2486">
        <v>1</v>
      </c>
      <c r="F2486" s="1">
        <v>42100</v>
      </c>
      <c r="G2486" s="1" t="str">
        <f>TEXT(pizza_sales[[#This Row],[order_date]],"dddd")</f>
        <v>Monday</v>
      </c>
      <c r="H2486" s="2">
        <v>0.64932870370370366</v>
      </c>
      <c r="I2486">
        <v>23.65</v>
      </c>
      <c r="J2486">
        <v>23.65</v>
      </c>
      <c r="K2486" t="s">
        <v>60</v>
      </c>
      <c r="L2486" t="s">
        <v>35</v>
      </c>
      <c r="M2486" t="s">
        <v>52</v>
      </c>
      <c r="N2486" t="s">
        <v>53</v>
      </c>
    </row>
    <row r="2487" spans="1:14" x14ac:dyDescent="0.25">
      <c r="A2487">
        <v>21063</v>
      </c>
      <c r="B2487">
        <v>9234</v>
      </c>
      <c r="C2487">
        <f>1/COUNTIF(B:B,pizza_sales[[#This Row],[order_id]])</f>
        <v>1</v>
      </c>
      <c r="D2487" t="s">
        <v>49</v>
      </c>
      <c r="E2487">
        <v>1</v>
      </c>
      <c r="F2487" s="1">
        <v>42100</v>
      </c>
      <c r="G2487" s="1" t="str">
        <f>TEXT(pizza_sales[[#This Row],[order_date]],"dddd")</f>
        <v>Monday</v>
      </c>
      <c r="H2487" s="2">
        <v>0.67730324074074078</v>
      </c>
      <c r="I2487">
        <v>16</v>
      </c>
      <c r="J2487">
        <v>16</v>
      </c>
      <c r="K2487" t="s">
        <v>59</v>
      </c>
      <c r="L2487" t="s">
        <v>13</v>
      </c>
      <c r="M2487" t="s">
        <v>21</v>
      </c>
      <c r="N2487" t="s">
        <v>22</v>
      </c>
    </row>
    <row r="2488" spans="1:14" x14ac:dyDescent="0.25">
      <c r="A2488">
        <v>21068</v>
      </c>
      <c r="B2488">
        <v>9237</v>
      </c>
      <c r="C2488">
        <f>1/COUNTIF(B:B,pizza_sales[[#This Row],[order_id]])</f>
        <v>1</v>
      </c>
      <c r="D2488" t="s">
        <v>50</v>
      </c>
      <c r="E2488">
        <v>1</v>
      </c>
      <c r="F2488" s="1">
        <v>42100</v>
      </c>
      <c r="G2488" s="1" t="str">
        <f>TEXT(pizza_sales[[#This Row],[order_date]],"dddd")</f>
        <v>Monday</v>
      </c>
      <c r="H2488" s="2">
        <v>0.68349537037037034</v>
      </c>
      <c r="I2488">
        <v>16</v>
      </c>
      <c r="J2488">
        <v>16</v>
      </c>
      <c r="K2488" t="s">
        <v>59</v>
      </c>
      <c r="L2488" t="s">
        <v>13</v>
      </c>
      <c r="M2488" t="s">
        <v>32</v>
      </c>
      <c r="N2488" t="s">
        <v>33</v>
      </c>
    </row>
    <row r="2489" spans="1:14" x14ac:dyDescent="0.25">
      <c r="A2489">
        <v>21070</v>
      </c>
      <c r="B2489">
        <v>9238</v>
      </c>
      <c r="C2489">
        <f>1/COUNTIF(B:B,pizza_sales[[#This Row],[order_id]])</f>
        <v>1</v>
      </c>
      <c r="D2489" t="s">
        <v>49</v>
      </c>
      <c r="E2489">
        <v>1</v>
      </c>
      <c r="F2489" s="1">
        <v>42100</v>
      </c>
      <c r="G2489" s="1" t="str">
        <f>TEXT(pizza_sales[[#This Row],[order_date]],"dddd")</f>
        <v>Monday</v>
      </c>
      <c r="H2489" s="2">
        <v>0.68537037037037041</v>
      </c>
      <c r="I2489">
        <v>16</v>
      </c>
      <c r="J2489">
        <v>16</v>
      </c>
      <c r="K2489" t="s">
        <v>59</v>
      </c>
      <c r="L2489" t="s">
        <v>13</v>
      </c>
      <c r="M2489" t="s">
        <v>21</v>
      </c>
      <c r="N2489" t="s">
        <v>22</v>
      </c>
    </row>
    <row r="2490" spans="1:14" x14ac:dyDescent="0.25">
      <c r="A2490">
        <v>21074</v>
      </c>
      <c r="B2490">
        <v>9240</v>
      </c>
      <c r="C2490">
        <f>1/COUNTIF(B:B,pizza_sales[[#This Row],[order_id]])</f>
        <v>1</v>
      </c>
      <c r="D2490" t="s">
        <v>28</v>
      </c>
      <c r="E2490">
        <v>1</v>
      </c>
      <c r="F2490" s="1">
        <v>42100</v>
      </c>
      <c r="G2490" s="1" t="str">
        <f>TEXT(pizza_sales[[#This Row],[order_date]],"dddd")</f>
        <v>Monday</v>
      </c>
      <c r="H2490" s="2">
        <v>0.7043518518518519</v>
      </c>
      <c r="I2490">
        <v>12</v>
      </c>
      <c r="J2490">
        <v>12</v>
      </c>
      <c r="K2490" t="s">
        <v>60</v>
      </c>
      <c r="L2490" t="s">
        <v>13</v>
      </c>
      <c r="M2490" t="s">
        <v>29</v>
      </c>
      <c r="N2490" t="s">
        <v>30</v>
      </c>
    </row>
    <row r="2491" spans="1:14" x14ac:dyDescent="0.25">
      <c r="A2491">
        <v>21081</v>
      </c>
      <c r="B2491">
        <v>9243</v>
      </c>
      <c r="C2491">
        <f>1/COUNTIF(B:B,pizza_sales[[#This Row],[order_id]])</f>
        <v>1</v>
      </c>
      <c r="D2491" t="s">
        <v>39</v>
      </c>
      <c r="E2491">
        <v>1</v>
      </c>
      <c r="F2491" s="1">
        <v>42100</v>
      </c>
      <c r="G2491" s="1" t="str">
        <f>TEXT(pizza_sales[[#This Row],[order_date]],"dddd")</f>
        <v>Monday</v>
      </c>
      <c r="H2491" s="2">
        <v>0.75334490740740745</v>
      </c>
      <c r="I2491">
        <v>20.25</v>
      </c>
      <c r="J2491">
        <v>20.25</v>
      </c>
      <c r="K2491" t="s">
        <v>58</v>
      </c>
      <c r="L2491" t="s">
        <v>35</v>
      </c>
      <c r="M2491" t="s">
        <v>40</v>
      </c>
      <c r="N2491" t="s">
        <v>41</v>
      </c>
    </row>
    <row r="2492" spans="1:14" x14ac:dyDescent="0.25">
      <c r="A2492">
        <v>21087</v>
      </c>
      <c r="B2492">
        <v>9246</v>
      </c>
      <c r="C2492">
        <f>1/COUNTIF(B:B,pizza_sales[[#This Row],[order_id]])</f>
        <v>0.5</v>
      </c>
      <c r="D2492" t="s">
        <v>28</v>
      </c>
      <c r="E2492">
        <v>1</v>
      </c>
      <c r="F2492" s="1">
        <v>42100</v>
      </c>
      <c r="G2492" s="1" t="str">
        <f>TEXT(pizza_sales[[#This Row],[order_date]],"dddd")</f>
        <v>Monday</v>
      </c>
      <c r="H2492" s="2">
        <v>0.7651041666666667</v>
      </c>
      <c r="I2492">
        <v>12</v>
      </c>
      <c r="J2492">
        <v>12</v>
      </c>
      <c r="K2492" t="s">
        <v>60</v>
      </c>
      <c r="L2492" t="s">
        <v>13</v>
      </c>
      <c r="M2492" t="s">
        <v>29</v>
      </c>
      <c r="N2492" t="s">
        <v>30</v>
      </c>
    </row>
    <row r="2493" spans="1:14" x14ac:dyDescent="0.25">
      <c r="A2493">
        <v>21089</v>
      </c>
      <c r="B2493">
        <v>9246</v>
      </c>
      <c r="C2493">
        <f>1/COUNTIF(B:B,pizza_sales[[#This Row],[order_id]])</f>
        <v>0.5</v>
      </c>
      <c r="D2493" t="s">
        <v>25</v>
      </c>
      <c r="E2493">
        <v>1</v>
      </c>
      <c r="F2493" s="1">
        <v>42100</v>
      </c>
      <c r="G2493" s="1" t="str">
        <f>TEXT(pizza_sales[[#This Row],[order_date]],"dddd")</f>
        <v>Monday</v>
      </c>
      <c r="H2493" s="2">
        <v>0.7651041666666667</v>
      </c>
      <c r="I2493">
        <v>15.25</v>
      </c>
      <c r="J2493">
        <v>15.25</v>
      </c>
      <c r="K2493" t="s">
        <v>58</v>
      </c>
      <c r="L2493" t="s">
        <v>13</v>
      </c>
      <c r="M2493" t="s">
        <v>26</v>
      </c>
      <c r="N2493" t="s">
        <v>27</v>
      </c>
    </row>
    <row r="2494" spans="1:14" x14ac:dyDescent="0.25">
      <c r="A2494">
        <v>21090</v>
      </c>
      <c r="B2494">
        <v>9247</v>
      </c>
      <c r="C2494">
        <f>1/COUNTIF(B:B,pizza_sales[[#This Row],[order_id]])</f>
        <v>1</v>
      </c>
      <c r="D2494" t="s">
        <v>24</v>
      </c>
      <c r="E2494">
        <v>1</v>
      </c>
      <c r="F2494" s="1">
        <v>42100</v>
      </c>
      <c r="G2494" s="1" t="str">
        <f>TEXT(pizza_sales[[#This Row],[order_date]],"dddd")</f>
        <v>Monday</v>
      </c>
      <c r="H2494" s="2">
        <v>0.7727546296296296</v>
      </c>
      <c r="I2494">
        <v>20.25</v>
      </c>
      <c r="J2494">
        <v>20.25</v>
      </c>
      <c r="K2494" t="s">
        <v>58</v>
      </c>
      <c r="L2494" t="s">
        <v>17</v>
      </c>
      <c r="M2494" t="s">
        <v>18</v>
      </c>
      <c r="N2494" t="s">
        <v>19</v>
      </c>
    </row>
    <row r="2495" spans="1:14" x14ac:dyDescent="0.25">
      <c r="A2495">
        <v>21095</v>
      </c>
      <c r="B2495">
        <v>9251</v>
      </c>
      <c r="C2495">
        <f>1/COUNTIF(B:B,pizza_sales[[#This Row],[order_id]])</f>
        <v>0.5</v>
      </c>
      <c r="D2495" t="s">
        <v>28</v>
      </c>
      <c r="E2495">
        <v>1</v>
      </c>
      <c r="F2495" s="1">
        <v>42100</v>
      </c>
      <c r="G2495" s="1" t="str">
        <f>TEXT(pizza_sales[[#This Row],[order_date]],"dddd")</f>
        <v>Monday</v>
      </c>
      <c r="H2495" s="2">
        <v>0.79186342592592596</v>
      </c>
      <c r="I2495">
        <v>12</v>
      </c>
      <c r="J2495">
        <v>12</v>
      </c>
      <c r="K2495" t="s">
        <v>60</v>
      </c>
      <c r="L2495" t="s">
        <v>13</v>
      </c>
      <c r="M2495" t="s">
        <v>29</v>
      </c>
      <c r="N2495" t="s">
        <v>30</v>
      </c>
    </row>
    <row r="2496" spans="1:14" x14ac:dyDescent="0.25">
      <c r="A2496">
        <v>21096</v>
      </c>
      <c r="B2496">
        <v>9251</v>
      </c>
      <c r="C2496">
        <f>1/COUNTIF(B:B,pizza_sales[[#This Row],[order_id]])</f>
        <v>0.5</v>
      </c>
      <c r="D2496" t="s">
        <v>31</v>
      </c>
      <c r="E2496">
        <v>1</v>
      </c>
      <c r="F2496" s="1">
        <v>42100</v>
      </c>
      <c r="G2496" s="1" t="str">
        <f>TEXT(pizza_sales[[#This Row],[order_date]],"dddd")</f>
        <v>Monday</v>
      </c>
      <c r="H2496" s="2">
        <v>0.79186342592592596</v>
      </c>
      <c r="I2496">
        <v>12</v>
      </c>
      <c r="J2496">
        <v>12</v>
      </c>
      <c r="K2496" t="s">
        <v>60</v>
      </c>
      <c r="L2496" t="s">
        <v>13</v>
      </c>
      <c r="M2496" t="s">
        <v>32</v>
      </c>
      <c r="N2496" t="s">
        <v>33</v>
      </c>
    </row>
    <row r="2497" spans="1:14" x14ac:dyDescent="0.25">
      <c r="A2497">
        <v>21103</v>
      </c>
      <c r="B2497">
        <v>9254</v>
      </c>
      <c r="C2497">
        <f>1/COUNTIF(B:B,pizza_sales[[#This Row],[order_id]])</f>
        <v>1</v>
      </c>
      <c r="D2497" t="s">
        <v>38</v>
      </c>
      <c r="E2497">
        <v>1</v>
      </c>
      <c r="F2497" s="1">
        <v>42100</v>
      </c>
      <c r="G2497" s="1" t="str">
        <f>TEXT(pizza_sales[[#This Row],[order_date]],"dddd")</f>
        <v>Monday</v>
      </c>
      <c r="H2497" s="2">
        <v>0.8112731481481481</v>
      </c>
      <c r="I2497">
        <v>20.5</v>
      </c>
      <c r="J2497">
        <v>20.5</v>
      </c>
      <c r="K2497" t="s">
        <v>58</v>
      </c>
      <c r="L2497" t="s">
        <v>13</v>
      </c>
      <c r="M2497" t="s">
        <v>32</v>
      </c>
      <c r="N2497" t="s">
        <v>33</v>
      </c>
    </row>
    <row r="2498" spans="1:14" x14ac:dyDescent="0.25">
      <c r="A2498">
        <v>21106</v>
      </c>
      <c r="B2498">
        <v>9255</v>
      </c>
      <c r="C2498">
        <f>1/COUNTIF(B:B,pizza_sales[[#This Row],[order_id]])</f>
        <v>1</v>
      </c>
      <c r="D2498" t="s">
        <v>50</v>
      </c>
      <c r="E2498">
        <v>1</v>
      </c>
      <c r="F2498" s="1">
        <v>42100</v>
      </c>
      <c r="G2498" s="1" t="str">
        <f>TEXT(pizza_sales[[#This Row],[order_date]],"dddd")</f>
        <v>Monday</v>
      </c>
      <c r="H2498" s="2">
        <v>0.81567129629629631</v>
      </c>
      <c r="I2498">
        <v>16</v>
      </c>
      <c r="J2498">
        <v>16</v>
      </c>
      <c r="K2498" t="s">
        <v>59</v>
      </c>
      <c r="L2498" t="s">
        <v>13</v>
      </c>
      <c r="M2498" t="s">
        <v>32</v>
      </c>
      <c r="N2498" t="s">
        <v>33</v>
      </c>
    </row>
    <row r="2499" spans="1:14" x14ac:dyDescent="0.25">
      <c r="A2499">
        <v>21115</v>
      </c>
      <c r="B2499">
        <v>9260</v>
      </c>
      <c r="C2499">
        <f>1/COUNTIF(B:B,pizza_sales[[#This Row],[order_id]])</f>
        <v>1</v>
      </c>
      <c r="D2499" t="s">
        <v>45</v>
      </c>
      <c r="E2499">
        <v>1</v>
      </c>
      <c r="F2499" s="1">
        <v>42100</v>
      </c>
      <c r="G2499" s="1" t="str">
        <f>TEXT(pizza_sales[[#This Row],[order_date]],"dddd")</f>
        <v>Monday</v>
      </c>
      <c r="H2499" s="2">
        <v>0.91057870370370375</v>
      </c>
      <c r="I2499">
        <v>10.5</v>
      </c>
      <c r="J2499">
        <v>10.5</v>
      </c>
      <c r="K2499" t="s">
        <v>60</v>
      </c>
      <c r="L2499" t="s">
        <v>13</v>
      </c>
      <c r="M2499" t="s">
        <v>14</v>
      </c>
      <c r="N2499" t="s">
        <v>15</v>
      </c>
    </row>
    <row r="2500" spans="1:14" x14ac:dyDescent="0.25">
      <c r="A2500">
        <v>21116</v>
      </c>
      <c r="B2500">
        <v>9261</v>
      </c>
      <c r="C2500">
        <f>1/COUNTIF(B:B,pizza_sales[[#This Row],[order_id]])</f>
        <v>0.5</v>
      </c>
      <c r="D2500" t="s">
        <v>38</v>
      </c>
      <c r="E2500">
        <v>1</v>
      </c>
      <c r="F2500" s="1">
        <v>42130</v>
      </c>
      <c r="G2500" s="1" t="str">
        <f>TEXT(pizza_sales[[#This Row],[order_date]],"dddd")</f>
        <v>Wednesday</v>
      </c>
      <c r="H2500" s="2">
        <v>0.49381944444444442</v>
      </c>
      <c r="I2500">
        <v>20.5</v>
      </c>
      <c r="J2500">
        <v>20.5</v>
      </c>
      <c r="K2500" t="s">
        <v>58</v>
      </c>
      <c r="L2500" t="s">
        <v>13</v>
      </c>
      <c r="M2500" t="s">
        <v>32</v>
      </c>
      <c r="N2500" t="s">
        <v>33</v>
      </c>
    </row>
    <row r="2501" spans="1:14" x14ac:dyDescent="0.25">
      <c r="A2501">
        <v>21117</v>
      </c>
      <c r="B2501">
        <v>9261</v>
      </c>
      <c r="C2501">
        <f>1/COUNTIF(B:B,pizza_sales[[#This Row],[order_id]])</f>
        <v>0.5</v>
      </c>
      <c r="D2501" t="s">
        <v>50</v>
      </c>
      <c r="E2501">
        <v>1</v>
      </c>
      <c r="F2501" s="1">
        <v>42130</v>
      </c>
      <c r="G2501" s="1" t="str">
        <f>TEXT(pizza_sales[[#This Row],[order_date]],"dddd")</f>
        <v>Wednesday</v>
      </c>
      <c r="H2501" s="2">
        <v>0.49381944444444442</v>
      </c>
      <c r="I2501">
        <v>16</v>
      </c>
      <c r="J2501">
        <v>16</v>
      </c>
      <c r="K2501" t="s">
        <v>59</v>
      </c>
      <c r="L2501" t="s">
        <v>13</v>
      </c>
      <c r="M2501" t="s">
        <v>32</v>
      </c>
      <c r="N2501" t="s">
        <v>33</v>
      </c>
    </row>
    <row r="2502" spans="1:14" x14ac:dyDescent="0.25">
      <c r="A2502">
        <v>21123</v>
      </c>
      <c r="B2502">
        <v>9264</v>
      </c>
      <c r="C2502">
        <f>1/COUNTIF(B:B,pizza_sales[[#This Row],[order_id]])</f>
        <v>1</v>
      </c>
      <c r="D2502" t="s">
        <v>34</v>
      </c>
      <c r="E2502">
        <v>1</v>
      </c>
      <c r="F2502" s="1">
        <v>42130</v>
      </c>
      <c r="G2502" s="1" t="str">
        <f>TEXT(pizza_sales[[#This Row],[order_date]],"dddd")</f>
        <v>Wednesday</v>
      </c>
      <c r="H2502" s="2">
        <v>0.50023148148148144</v>
      </c>
      <c r="I2502">
        <v>16.25</v>
      </c>
      <c r="J2502">
        <v>16.25</v>
      </c>
      <c r="K2502" t="s">
        <v>59</v>
      </c>
      <c r="L2502" t="s">
        <v>35</v>
      </c>
      <c r="M2502" t="s">
        <v>36</v>
      </c>
      <c r="N2502" t="s">
        <v>37</v>
      </c>
    </row>
    <row r="2503" spans="1:14" x14ac:dyDescent="0.25">
      <c r="A2503">
        <v>21124</v>
      </c>
      <c r="B2503">
        <v>9265</v>
      </c>
      <c r="C2503">
        <f>1/COUNTIF(B:B,pizza_sales[[#This Row],[order_id]])</f>
        <v>1</v>
      </c>
      <c r="D2503" t="s">
        <v>46</v>
      </c>
      <c r="E2503">
        <v>1</v>
      </c>
      <c r="F2503" s="1">
        <v>42130</v>
      </c>
      <c r="G2503" s="1" t="str">
        <f>TEXT(pizza_sales[[#This Row],[order_date]],"dddd")</f>
        <v>Wednesday</v>
      </c>
      <c r="H2503" s="2">
        <v>0.50072916666666667</v>
      </c>
      <c r="I2503">
        <v>25.5</v>
      </c>
      <c r="J2503">
        <v>25.5</v>
      </c>
      <c r="K2503" t="s">
        <v>61</v>
      </c>
      <c r="L2503" t="s">
        <v>13</v>
      </c>
      <c r="M2503" t="s">
        <v>21</v>
      </c>
      <c r="N2503" t="s">
        <v>22</v>
      </c>
    </row>
    <row r="2504" spans="1:14" x14ac:dyDescent="0.25">
      <c r="A2504">
        <v>21137</v>
      </c>
      <c r="B2504">
        <v>9271</v>
      </c>
      <c r="C2504">
        <f>1/COUNTIF(B:B,pizza_sales[[#This Row],[order_id]])</f>
        <v>0.5</v>
      </c>
      <c r="D2504" t="s">
        <v>12</v>
      </c>
      <c r="E2504">
        <v>1</v>
      </c>
      <c r="F2504" s="1">
        <v>42130</v>
      </c>
      <c r="G2504" s="1" t="str">
        <f>TEXT(pizza_sales[[#This Row],[order_date]],"dddd")</f>
        <v>Wednesday</v>
      </c>
      <c r="H2504" s="2">
        <v>0.53432870370370367</v>
      </c>
      <c r="I2504">
        <v>13.25</v>
      </c>
      <c r="J2504">
        <v>13.25</v>
      </c>
      <c r="K2504" t="s">
        <v>59</v>
      </c>
      <c r="L2504" t="s">
        <v>13</v>
      </c>
      <c r="M2504" t="s">
        <v>14</v>
      </c>
      <c r="N2504" t="s">
        <v>15</v>
      </c>
    </row>
    <row r="2505" spans="1:14" x14ac:dyDescent="0.25">
      <c r="A2505">
        <v>21138</v>
      </c>
      <c r="B2505">
        <v>9271</v>
      </c>
      <c r="C2505">
        <f>1/COUNTIF(B:B,pizza_sales[[#This Row],[order_id]])</f>
        <v>0.5</v>
      </c>
      <c r="D2505" t="s">
        <v>42</v>
      </c>
      <c r="E2505">
        <v>1</v>
      </c>
      <c r="F2505" s="1">
        <v>42130</v>
      </c>
      <c r="G2505" s="1" t="str">
        <f>TEXT(pizza_sales[[#This Row],[order_date]],"dddd")</f>
        <v>Wednesday</v>
      </c>
      <c r="H2505" s="2">
        <v>0.53432870370370367</v>
      </c>
      <c r="I2505">
        <v>12.5</v>
      </c>
      <c r="J2505">
        <v>12.5</v>
      </c>
      <c r="K2505" t="s">
        <v>59</v>
      </c>
      <c r="L2505" t="s">
        <v>13</v>
      </c>
      <c r="M2505" t="s">
        <v>26</v>
      </c>
      <c r="N2505" t="s">
        <v>27</v>
      </c>
    </row>
    <row r="2506" spans="1:14" x14ac:dyDescent="0.25">
      <c r="A2506">
        <v>21152</v>
      </c>
      <c r="B2506">
        <v>9278</v>
      </c>
      <c r="C2506">
        <f>1/COUNTIF(B:B,pizza_sales[[#This Row],[order_id]])</f>
        <v>1</v>
      </c>
      <c r="D2506" t="s">
        <v>28</v>
      </c>
      <c r="E2506">
        <v>1</v>
      </c>
      <c r="F2506" s="1">
        <v>42130</v>
      </c>
      <c r="G2506" s="1" t="str">
        <f>TEXT(pizza_sales[[#This Row],[order_date]],"dddd")</f>
        <v>Wednesday</v>
      </c>
      <c r="H2506" s="2">
        <v>0.58635416666666662</v>
      </c>
      <c r="I2506">
        <v>12</v>
      </c>
      <c r="J2506">
        <v>12</v>
      </c>
      <c r="K2506" t="s">
        <v>60</v>
      </c>
      <c r="L2506" t="s">
        <v>13</v>
      </c>
      <c r="M2506" t="s">
        <v>29</v>
      </c>
      <c r="N2506" t="s">
        <v>30</v>
      </c>
    </row>
    <row r="2507" spans="1:14" x14ac:dyDescent="0.25">
      <c r="A2507">
        <v>21156</v>
      </c>
      <c r="B2507">
        <v>9279</v>
      </c>
      <c r="C2507">
        <f>1/COUNTIF(B:B,pizza_sales[[#This Row],[order_id]])</f>
        <v>0.5</v>
      </c>
      <c r="D2507" t="s">
        <v>16</v>
      </c>
      <c r="E2507">
        <v>1</v>
      </c>
      <c r="F2507" s="1">
        <v>42130</v>
      </c>
      <c r="G2507" s="1" t="str">
        <f>TEXT(pizza_sales[[#This Row],[order_date]],"dddd")</f>
        <v>Wednesday</v>
      </c>
      <c r="H2507" s="2">
        <v>0.59209490740740744</v>
      </c>
      <c r="I2507">
        <v>16</v>
      </c>
      <c r="J2507">
        <v>16</v>
      </c>
      <c r="K2507" t="s">
        <v>59</v>
      </c>
      <c r="L2507" t="s">
        <v>17</v>
      </c>
      <c r="M2507" t="s">
        <v>18</v>
      </c>
      <c r="N2507" t="s">
        <v>19</v>
      </c>
    </row>
    <row r="2508" spans="1:14" x14ac:dyDescent="0.25">
      <c r="A2508">
        <v>21157</v>
      </c>
      <c r="B2508">
        <v>9279</v>
      </c>
      <c r="C2508">
        <f>1/COUNTIF(B:B,pizza_sales[[#This Row],[order_id]])</f>
        <v>0.5</v>
      </c>
      <c r="D2508" t="s">
        <v>25</v>
      </c>
      <c r="E2508">
        <v>1</v>
      </c>
      <c r="F2508" s="1">
        <v>42130</v>
      </c>
      <c r="G2508" s="1" t="str">
        <f>TEXT(pizza_sales[[#This Row],[order_date]],"dddd")</f>
        <v>Wednesday</v>
      </c>
      <c r="H2508" s="2">
        <v>0.59209490740740744</v>
      </c>
      <c r="I2508">
        <v>15.25</v>
      </c>
      <c r="J2508">
        <v>15.25</v>
      </c>
      <c r="K2508" t="s">
        <v>58</v>
      </c>
      <c r="L2508" t="s">
        <v>13</v>
      </c>
      <c r="M2508" t="s">
        <v>26</v>
      </c>
      <c r="N2508" t="s">
        <v>27</v>
      </c>
    </row>
    <row r="2509" spans="1:14" x14ac:dyDescent="0.25">
      <c r="A2509">
        <v>21161</v>
      </c>
      <c r="B2509">
        <v>9281</v>
      </c>
      <c r="C2509">
        <f>1/COUNTIF(B:B,pizza_sales[[#This Row],[order_id]])</f>
        <v>1</v>
      </c>
      <c r="D2509" t="s">
        <v>45</v>
      </c>
      <c r="E2509">
        <v>1</v>
      </c>
      <c r="F2509" s="1">
        <v>42130</v>
      </c>
      <c r="G2509" s="1" t="str">
        <f>TEXT(pizza_sales[[#This Row],[order_date]],"dddd")</f>
        <v>Wednesday</v>
      </c>
      <c r="H2509" s="2">
        <v>0.60384259259259254</v>
      </c>
      <c r="I2509">
        <v>10.5</v>
      </c>
      <c r="J2509">
        <v>10.5</v>
      </c>
      <c r="K2509" t="s">
        <v>60</v>
      </c>
      <c r="L2509" t="s">
        <v>13</v>
      </c>
      <c r="M2509" t="s">
        <v>14</v>
      </c>
      <c r="N2509" t="s">
        <v>15</v>
      </c>
    </row>
    <row r="2510" spans="1:14" x14ac:dyDescent="0.25">
      <c r="A2510">
        <v>21164</v>
      </c>
      <c r="B2510">
        <v>9282</v>
      </c>
      <c r="C2510">
        <f>1/COUNTIF(B:B,pizza_sales[[#This Row],[order_id]])</f>
        <v>0.5</v>
      </c>
      <c r="D2510" t="s">
        <v>45</v>
      </c>
      <c r="E2510">
        <v>1</v>
      </c>
      <c r="F2510" s="1">
        <v>42130</v>
      </c>
      <c r="G2510" s="1" t="str">
        <f>TEXT(pizza_sales[[#This Row],[order_date]],"dddd")</f>
        <v>Wednesday</v>
      </c>
      <c r="H2510" s="2">
        <v>0.60841435185185189</v>
      </c>
      <c r="I2510">
        <v>10.5</v>
      </c>
      <c r="J2510">
        <v>10.5</v>
      </c>
      <c r="K2510" t="s">
        <v>60</v>
      </c>
      <c r="L2510" t="s">
        <v>13</v>
      </c>
      <c r="M2510" t="s">
        <v>14</v>
      </c>
      <c r="N2510" t="s">
        <v>15</v>
      </c>
    </row>
    <row r="2511" spans="1:14" x14ac:dyDescent="0.25">
      <c r="A2511">
        <v>21166</v>
      </c>
      <c r="B2511">
        <v>9282</v>
      </c>
      <c r="C2511">
        <f>1/COUNTIF(B:B,pizza_sales[[#This Row],[order_id]])</f>
        <v>0.5</v>
      </c>
      <c r="D2511" t="s">
        <v>46</v>
      </c>
      <c r="E2511">
        <v>1</v>
      </c>
      <c r="F2511" s="1">
        <v>42130</v>
      </c>
      <c r="G2511" s="1" t="str">
        <f>TEXT(pizza_sales[[#This Row],[order_date]],"dddd")</f>
        <v>Wednesday</v>
      </c>
      <c r="H2511" s="2">
        <v>0.60841435185185189</v>
      </c>
      <c r="I2511">
        <v>25.5</v>
      </c>
      <c r="J2511">
        <v>25.5</v>
      </c>
      <c r="K2511" t="s">
        <v>61</v>
      </c>
      <c r="L2511" t="s">
        <v>13</v>
      </c>
      <c r="M2511" t="s">
        <v>21</v>
      </c>
      <c r="N2511" t="s">
        <v>22</v>
      </c>
    </row>
    <row r="2512" spans="1:14" x14ac:dyDescent="0.25">
      <c r="A2512">
        <v>21167</v>
      </c>
      <c r="B2512">
        <v>9283</v>
      </c>
      <c r="C2512">
        <f>1/COUNTIF(B:B,pizza_sales[[#This Row],[order_id]])</f>
        <v>0.33333333333333331</v>
      </c>
      <c r="D2512" t="s">
        <v>54</v>
      </c>
      <c r="E2512">
        <v>1</v>
      </c>
      <c r="F2512" s="1">
        <v>42130</v>
      </c>
      <c r="G2512" s="1" t="str">
        <f>TEXT(pizza_sales[[#This Row],[order_date]],"dddd")</f>
        <v>Wednesday</v>
      </c>
      <c r="H2512" s="2">
        <v>0.63372685185185185</v>
      </c>
      <c r="I2512">
        <v>12.25</v>
      </c>
      <c r="J2512">
        <v>12.25</v>
      </c>
      <c r="K2512" t="s">
        <v>60</v>
      </c>
      <c r="L2512" t="s">
        <v>35</v>
      </c>
      <c r="M2512" t="s">
        <v>36</v>
      </c>
      <c r="N2512" t="s">
        <v>37</v>
      </c>
    </row>
    <row r="2513" spans="1:14" x14ac:dyDescent="0.25">
      <c r="A2513">
        <v>21172</v>
      </c>
      <c r="B2513">
        <v>9283</v>
      </c>
      <c r="C2513">
        <f>1/COUNTIF(B:B,pizza_sales[[#This Row],[order_id]])</f>
        <v>0.33333333333333331</v>
      </c>
      <c r="D2513" t="s">
        <v>16</v>
      </c>
      <c r="E2513">
        <v>1</v>
      </c>
      <c r="F2513" s="1">
        <v>42130</v>
      </c>
      <c r="G2513" s="1" t="str">
        <f>TEXT(pizza_sales[[#This Row],[order_date]],"dddd")</f>
        <v>Wednesday</v>
      </c>
      <c r="H2513" s="2">
        <v>0.63372685185185185</v>
      </c>
      <c r="I2513">
        <v>16</v>
      </c>
      <c r="J2513">
        <v>16</v>
      </c>
      <c r="K2513" t="s">
        <v>59</v>
      </c>
      <c r="L2513" t="s">
        <v>17</v>
      </c>
      <c r="M2513" t="s">
        <v>18</v>
      </c>
      <c r="N2513" t="s">
        <v>19</v>
      </c>
    </row>
    <row r="2514" spans="1:14" x14ac:dyDescent="0.25">
      <c r="A2514">
        <v>21173</v>
      </c>
      <c r="B2514">
        <v>9283</v>
      </c>
      <c r="C2514">
        <f>1/COUNTIF(B:B,pizza_sales[[#This Row],[order_id]])</f>
        <v>0.33333333333333331</v>
      </c>
      <c r="D2514" t="s">
        <v>31</v>
      </c>
      <c r="E2514">
        <v>1</v>
      </c>
      <c r="F2514" s="1">
        <v>42130</v>
      </c>
      <c r="G2514" s="1" t="str">
        <f>TEXT(pizza_sales[[#This Row],[order_date]],"dddd")</f>
        <v>Wednesday</v>
      </c>
      <c r="H2514" s="2">
        <v>0.63372685185185185</v>
      </c>
      <c r="I2514">
        <v>12</v>
      </c>
      <c r="J2514">
        <v>12</v>
      </c>
      <c r="K2514" t="s">
        <v>60</v>
      </c>
      <c r="L2514" t="s">
        <v>13</v>
      </c>
      <c r="M2514" t="s">
        <v>32</v>
      </c>
      <c r="N2514" t="s">
        <v>33</v>
      </c>
    </row>
    <row r="2515" spans="1:14" x14ac:dyDescent="0.25">
      <c r="A2515">
        <v>21176</v>
      </c>
      <c r="B2515">
        <v>9284</v>
      </c>
      <c r="C2515">
        <f>1/COUNTIF(B:B,pizza_sales[[#This Row],[order_id]])</f>
        <v>1</v>
      </c>
      <c r="D2515" t="s">
        <v>28</v>
      </c>
      <c r="E2515">
        <v>1</v>
      </c>
      <c r="F2515" s="1">
        <v>42130</v>
      </c>
      <c r="G2515" s="1" t="str">
        <f>TEXT(pizza_sales[[#This Row],[order_date]],"dddd")</f>
        <v>Wednesday</v>
      </c>
      <c r="H2515" s="2">
        <v>0.63559027777777777</v>
      </c>
      <c r="I2515">
        <v>12</v>
      </c>
      <c r="J2515">
        <v>12</v>
      </c>
      <c r="K2515" t="s">
        <v>60</v>
      </c>
      <c r="L2515" t="s">
        <v>13</v>
      </c>
      <c r="M2515" t="s">
        <v>29</v>
      </c>
      <c r="N2515" t="s">
        <v>30</v>
      </c>
    </row>
    <row r="2516" spans="1:14" x14ac:dyDescent="0.25">
      <c r="A2516">
        <v>21181</v>
      </c>
      <c r="B2516">
        <v>9287</v>
      </c>
      <c r="C2516">
        <f>1/COUNTIF(B:B,pizza_sales[[#This Row],[order_id]])</f>
        <v>0.33333333333333331</v>
      </c>
      <c r="D2516" t="s">
        <v>28</v>
      </c>
      <c r="E2516">
        <v>1</v>
      </c>
      <c r="F2516" s="1">
        <v>42130</v>
      </c>
      <c r="G2516" s="1" t="str">
        <f>TEXT(pizza_sales[[#This Row],[order_date]],"dddd")</f>
        <v>Wednesday</v>
      </c>
      <c r="H2516" s="2">
        <v>0.66226851851851853</v>
      </c>
      <c r="I2516">
        <v>12</v>
      </c>
      <c r="J2516">
        <v>12</v>
      </c>
      <c r="K2516" t="s">
        <v>60</v>
      </c>
      <c r="L2516" t="s">
        <v>13</v>
      </c>
      <c r="M2516" t="s">
        <v>29</v>
      </c>
      <c r="N2516" t="s">
        <v>30</v>
      </c>
    </row>
    <row r="2517" spans="1:14" x14ac:dyDescent="0.25">
      <c r="A2517">
        <v>21182</v>
      </c>
      <c r="B2517">
        <v>9287</v>
      </c>
      <c r="C2517">
        <f>1/COUNTIF(B:B,pizza_sales[[#This Row],[order_id]])</f>
        <v>0.33333333333333331</v>
      </c>
      <c r="D2517" t="s">
        <v>51</v>
      </c>
      <c r="E2517">
        <v>1</v>
      </c>
      <c r="F2517" s="1">
        <v>42130</v>
      </c>
      <c r="G2517" s="1" t="str">
        <f>TEXT(pizza_sales[[#This Row],[order_date]],"dddd")</f>
        <v>Wednesday</v>
      </c>
      <c r="H2517" s="2">
        <v>0.66226851851851853</v>
      </c>
      <c r="I2517">
        <v>23.65</v>
      </c>
      <c r="J2517">
        <v>23.65</v>
      </c>
      <c r="K2517" t="s">
        <v>60</v>
      </c>
      <c r="L2517" t="s">
        <v>35</v>
      </c>
      <c r="M2517" t="s">
        <v>52</v>
      </c>
      <c r="N2517" t="s">
        <v>53</v>
      </c>
    </row>
    <row r="2518" spans="1:14" x14ac:dyDescent="0.25">
      <c r="A2518">
        <v>21184</v>
      </c>
      <c r="B2518">
        <v>9287</v>
      </c>
      <c r="C2518">
        <f>1/COUNTIF(B:B,pizza_sales[[#This Row],[order_id]])</f>
        <v>0.33333333333333331</v>
      </c>
      <c r="D2518" t="s">
        <v>48</v>
      </c>
      <c r="E2518">
        <v>1</v>
      </c>
      <c r="F2518" s="1">
        <v>42130</v>
      </c>
      <c r="G2518" s="1" t="str">
        <f>TEXT(pizza_sales[[#This Row],[order_date]],"dddd")</f>
        <v>Wednesday</v>
      </c>
      <c r="H2518" s="2">
        <v>0.66226851851851853</v>
      </c>
      <c r="I2518">
        <v>12.25</v>
      </c>
      <c r="J2518">
        <v>12.25</v>
      </c>
      <c r="K2518" t="s">
        <v>60</v>
      </c>
      <c r="L2518" t="s">
        <v>35</v>
      </c>
      <c r="M2518" t="s">
        <v>40</v>
      </c>
      <c r="N2518" t="s">
        <v>41</v>
      </c>
    </row>
    <row r="2519" spans="1:14" x14ac:dyDescent="0.25">
      <c r="A2519">
        <v>21197</v>
      </c>
      <c r="B2519">
        <v>9295</v>
      </c>
      <c r="C2519">
        <f>1/COUNTIF(B:B,pizza_sales[[#This Row],[order_id]])</f>
        <v>1</v>
      </c>
      <c r="D2519" t="s">
        <v>47</v>
      </c>
      <c r="E2519">
        <v>1</v>
      </c>
      <c r="F2519" s="1">
        <v>42130</v>
      </c>
      <c r="G2519" s="1" t="str">
        <f>TEXT(pizza_sales[[#This Row],[order_date]],"dddd")</f>
        <v>Wednesday</v>
      </c>
      <c r="H2519" s="2">
        <v>0.72401620370370368</v>
      </c>
      <c r="I2519">
        <v>16.5</v>
      </c>
      <c r="J2519">
        <v>16.5</v>
      </c>
      <c r="K2519" t="s">
        <v>58</v>
      </c>
      <c r="L2519" t="s">
        <v>13</v>
      </c>
      <c r="M2519" t="s">
        <v>14</v>
      </c>
      <c r="N2519" t="s">
        <v>15</v>
      </c>
    </row>
    <row r="2520" spans="1:14" x14ac:dyDescent="0.25">
      <c r="A2520">
        <v>21200</v>
      </c>
      <c r="B2520">
        <v>9297</v>
      </c>
      <c r="C2520">
        <f>1/COUNTIF(B:B,pizza_sales[[#This Row],[order_id]])</f>
        <v>0.5</v>
      </c>
      <c r="D2520" t="s">
        <v>50</v>
      </c>
      <c r="E2520">
        <v>1</v>
      </c>
      <c r="F2520" s="1">
        <v>42130</v>
      </c>
      <c r="G2520" s="1" t="str">
        <f>TEXT(pizza_sales[[#This Row],[order_date]],"dddd")</f>
        <v>Wednesday</v>
      </c>
      <c r="H2520" s="2">
        <v>0.73265046296296299</v>
      </c>
      <c r="I2520">
        <v>16</v>
      </c>
      <c r="J2520">
        <v>16</v>
      </c>
      <c r="K2520" t="s">
        <v>59</v>
      </c>
      <c r="L2520" t="s">
        <v>13</v>
      </c>
      <c r="M2520" t="s">
        <v>32</v>
      </c>
      <c r="N2520" t="s">
        <v>33</v>
      </c>
    </row>
    <row r="2521" spans="1:14" x14ac:dyDescent="0.25">
      <c r="A2521">
        <v>21201</v>
      </c>
      <c r="B2521">
        <v>9297</v>
      </c>
      <c r="C2521">
        <f>1/COUNTIF(B:B,pizza_sales[[#This Row],[order_id]])</f>
        <v>0.5</v>
      </c>
      <c r="D2521" t="s">
        <v>42</v>
      </c>
      <c r="E2521">
        <v>1</v>
      </c>
      <c r="F2521" s="1">
        <v>42130</v>
      </c>
      <c r="G2521" s="1" t="str">
        <f>TEXT(pizza_sales[[#This Row],[order_date]],"dddd")</f>
        <v>Wednesday</v>
      </c>
      <c r="H2521" s="2">
        <v>0.73265046296296299</v>
      </c>
      <c r="I2521">
        <v>12.5</v>
      </c>
      <c r="J2521">
        <v>12.5</v>
      </c>
      <c r="K2521" t="s">
        <v>59</v>
      </c>
      <c r="L2521" t="s">
        <v>13</v>
      </c>
      <c r="M2521" t="s">
        <v>26</v>
      </c>
      <c r="N2521" t="s">
        <v>27</v>
      </c>
    </row>
    <row r="2522" spans="1:14" x14ac:dyDescent="0.25">
      <c r="A2522">
        <v>21205</v>
      </c>
      <c r="B2522">
        <v>9298</v>
      </c>
      <c r="C2522">
        <f>1/COUNTIF(B:B,pizza_sales[[#This Row],[order_id]])</f>
        <v>1</v>
      </c>
      <c r="D2522" t="s">
        <v>43</v>
      </c>
      <c r="E2522">
        <v>1</v>
      </c>
      <c r="F2522" s="1">
        <v>42130</v>
      </c>
      <c r="G2522" s="1" t="str">
        <f>TEXT(pizza_sales[[#This Row],[order_date]],"dddd")</f>
        <v>Wednesday</v>
      </c>
      <c r="H2522" s="2">
        <v>0.73298611111111112</v>
      </c>
      <c r="I2522">
        <v>16.25</v>
      </c>
      <c r="J2522">
        <v>16.25</v>
      </c>
      <c r="K2522" t="s">
        <v>59</v>
      </c>
      <c r="L2522" t="s">
        <v>35</v>
      </c>
      <c r="M2522" t="s">
        <v>40</v>
      </c>
      <c r="N2522" t="s">
        <v>41</v>
      </c>
    </row>
    <row r="2523" spans="1:14" x14ac:dyDescent="0.25">
      <c r="A2523">
        <v>21211</v>
      </c>
      <c r="B2523">
        <v>9300</v>
      </c>
      <c r="C2523">
        <f>1/COUNTIF(B:B,pizza_sales[[#This Row],[order_id]])</f>
        <v>1</v>
      </c>
      <c r="D2523" t="s">
        <v>47</v>
      </c>
      <c r="E2523">
        <v>1</v>
      </c>
      <c r="F2523" s="1">
        <v>42130</v>
      </c>
      <c r="G2523" s="1" t="str">
        <f>TEXT(pizza_sales[[#This Row],[order_date]],"dddd")</f>
        <v>Wednesday</v>
      </c>
      <c r="H2523" s="2">
        <v>0.75350694444444444</v>
      </c>
      <c r="I2523">
        <v>16.5</v>
      </c>
      <c r="J2523">
        <v>16.5</v>
      </c>
      <c r="K2523" t="s">
        <v>58</v>
      </c>
      <c r="L2523" t="s">
        <v>13</v>
      </c>
      <c r="M2523" t="s">
        <v>14</v>
      </c>
      <c r="N2523" t="s">
        <v>15</v>
      </c>
    </row>
    <row r="2524" spans="1:14" x14ac:dyDescent="0.25">
      <c r="A2524">
        <v>21214</v>
      </c>
      <c r="B2524">
        <v>9301</v>
      </c>
      <c r="C2524">
        <f>1/COUNTIF(B:B,pizza_sales[[#This Row],[order_id]])</f>
        <v>1</v>
      </c>
      <c r="D2524" t="s">
        <v>46</v>
      </c>
      <c r="E2524">
        <v>1</v>
      </c>
      <c r="F2524" s="1">
        <v>42130</v>
      </c>
      <c r="G2524" s="1" t="str">
        <f>TEXT(pizza_sales[[#This Row],[order_date]],"dddd")</f>
        <v>Wednesday</v>
      </c>
      <c r="H2524" s="2">
        <v>0.75707175925925929</v>
      </c>
      <c r="I2524">
        <v>25.5</v>
      </c>
      <c r="J2524">
        <v>25.5</v>
      </c>
      <c r="K2524" t="s">
        <v>61</v>
      </c>
      <c r="L2524" t="s">
        <v>13</v>
      </c>
      <c r="M2524" t="s">
        <v>21</v>
      </c>
      <c r="N2524" t="s">
        <v>22</v>
      </c>
    </row>
    <row r="2525" spans="1:14" x14ac:dyDescent="0.25">
      <c r="A2525">
        <v>21218</v>
      </c>
      <c r="B2525">
        <v>9302</v>
      </c>
      <c r="C2525">
        <f>1/COUNTIF(B:B,pizza_sales[[#This Row],[order_id]])</f>
        <v>1</v>
      </c>
      <c r="D2525" t="s">
        <v>31</v>
      </c>
      <c r="E2525">
        <v>1</v>
      </c>
      <c r="F2525" s="1">
        <v>42130</v>
      </c>
      <c r="G2525" s="1" t="str">
        <f>TEXT(pizza_sales[[#This Row],[order_date]],"dddd")</f>
        <v>Wednesday</v>
      </c>
      <c r="H2525" s="2">
        <v>0.75797453703703699</v>
      </c>
      <c r="I2525">
        <v>12</v>
      </c>
      <c r="J2525">
        <v>12</v>
      </c>
      <c r="K2525" t="s">
        <v>60</v>
      </c>
      <c r="L2525" t="s">
        <v>13</v>
      </c>
      <c r="M2525" t="s">
        <v>32</v>
      </c>
      <c r="N2525" t="s">
        <v>33</v>
      </c>
    </row>
    <row r="2526" spans="1:14" x14ac:dyDescent="0.25">
      <c r="A2526">
        <v>21220</v>
      </c>
      <c r="B2526">
        <v>9303</v>
      </c>
      <c r="C2526">
        <f>1/COUNTIF(B:B,pizza_sales[[#This Row],[order_id]])</f>
        <v>1</v>
      </c>
      <c r="D2526" t="s">
        <v>28</v>
      </c>
      <c r="E2526">
        <v>1</v>
      </c>
      <c r="F2526" s="1">
        <v>42130</v>
      </c>
      <c r="G2526" s="1" t="str">
        <f>TEXT(pizza_sales[[#This Row],[order_date]],"dddd")</f>
        <v>Wednesday</v>
      </c>
      <c r="H2526" s="2">
        <v>0.76935185185185184</v>
      </c>
      <c r="I2526">
        <v>12</v>
      </c>
      <c r="J2526">
        <v>12</v>
      </c>
      <c r="K2526" t="s">
        <v>60</v>
      </c>
      <c r="L2526" t="s">
        <v>13</v>
      </c>
      <c r="M2526" t="s">
        <v>29</v>
      </c>
      <c r="N2526" t="s">
        <v>30</v>
      </c>
    </row>
    <row r="2527" spans="1:14" x14ac:dyDescent="0.25">
      <c r="A2527">
        <v>21231</v>
      </c>
      <c r="B2527">
        <v>9307</v>
      </c>
      <c r="C2527">
        <f>1/COUNTIF(B:B,pizza_sales[[#This Row],[order_id]])</f>
        <v>1</v>
      </c>
      <c r="D2527" t="s">
        <v>51</v>
      </c>
      <c r="E2527">
        <v>1</v>
      </c>
      <c r="F2527" s="1">
        <v>42130</v>
      </c>
      <c r="G2527" s="1" t="str">
        <f>TEXT(pizza_sales[[#This Row],[order_date]],"dddd")</f>
        <v>Wednesday</v>
      </c>
      <c r="H2527" s="2">
        <v>0.78328703703703706</v>
      </c>
      <c r="I2527">
        <v>23.65</v>
      </c>
      <c r="J2527">
        <v>23.65</v>
      </c>
      <c r="K2527" t="s">
        <v>60</v>
      </c>
      <c r="L2527" t="s">
        <v>35</v>
      </c>
      <c r="M2527" t="s">
        <v>52</v>
      </c>
      <c r="N2527" t="s">
        <v>53</v>
      </c>
    </row>
    <row r="2528" spans="1:14" x14ac:dyDescent="0.25">
      <c r="A2528">
        <v>21233</v>
      </c>
      <c r="B2528">
        <v>9308</v>
      </c>
      <c r="C2528">
        <f>1/COUNTIF(B:B,pizza_sales[[#This Row],[order_id]])</f>
        <v>1</v>
      </c>
      <c r="D2528" t="s">
        <v>24</v>
      </c>
      <c r="E2528">
        <v>1</v>
      </c>
      <c r="F2528" s="1">
        <v>42130</v>
      </c>
      <c r="G2528" s="1" t="str">
        <f>TEXT(pizza_sales[[#This Row],[order_date]],"dddd")</f>
        <v>Wednesday</v>
      </c>
      <c r="H2528" s="2">
        <v>0.78407407407407403</v>
      </c>
      <c r="I2528">
        <v>20.25</v>
      </c>
      <c r="J2528">
        <v>20.25</v>
      </c>
      <c r="K2528" t="s">
        <v>58</v>
      </c>
      <c r="L2528" t="s">
        <v>17</v>
      </c>
      <c r="M2528" t="s">
        <v>18</v>
      </c>
      <c r="N2528" t="s">
        <v>19</v>
      </c>
    </row>
    <row r="2529" spans="1:14" x14ac:dyDescent="0.25">
      <c r="A2529">
        <v>21234</v>
      </c>
      <c r="B2529">
        <v>9309</v>
      </c>
      <c r="C2529">
        <f>1/COUNTIF(B:B,pizza_sales[[#This Row],[order_id]])</f>
        <v>1</v>
      </c>
      <c r="D2529" t="s">
        <v>49</v>
      </c>
      <c r="E2529">
        <v>1</v>
      </c>
      <c r="F2529" s="1">
        <v>42130</v>
      </c>
      <c r="G2529" s="1" t="str">
        <f>TEXT(pizza_sales[[#This Row],[order_date]],"dddd")</f>
        <v>Wednesday</v>
      </c>
      <c r="H2529" s="2">
        <v>0.78717592592592589</v>
      </c>
      <c r="I2529">
        <v>16</v>
      </c>
      <c r="J2529">
        <v>16</v>
      </c>
      <c r="K2529" t="s">
        <v>59</v>
      </c>
      <c r="L2529" t="s">
        <v>13</v>
      </c>
      <c r="M2529" t="s">
        <v>21</v>
      </c>
      <c r="N2529" t="s">
        <v>22</v>
      </c>
    </row>
    <row r="2530" spans="1:14" x14ac:dyDescent="0.25">
      <c r="A2530">
        <v>21237</v>
      </c>
      <c r="B2530">
        <v>9312</v>
      </c>
      <c r="C2530">
        <f>1/COUNTIF(B:B,pizza_sales[[#This Row],[order_id]])</f>
        <v>1</v>
      </c>
      <c r="D2530" t="s">
        <v>42</v>
      </c>
      <c r="E2530">
        <v>1</v>
      </c>
      <c r="F2530" s="1">
        <v>42130</v>
      </c>
      <c r="G2530" s="1" t="str">
        <f>TEXT(pizza_sales[[#This Row],[order_date]],"dddd")</f>
        <v>Wednesday</v>
      </c>
      <c r="H2530" s="2">
        <v>0.80967592592592597</v>
      </c>
      <c r="I2530">
        <v>12.5</v>
      </c>
      <c r="J2530">
        <v>12.5</v>
      </c>
      <c r="K2530" t="s">
        <v>59</v>
      </c>
      <c r="L2530" t="s">
        <v>13</v>
      </c>
      <c r="M2530" t="s">
        <v>26</v>
      </c>
      <c r="N2530" t="s">
        <v>27</v>
      </c>
    </row>
    <row r="2531" spans="1:14" x14ac:dyDescent="0.25">
      <c r="A2531">
        <v>21240</v>
      </c>
      <c r="B2531">
        <v>9313</v>
      </c>
      <c r="C2531">
        <f>1/COUNTIF(B:B,pizza_sales[[#This Row],[order_id]])</f>
        <v>1</v>
      </c>
      <c r="D2531" t="s">
        <v>46</v>
      </c>
      <c r="E2531">
        <v>1</v>
      </c>
      <c r="F2531" s="1">
        <v>42130</v>
      </c>
      <c r="G2531" s="1" t="str">
        <f>TEXT(pizza_sales[[#This Row],[order_date]],"dddd")</f>
        <v>Wednesday</v>
      </c>
      <c r="H2531" s="2">
        <v>0.81741898148148151</v>
      </c>
      <c r="I2531">
        <v>25.5</v>
      </c>
      <c r="J2531">
        <v>25.5</v>
      </c>
      <c r="K2531" t="s">
        <v>61</v>
      </c>
      <c r="L2531" t="s">
        <v>13</v>
      </c>
      <c r="M2531" t="s">
        <v>21</v>
      </c>
      <c r="N2531" t="s">
        <v>22</v>
      </c>
    </row>
    <row r="2532" spans="1:14" x14ac:dyDescent="0.25">
      <c r="A2532">
        <v>21243</v>
      </c>
      <c r="B2532">
        <v>9314</v>
      </c>
      <c r="C2532">
        <f>1/COUNTIF(B:B,pizza_sales[[#This Row],[order_id]])</f>
        <v>1</v>
      </c>
      <c r="D2532" t="s">
        <v>25</v>
      </c>
      <c r="E2532">
        <v>1</v>
      </c>
      <c r="F2532" s="1">
        <v>42130</v>
      </c>
      <c r="G2532" s="1" t="str">
        <f>TEXT(pizza_sales[[#This Row],[order_date]],"dddd")</f>
        <v>Wednesday</v>
      </c>
      <c r="H2532" s="2">
        <v>0.81803240740740746</v>
      </c>
      <c r="I2532">
        <v>15.25</v>
      </c>
      <c r="J2532">
        <v>15.25</v>
      </c>
      <c r="K2532" t="s">
        <v>58</v>
      </c>
      <c r="L2532" t="s">
        <v>13</v>
      </c>
      <c r="M2532" t="s">
        <v>26</v>
      </c>
      <c r="N2532" t="s">
        <v>27</v>
      </c>
    </row>
    <row r="2533" spans="1:14" x14ac:dyDescent="0.25">
      <c r="A2533">
        <v>21245</v>
      </c>
      <c r="B2533">
        <v>9315</v>
      </c>
      <c r="C2533">
        <f>1/COUNTIF(B:B,pizza_sales[[#This Row],[order_id]])</f>
        <v>1</v>
      </c>
      <c r="D2533" t="s">
        <v>50</v>
      </c>
      <c r="E2533">
        <v>1</v>
      </c>
      <c r="F2533" s="1">
        <v>42130</v>
      </c>
      <c r="G2533" s="1" t="str">
        <f>TEXT(pizza_sales[[#This Row],[order_date]],"dddd")</f>
        <v>Wednesday</v>
      </c>
      <c r="H2533" s="2">
        <v>0.81917824074074075</v>
      </c>
      <c r="I2533">
        <v>16</v>
      </c>
      <c r="J2533">
        <v>16</v>
      </c>
      <c r="K2533" t="s">
        <v>59</v>
      </c>
      <c r="L2533" t="s">
        <v>13</v>
      </c>
      <c r="M2533" t="s">
        <v>32</v>
      </c>
      <c r="N2533" t="s">
        <v>33</v>
      </c>
    </row>
    <row r="2534" spans="1:14" x14ac:dyDescent="0.25">
      <c r="A2534">
        <v>21262</v>
      </c>
      <c r="B2534">
        <v>9323</v>
      </c>
      <c r="C2534">
        <f>1/COUNTIF(B:B,pizza_sales[[#This Row],[order_id]])</f>
        <v>0.5</v>
      </c>
      <c r="D2534" t="s">
        <v>28</v>
      </c>
      <c r="E2534">
        <v>1</v>
      </c>
      <c r="F2534" s="1">
        <v>42130</v>
      </c>
      <c r="G2534" s="1" t="str">
        <f>TEXT(pizza_sales[[#This Row],[order_date]],"dddd")</f>
        <v>Wednesday</v>
      </c>
      <c r="H2534" s="2">
        <v>0.87627314814814816</v>
      </c>
      <c r="I2534">
        <v>12</v>
      </c>
      <c r="J2534">
        <v>12</v>
      </c>
      <c r="K2534" t="s">
        <v>60</v>
      </c>
      <c r="L2534" t="s">
        <v>13</v>
      </c>
      <c r="M2534" t="s">
        <v>29</v>
      </c>
      <c r="N2534" t="s">
        <v>30</v>
      </c>
    </row>
    <row r="2535" spans="1:14" x14ac:dyDescent="0.25">
      <c r="A2535">
        <v>21263</v>
      </c>
      <c r="B2535">
        <v>9323</v>
      </c>
      <c r="C2535">
        <f>1/COUNTIF(B:B,pizza_sales[[#This Row],[order_id]])</f>
        <v>0.5</v>
      </c>
      <c r="D2535" t="s">
        <v>25</v>
      </c>
      <c r="E2535">
        <v>1</v>
      </c>
      <c r="F2535" s="1">
        <v>42130</v>
      </c>
      <c r="G2535" s="1" t="str">
        <f>TEXT(pizza_sales[[#This Row],[order_date]],"dddd")</f>
        <v>Wednesday</v>
      </c>
      <c r="H2535" s="2">
        <v>0.87627314814814816</v>
      </c>
      <c r="I2535">
        <v>15.25</v>
      </c>
      <c r="J2535">
        <v>15.25</v>
      </c>
      <c r="K2535" t="s">
        <v>58</v>
      </c>
      <c r="L2535" t="s">
        <v>13</v>
      </c>
      <c r="M2535" t="s">
        <v>26</v>
      </c>
      <c r="N2535" t="s">
        <v>27</v>
      </c>
    </row>
    <row r="2536" spans="1:14" x14ac:dyDescent="0.25">
      <c r="A2536">
        <v>21265</v>
      </c>
      <c r="B2536">
        <v>9324</v>
      </c>
      <c r="C2536">
        <f>1/COUNTIF(B:B,pizza_sales[[#This Row],[order_id]])</f>
        <v>1</v>
      </c>
      <c r="D2536" t="s">
        <v>28</v>
      </c>
      <c r="E2536">
        <v>1</v>
      </c>
      <c r="F2536" s="1">
        <v>42130</v>
      </c>
      <c r="G2536" s="1" t="str">
        <f>TEXT(pizza_sales[[#This Row],[order_date]],"dddd")</f>
        <v>Wednesday</v>
      </c>
      <c r="H2536" s="2">
        <v>0.88535879629629632</v>
      </c>
      <c r="I2536">
        <v>12</v>
      </c>
      <c r="J2536">
        <v>12</v>
      </c>
      <c r="K2536" t="s">
        <v>60</v>
      </c>
      <c r="L2536" t="s">
        <v>13</v>
      </c>
      <c r="M2536" t="s">
        <v>29</v>
      </c>
      <c r="N2536" t="s">
        <v>30</v>
      </c>
    </row>
    <row r="2537" spans="1:14" x14ac:dyDescent="0.25">
      <c r="A2537">
        <v>21267</v>
      </c>
      <c r="B2537">
        <v>9325</v>
      </c>
      <c r="C2537">
        <f>1/COUNTIF(B:B,pizza_sales[[#This Row],[order_id]])</f>
        <v>1</v>
      </c>
      <c r="D2537" t="s">
        <v>24</v>
      </c>
      <c r="E2537">
        <v>1</v>
      </c>
      <c r="F2537" s="1">
        <v>42130</v>
      </c>
      <c r="G2537" s="1" t="str">
        <f>TEXT(pizza_sales[[#This Row],[order_date]],"dddd")</f>
        <v>Wednesday</v>
      </c>
      <c r="H2537" s="2">
        <v>0.90706018518518516</v>
      </c>
      <c r="I2537">
        <v>20.25</v>
      </c>
      <c r="J2537">
        <v>20.25</v>
      </c>
      <c r="K2537" t="s">
        <v>58</v>
      </c>
      <c r="L2537" t="s">
        <v>17</v>
      </c>
      <c r="M2537" t="s">
        <v>18</v>
      </c>
      <c r="N2537" t="s">
        <v>19</v>
      </c>
    </row>
    <row r="2538" spans="1:14" x14ac:dyDescent="0.25">
      <c r="A2538">
        <v>21276</v>
      </c>
      <c r="B2538">
        <v>9331</v>
      </c>
      <c r="C2538">
        <f>1/COUNTIF(B:B,pizza_sales[[#This Row],[order_id]])</f>
        <v>0.16666666666666666</v>
      </c>
      <c r="D2538" t="s">
        <v>28</v>
      </c>
      <c r="E2538">
        <v>1</v>
      </c>
      <c r="F2538" s="1">
        <v>42161</v>
      </c>
      <c r="G2538" s="1" t="str">
        <f>TEXT(pizza_sales[[#This Row],[order_date]],"dddd")</f>
        <v>Saturday</v>
      </c>
      <c r="H2538" s="2">
        <v>0.5278356481481481</v>
      </c>
      <c r="I2538">
        <v>12</v>
      </c>
      <c r="J2538">
        <v>12</v>
      </c>
      <c r="K2538" t="s">
        <v>60</v>
      </c>
      <c r="L2538" t="s">
        <v>13</v>
      </c>
      <c r="M2538" t="s">
        <v>29</v>
      </c>
      <c r="N2538" t="s">
        <v>30</v>
      </c>
    </row>
    <row r="2539" spans="1:14" x14ac:dyDescent="0.25">
      <c r="A2539">
        <v>21281</v>
      </c>
      <c r="B2539">
        <v>9331</v>
      </c>
      <c r="C2539">
        <f>1/COUNTIF(B:B,pizza_sales[[#This Row],[order_id]])</f>
        <v>0.16666666666666666</v>
      </c>
      <c r="D2539" t="s">
        <v>47</v>
      </c>
      <c r="E2539">
        <v>1</v>
      </c>
      <c r="F2539" s="1">
        <v>42161</v>
      </c>
      <c r="G2539" s="1" t="str">
        <f>TEXT(pizza_sales[[#This Row],[order_date]],"dddd")</f>
        <v>Saturday</v>
      </c>
      <c r="H2539" s="2">
        <v>0.5278356481481481</v>
      </c>
      <c r="I2539">
        <v>16.5</v>
      </c>
      <c r="J2539">
        <v>16.5</v>
      </c>
      <c r="K2539" t="s">
        <v>58</v>
      </c>
      <c r="L2539" t="s">
        <v>13</v>
      </c>
      <c r="M2539" t="s">
        <v>14</v>
      </c>
      <c r="N2539" t="s">
        <v>15</v>
      </c>
    </row>
    <row r="2540" spans="1:14" x14ac:dyDescent="0.25">
      <c r="A2540">
        <v>21284</v>
      </c>
      <c r="B2540">
        <v>9331</v>
      </c>
      <c r="C2540">
        <f>1/COUNTIF(B:B,pizza_sales[[#This Row],[order_id]])</f>
        <v>0.16666666666666666</v>
      </c>
      <c r="D2540" t="s">
        <v>16</v>
      </c>
      <c r="E2540">
        <v>1</v>
      </c>
      <c r="F2540" s="1">
        <v>42161</v>
      </c>
      <c r="G2540" s="1" t="str">
        <f>TEXT(pizza_sales[[#This Row],[order_date]],"dddd")</f>
        <v>Saturday</v>
      </c>
      <c r="H2540" s="2">
        <v>0.5278356481481481</v>
      </c>
      <c r="I2540">
        <v>16</v>
      </c>
      <c r="J2540">
        <v>16</v>
      </c>
      <c r="K2540" t="s">
        <v>59</v>
      </c>
      <c r="L2540" t="s">
        <v>17</v>
      </c>
      <c r="M2540" t="s">
        <v>18</v>
      </c>
      <c r="N2540" t="s">
        <v>19</v>
      </c>
    </row>
    <row r="2541" spans="1:14" x14ac:dyDescent="0.25">
      <c r="A2541">
        <v>21285</v>
      </c>
      <c r="B2541">
        <v>9331</v>
      </c>
      <c r="C2541">
        <f>1/COUNTIF(B:B,pizza_sales[[#This Row],[order_id]])</f>
        <v>0.16666666666666666</v>
      </c>
      <c r="D2541" t="s">
        <v>38</v>
      </c>
      <c r="E2541">
        <v>2</v>
      </c>
      <c r="F2541" s="1">
        <v>42161</v>
      </c>
      <c r="G2541" s="1" t="str">
        <f>TEXT(pizza_sales[[#This Row],[order_date]],"dddd")</f>
        <v>Saturday</v>
      </c>
      <c r="H2541" s="2">
        <v>0.5278356481481481</v>
      </c>
      <c r="I2541">
        <v>20.5</v>
      </c>
      <c r="J2541">
        <v>41</v>
      </c>
      <c r="K2541" t="s">
        <v>58</v>
      </c>
      <c r="L2541" t="s">
        <v>13</v>
      </c>
      <c r="M2541" t="s">
        <v>32</v>
      </c>
      <c r="N2541" t="s">
        <v>33</v>
      </c>
    </row>
    <row r="2542" spans="1:14" x14ac:dyDescent="0.25">
      <c r="A2542">
        <v>21286</v>
      </c>
      <c r="B2542">
        <v>9331</v>
      </c>
      <c r="C2542">
        <f>1/COUNTIF(B:B,pizza_sales[[#This Row],[order_id]])</f>
        <v>0.16666666666666666</v>
      </c>
      <c r="D2542" t="s">
        <v>39</v>
      </c>
      <c r="E2542">
        <v>1</v>
      </c>
      <c r="F2542" s="1">
        <v>42161</v>
      </c>
      <c r="G2542" s="1" t="str">
        <f>TEXT(pizza_sales[[#This Row],[order_date]],"dddd")</f>
        <v>Saturday</v>
      </c>
      <c r="H2542" s="2">
        <v>0.5278356481481481</v>
      </c>
      <c r="I2542">
        <v>20.25</v>
      </c>
      <c r="J2542">
        <v>20.25</v>
      </c>
      <c r="K2542" t="s">
        <v>58</v>
      </c>
      <c r="L2542" t="s">
        <v>35</v>
      </c>
      <c r="M2542" t="s">
        <v>40</v>
      </c>
      <c r="N2542" t="s">
        <v>41</v>
      </c>
    </row>
    <row r="2543" spans="1:14" x14ac:dyDescent="0.25">
      <c r="A2543">
        <v>21287</v>
      </c>
      <c r="B2543">
        <v>9331</v>
      </c>
      <c r="C2543">
        <f>1/COUNTIF(B:B,pizza_sales[[#This Row],[order_id]])</f>
        <v>0.16666666666666666</v>
      </c>
      <c r="D2543" t="s">
        <v>48</v>
      </c>
      <c r="E2543">
        <v>1</v>
      </c>
      <c r="F2543" s="1">
        <v>42161</v>
      </c>
      <c r="G2543" s="1" t="str">
        <f>TEXT(pizza_sales[[#This Row],[order_date]],"dddd")</f>
        <v>Saturday</v>
      </c>
      <c r="H2543" s="2">
        <v>0.5278356481481481</v>
      </c>
      <c r="I2543">
        <v>12.25</v>
      </c>
      <c r="J2543">
        <v>12.25</v>
      </c>
      <c r="K2543" t="s">
        <v>60</v>
      </c>
      <c r="L2543" t="s">
        <v>35</v>
      </c>
      <c r="M2543" t="s">
        <v>40</v>
      </c>
      <c r="N2543" t="s">
        <v>41</v>
      </c>
    </row>
    <row r="2544" spans="1:14" x14ac:dyDescent="0.25">
      <c r="A2544">
        <v>21289</v>
      </c>
      <c r="B2544">
        <v>9332</v>
      </c>
      <c r="C2544">
        <f>1/COUNTIF(B:B,pizza_sales[[#This Row],[order_id]])</f>
        <v>1</v>
      </c>
      <c r="D2544" t="s">
        <v>28</v>
      </c>
      <c r="E2544">
        <v>1</v>
      </c>
      <c r="F2544" s="1">
        <v>42161</v>
      </c>
      <c r="G2544" s="1" t="str">
        <f>TEXT(pizza_sales[[#This Row],[order_date]],"dddd")</f>
        <v>Saturday</v>
      </c>
      <c r="H2544" s="2">
        <v>0.53577546296296297</v>
      </c>
      <c r="I2544">
        <v>12</v>
      </c>
      <c r="J2544">
        <v>12</v>
      </c>
      <c r="K2544" t="s">
        <v>60</v>
      </c>
      <c r="L2544" t="s">
        <v>13</v>
      </c>
      <c r="M2544" t="s">
        <v>29</v>
      </c>
      <c r="N2544" t="s">
        <v>30</v>
      </c>
    </row>
    <row r="2545" spans="1:14" x14ac:dyDescent="0.25">
      <c r="A2545">
        <v>21293</v>
      </c>
      <c r="B2545">
        <v>9334</v>
      </c>
      <c r="C2545">
        <f>1/COUNTIF(B:B,pizza_sales[[#This Row],[order_id]])</f>
        <v>0.5</v>
      </c>
      <c r="D2545" t="s">
        <v>45</v>
      </c>
      <c r="E2545">
        <v>1</v>
      </c>
      <c r="F2545" s="1">
        <v>42161</v>
      </c>
      <c r="G2545" s="1" t="str">
        <f>TEXT(pizza_sales[[#This Row],[order_date]],"dddd")</f>
        <v>Saturday</v>
      </c>
      <c r="H2545" s="2">
        <v>0.54664351851851856</v>
      </c>
      <c r="I2545">
        <v>10.5</v>
      </c>
      <c r="J2545">
        <v>10.5</v>
      </c>
      <c r="K2545" t="s">
        <v>60</v>
      </c>
      <c r="L2545" t="s">
        <v>13</v>
      </c>
      <c r="M2545" t="s">
        <v>14</v>
      </c>
      <c r="N2545" t="s">
        <v>15</v>
      </c>
    </row>
    <row r="2546" spans="1:14" x14ac:dyDescent="0.25">
      <c r="A2546">
        <v>21294</v>
      </c>
      <c r="B2546">
        <v>9334</v>
      </c>
      <c r="C2546">
        <f>1/COUNTIF(B:B,pizza_sales[[#This Row],[order_id]])</f>
        <v>0.5</v>
      </c>
      <c r="D2546" t="s">
        <v>50</v>
      </c>
      <c r="E2546">
        <v>1</v>
      </c>
      <c r="F2546" s="1">
        <v>42161</v>
      </c>
      <c r="G2546" s="1" t="str">
        <f>TEXT(pizza_sales[[#This Row],[order_date]],"dddd")</f>
        <v>Saturday</v>
      </c>
      <c r="H2546" s="2">
        <v>0.54664351851851856</v>
      </c>
      <c r="I2546">
        <v>16</v>
      </c>
      <c r="J2546">
        <v>16</v>
      </c>
      <c r="K2546" t="s">
        <v>59</v>
      </c>
      <c r="L2546" t="s">
        <v>13</v>
      </c>
      <c r="M2546" t="s">
        <v>32</v>
      </c>
      <c r="N2546" t="s">
        <v>33</v>
      </c>
    </row>
    <row r="2547" spans="1:14" x14ac:dyDescent="0.25">
      <c r="A2547">
        <v>21300</v>
      </c>
      <c r="B2547">
        <v>9336</v>
      </c>
      <c r="C2547">
        <f>1/COUNTIF(B:B,pizza_sales[[#This Row],[order_id]])</f>
        <v>1</v>
      </c>
      <c r="D2547" t="s">
        <v>43</v>
      </c>
      <c r="E2547">
        <v>1</v>
      </c>
      <c r="F2547" s="1">
        <v>42161</v>
      </c>
      <c r="G2547" s="1" t="str">
        <f>TEXT(pizza_sales[[#This Row],[order_date]],"dddd")</f>
        <v>Saturday</v>
      </c>
      <c r="H2547" s="2">
        <v>0.5524768518518518</v>
      </c>
      <c r="I2547">
        <v>16.25</v>
      </c>
      <c r="J2547">
        <v>16.25</v>
      </c>
      <c r="K2547" t="s">
        <v>59</v>
      </c>
      <c r="L2547" t="s">
        <v>35</v>
      </c>
      <c r="M2547" t="s">
        <v>40</v>
      </c>
      <c r="N2547" t="s">
        <v>41</v>
      </c>
    </row>
    <row r="2548" spans="1:14" x14ac:dyDescent="0.25">
      <c r="A2548">
        <v>21303</v>
      </c>
      <c r="B2548">
        <v>9337</v>
      </c>
      <c r="C2548">
        <f>1/COUNTIF(B:B,pizza_sales[[#This Row],[order_id]])</f>
        <v>1</v>
      </c>
      <c r="D2548" t="s">
        <v>31</v>
      </c>
      <c r="E2548">
        <v>1</v>
      </c>
      <c r="F2548" s="1">
        <v>42161</v>
      </c>
      <c r="G2548" s="1" t="str">
        <f>TEXT(pizza_sales[[#This Row],[order_date]],"dddd")</f>
        <v>Saturday</v>
      </c>
      <c r="H2548" s="2">
        <v>0.5552083333333333</v>
      </c>
      <c r="I2548">
        <v>12</v>
      </c>
      <c r="J2548">
        <v>12</v>
      </c>
      <c r="K2548" t="s">
        <v>60</v>
      </c>
      <c r="L2548" t="s">
        <v>13</v>
      </c>
      <c r="M2548" t="s">
        <v>32</v>
      </c>
      <c r="N2548" t="s">
        <v>33</v>
      </c>
    </row>
    <row r="2549" spans="1:14" x14ac:dyDescent="0.25">
      <c r="A2549">
        <v>21305</v>
      </c>
      <c r="B2549">
        <v>9339</v>
      </c>
      <c r="C2549">
        <f>1/COUNTIF(B:B,pizza_sales[[#This Row],[order_id]])</f>
        <v>1</v>
      </c>
      <c r="D2549" t="s">
        <v>47</v>
      </c>
      <c r="E2549">
        <v>1</v>
      </c>
      <c r="F2549" s="1">
        <v>42161</v>
      </c>
      <c r="G2549" s="1" t="str">
        <f>TEXT(pizza_sales[[#This Row],[order_date]],"dddd")</f>
        <v>Saturday</v>
      </c>
      <c r="H2549" s="2">
        <v>0.57064814814814813</v>
      </c>
      <c r="I2549">
        <v>16.5</v>
      </c>
      <c r="J2549">
        <v>16.5</v>
      </c>
      <c r="K2549" t="s">
        <v>58</v>
      </c>
      <c r="L2549" t="s">
        <v>13</v>
      </c>
      <c r="M2549" t="s">
        <v>14</v>
      </c>
      <c r="N2549" t="s">
        <v>15</v>
      </c>
    </row>
    <row r="2550" spans="1:14" x14ac:dyDescent="0.25">
      <c r="A2550">
        <v>21312</v>
      </c>
      <c r="B2550">
        <v>9343</v>
      </c>
      <c r="C2550">
        <f>1/COUNTIF(B:B,pizza_sales[[#This Row],[order_id]])</f>
        <v>1</v>
      </c>
      <c r="D2550" t="s">
        <v>23</v>
      </c>
      <c r="E2550">
        <v>1</v>
      </c>
      <c r="F2550" s="1">
        <v>42161</v>
      </c>
      <c r="G2550" s="1" t="str">
        <f>TEXT(pizza_sales[[#This Row],[order_date]],"dddd")</f>
        <v>Saturday</v>
      </c>
      <c r="H2550" s="2">
        <v>0.59193287037037035</v>
      </c>
      <c r="I2550">
        <v>12</v>
      </c>
      <c r="J2550">
        <v>12</v>
      </c>
      <c r="K2550" t="s">
        <v>60</v>
      </c>
      <c r="L2550" t="s">
        <v>17</v>
      </c>
      <c r="M2550" t="s">
        <v>18</v>
      </c>
      <c r="N2550" t="s">
        <v>19</v>
      </c>
    </row>
    <row r="2551" spans="1:14" x14ac:dyDescent="0.25">
      <c r="A2551">
        <v>21317</v>
      </c>
      <c r="B2551">
        <v>9347</v>
      </c>
      <c r="C2551">
        <f>1/COUNTIF(B:B,pizza_sales[[#This Row],[order_id]])</f>
        <v>0.5</v>
      </c>
      <c r="D2551" t="s">
        <v>47</v>
      </c>
      <c r="E2551">
        <v>1</v>
      </c>
      <c r="F2551" s="1">
        <v>42161</v>
      </c>
      <c r="G2551" s="1" t="str">
        <f>TEXT(pizza_sales[[#This Row],[order_date]],"dddd")</f>
        <v>Saturday</v>
      </c>
      <c r="H2551" s="2">
        <v>0.6385763888888889</v>
      </c>
      <c r="I2551">
        <v>16.5</v>
      </c>
      <c r="J2551">
        <v>16.5</v>
      </c>
      <c r="K2551" t="s">
        <v>58</v>
      </c>
      <c r="L2551" t="s">
        <v>13</v>
      </c>
      <c r="M2551" t="s">
        <v>14</v>
      </c>
      <c r="N2551" t="s">
        <v>15</v>
      </c>
    </row>
    <row r="2552" spans="1:14" x14ac:dyDescent="0.25">
      <c r="A2552">
        <v>21319</v>
      </c>
      <c r="B2552">
        <v>9347</v>
      </c>
      <c r="C2552">
        <f>1/COUNTIF(B:B,pizza_sales[[#This Row],[order_id]])</f>
        <v>0.5</v>
      </c>
      <c r="D2552" t="s">
        <v>25</v>
      </c>
      <c r="E2552">
        <v>1</v>
      </c>
      <c r="F2552" s="1">
        <v>42161</v>
      </c>
      <c r="G2552" s="1" t="str">
        <f>TEXT(pizza_sales[[#This Row],[order_date]],"dddd")</f>
        <v>Saturday</v>
      </c>
      <c r="H2552" s="2">
        <v>0.6385763888888889</v>
      </c>
      <c r="I2552">
        <v>15.25</v>
      </c>
      <c r="J2552">
        <v>15.25</v>
      </c>
      <c r="K2552" t="s">
        <v>58</v>
      </c>
      <c r="L2552" t="s">
        <v>13</v>
      </c>
      <c r="M2552" t="s">
        <v>26</v>
      </c>
      <c r="N2552" t="s">
        <v>27</v>
      </c>
    </row>
    <row r="2553" spans="1:14" x14ac:dyDescent="0.25">
      <c r="A2553">
        <v>21321</v>
      </c>
      <c r="B2553">
        <v>9349</v>
      </c>
      <c r="C2553">
        <f>1/COUNTIF(B:B,pizza_sales[[#This Row],[order_id]])</f>
        <v>1</v>
      </c>
      <c r="D2553" t="s">
        <v>28</v>
      </c>
      <c r="E2553">
        <v>1</v>
      </c>
      <c r="F2553" s="1">
        <v>42161</v>
      </c>
      <c r="G2553" s="1" t="str">
        <f>TEXT(pizza_sales[[#This Row],[order_date]],"dddd")</f>
        <v>Saturday</v>
      </c>
      <c r="H2553" s="2">
        <v>0.65525462962962966</v>
      </c>
      <c r="I2553">
        <v>12</v>
      </c>
      <c r="J2553">
        <v>12</v>
      </c>
      <c r="K2553" t="s">
        <v>60</v>
      </c>
      <c r="L2553" t="s">
        <v>13</v>
      </c>
      <c r="M2553" t="s">
        <v>29</v>
      </c>
      <c r="N2553" t="s">
        <v>30</v>
      </c>
    </row>
    <row r="2554" spans="1:14" x14ac:dyDescent="0.25">
      <c r="A2554">
        <v>21324</v>
      </c>
      <c r="B2554">
        <v>9350</v>
      </c>
      <c r="C2554">
        <f>1/COUNTIF(B:B,pizza_sales[[#This Row],[order_id]])</f>
        <v>1</v>
      </c>
      <c r="D2554" t="s">
        <v>42</v>
      </c>
      <c r="E2554">
        <v>1</v>
      </c>
      <c r="F2554" s="1">
        <v>42161</v>
      </c>
      <c r="G2554" s="1" t="str">
        <f>TEXT(pizza_sales[[#This Row],[order_date]],"dddd")</f>
        <v>Saturday</v>
      </c>
      <c r="H2554" s="2">
        <v>0.679224537037037</v>
      </c>
      <c r="I2554">
        <v>12.5</v>
      </c>
      <c r="J2554">
        <v>12.5</v>
      </c>
      <c r="K2554" t="s">
        <v>59</v>
      </c>
      <c r="L2554" t="s">
        <v>13</v>
      </c>
      <c r="M2554" t="s">
        <v>26</v>
      </c>
      <c r="N2554" t="s">
        <v>27</v>
      </c>
    </row>
    <row r="2555" spans="1:14" x14ac:dyDescent="0.25">
      <c r="A2555">
        <v>21329</v>
      </c>
      <c r="B2555">
        <v>9353</v>
      </c>
      <c r="C2555">
        <f>1/COUNTIF(B:B,pizza_sales[[#This Row],[order_id]])</f>
        <v>1</v>
      </c>
      <c r="D2555" t="s">
        <v>25</v>
      </c>
      <c r="E2555">
        <v>1</v>
      </c>
      <c r="F2555" s="1">
        <v>42161</v>
      </c>
      <c r="G2555" s="1" t="str">
        <f>TEXT(pizza_sales[[#This Row],[order_date]],"dddd")</f>
        <v>Saturday</v>
      </c>
      <c r="H2555" s="2">
        <v>0.70144675925925926</v>
      </c>
      <c r="I2555">
        <v>15.25</v>
      </c>
      <c r="J2555">
        <v>15.25</v>
      </c>
      <c r="K2555" t="s">
        <v>58</v>
      </c>
      <c r="L2555" t="s">
        <v>13</v>
      </c>
      <c r="M2555" t="s">
        <v>26</v>
      </c>
      <c r="N2555" t="s">
        <v>27</v>
      </c>
    </row>
    <row r="2556" spans="1:14" x14ac:dyDescent="0.25">
      <c r="A2556">
        <v>21332</v>
      </c>
      <c r="B2556">
        <v>9354</v>
      </c>
      <c r="C2556">
        <f>1/COUNTIF(B:B,pizza_sales[[#This Row],[order_id]])</f>
        <v>1</v>
      </c>
      <c r="D2556" t="s">
        <v>23</v>
      </c>
      <c r="E2556">
        <v>1</v>
      </c>
      <c r="F2556" s="1">
        <v>42161</v>
      </c>
      <c r="G2556" s="1" t="str">
        <f>TEXT(pizza_sales[[#This Row],[order_date]],"dddd")</f>
        <v>Saturday</v>
      </c>
      <c r="H2556" s="2">
        <v>0.70773148148148146</v>
      </c>
      <c r="I2556">
        <v>12</v>
      </c>
      <c r="J2556">
        <v>12</v>
      </c>
      <c r="K2556" t="s">
        <v>60</v>
      </c>
      <c r="L2556" t="s">
        <v>17</v>
      </c>
      <c r="M2556" t="s">
        <v>18</v>
      </c>
      <c r="N2556" t="s">
        <v>19</v>
      </c>
    </row>
    <row r="2557" spans="1:14" x14ac:dyDescent="0.25">
      <c r="A2557">
        <v>21334</v>
      </c>
      <c r="B2557">
        <v>9355</v>
      </c>
      <c r="C2557">
        <f>1/COUNTIF(B:B,pizza_sales[[#This Row],[order_id]])</f>
        <v>1</v>
      </c>
      <c r="D2557" t="s">
        <v>46</v>
      </c>
      <c r="E2557">
        <v>1</v>
      </c>
      <c r="F2557" s="1">
        <v>42161</v>
      </c>
      <c r="G2557" s="1" t="str">
        <f>TEXT(pizza_sales[[#This Row],[order_date]],"dddd")</f>
        <v>Saturday</v>
      </c>
      <c r="H2557" s="2">
        <v>0.71297453703703706</v>
      </c>
      <c r="I2557">
        <v>25.5</v>
      </c>
      <c r="J2557">
        <v>25.5</v>
      </c>
      <c r="K2557" t="s">
        <v>61</v>
      </c>
      <c r="L2557" t="s">
        <v>13</v>
      </c>
      <c r="M2557" t="s">
        <v>21</v>
      </c>
      <c r="N2557" t="s">
        <v>22</v>
      </c>
    </row>
    <row r="2558" spans="1:14" x14ac:dyDescent="0.25">
      <c r="A2558">
        <v>21336</v>
      </c>
      <c r="B2558">
        <v>9356</v>
      </c>
      <c r="C2558">
        <f>1/COUNTIF(B:B,pizza_sales[[#This Row],[order_id]])</f>
        <v>0.5</v>
      </c>
      <c r="D2558" t="s">
        <v>28</v>
      </c>
      <c r="E2558">
        <v>1</v>
      </c>
      <c r="F2558" s="1">
        <v>42161</v>
      </c>
      <c r="G2558" s="1" t="str">
        <f>TEXT(pizza_sales[[#This Row],[order_date]],"dddd")</f>
        <v>Saturday</v>
      </c>
      <c r="H2558" s="2">
        <v>0.73563657407407412</v>
      </c>
      <c r="I2558">
        <v>12</v>
      </c>
      <c r="J2558">
        <v>12</v>
      </c>
      <c r="K2558" t="s">
        <v>60</v>
      </c>
      <c r="L2558" t="s">
        <v>13</v>
      </c>
      <c r="M2558" t="s">
        <v>29</v>
      </c>
      <c r="N2558" t="s">
        <v>30</v>
      </c>
    </row>
    <row r="2559" spans="1:14" x14ac:dyDescent="0.25">
      <c r="A2559">
        <v>21338</v>
      </c>
      <c r="B2559">
        <v>9356</v>
      </c>
      <c r="C2559">
        <f>1/COUNTIF(B:B,pizza_sales[[#This Row],[order_id]])</f>
        <v>0.5</v>
      </c>
      <c r="D2559" t="s">
        <v>50</v>
      </c>
      <c r="E2559">
        <v>1</v>
      </c>
      <c r="F2559" s="1">
        <v>42161</v>
      </c>
      <c r="G2559" s="1" t="str">
        <f>TEXT(pizza_sales[[#This Row],[order_date]],"dddd")</f>
        <v>Saturday</v>
      </c>
      <c r="H2559" s="2">
        <v>0.73563657407407412</v>
      </c>
      <c r="I2559">
        <v>16</v>
      </c>
      <c r="J2559">
        <v>16</v>
      </c>
      <c r="K2559" t="s">
        <v>59</v>
      </c>
      <c r="L2559" t="s">
        <v>13</v>
      </c>
      <c r="M2559" t="s">
        <v>32</v>
      </c>
      <c r="N2559" t="s">
        <v>33</v>
      </c>
    </row>
    <row r="2560" spans="1:14" x14ac:dyDescent="0.25">
      <c r="A2560">
        <v>21341</v>
      </c>
      <c r="B2560">
        <v>9358</v>
      </c>
      <c r="C2560">
        <f>1/COUNTIF(B:B,pizza_sales[[#This Row],[order_id]])</f>
        <v>1</v>
      </c>
      <c r="D2560" t="s">
        <v>34</v>
      </c>
      <c r="E2560">
        <v>1</v>
      </c>
      <c r="F2560" s="1">
        <v>42161</v>
      </c>
      <c r="G2560" s="1" t="str">
        <f>TEXT(pizza_sales[[#This Row],[order_date]],"dddd")</f>
        <v>Saturday</v>
      </c>
      <c r="H2560" s="2">
        <v>0.74322916666666672</v>
      </c>
      <c r="I2560">
        <v>16.25</v>
      </c>
      <c r="J2560">
        <v>16.25</v>
      </c>
      <c r="K2560" t="s">
        <v>59</v>
      </c>
      <c r="L2560" t="s">
        <v>35</v>
      </c>
      <c r="M2560" t="s">
        <v>36</v>
      </c>
      <c r="N2560" t="s">
        <v>37</v>
      </c>
    </row>
    <row r="2561" spans="1:14" x14ac:dyDescent="0.25">
      <c r="A2561">
        <v>21342</v>
      </c>
      <c r="B2561">
        <v>9359</v>
      </c>
      <c r="C2561">
        <f>1/COUNTIF(B:B,pizza_sales[[#This Row],[order_id]])</f>
        <v>1</v>
      </c>
      <c r="D2561" t="s">
        <v>12</v>
      </c>
      <c r="E2561">
        <v>1</v>
      </c>
      <c r="F2561" s="1">
        <v>42161</v>
      </c>
      <c r="G2561" s="1" t="str">
        <f>TEXT(pizza_sales[[#This Row],[order_date]],"dddd")</f>
        <v>Saturday</v>
      </c>
      <c r="H2561" s="2">
        <v>0.74451388888888892</v>
      </c>
      <c r="I2561">
        <v>13.25</v>
      </c>
      <c r="J2561">
        <v>13.25</v>
      </c>
      <c r="K2561" t="s">
        <v>59</v>
      </c>
      <c r="L2561" t="s">
        <v>13</v>
      </c>
      <c r="M2561" t="s">
        <v>14</v>
      </c>
      <c r="N2561" t="s">
        <v>15</v>
      </c>
    </row>
    <row r="2562" spans="1:14" x14ac:dyDescent="0.25">
      <c r="A2562">
        <v>21344</v>
      </c>
      <c r="B2562">
        <v>9360</v>
      </c>
      <c r="C2562">
        <f>1/COUNTIF(B:B,pizza_sales[[#This Row],[order_id]])</f>
        <v>1</v>
      </c>
      <c r="D2562" t="s">
        <v>51</v>
      </c>
      <c r="E2562">
        <v>1</v>
      </c>
      <c r="F2562" s="1">
        <v>42161</v>
      </c>
      <c r="G2562" s="1" t="str">
        <f>TEXT(pizza_sales[[#This Row],[order_date]],"dddd")</f>
        <v>Saturday</v>
      </c>
      <c r="H2562" s="2">
        <v>0.74525462962962963</v>
      </c>
      <c r="I2562">
        <v>23.65</v>
      </c>
      <c r="J2562">
        <v>23.65</v>
      </c>
      <c r="K2562" t="s">
        <v>60</v>
      </c>
      <c r="L2562" t="s">
        <v>35</v>
      </c>
      <c r="M2562" t="s">
        <v>52</v>
      </c>
      <c r="N2562" t="s">
        <v>53</v>
      </c>
    </row>
    <row r="2563" spans="1:14" x14ac:dyDescent="0.25">
      <c r="A2563">
        <v>21351</v>
      </c>
      <c r="B2563">
        <v>9363</v>
      </c>
      <c r="C2563">
        <f>1/COUNTIF(B:B,pizza_sales[[#This Row],[order_id]])</f>
        <v>1</v>
      </c>
      <c r="D2563" t="s">
        <v>48</v>
      </c>
      <c r="E2563">
        <v>1</v>
      </c>
      <c r="F2563" s="1">
        <v>42161</v>
      </c>
      <c r="G2563" s="1" t="str">
        <f>TEXT(pizza_sales[[#This Row],[order_date]],"dddd")</f>
        <v>Saturday</v>
      </c>
      <c r="H2563" s="2">
        <v>0.7585763888888889</v>
      </c>
      <c r="I2563">
        <v>12.25</v>
      </c>
      <c r="J2563">
        <v>12.25</v>
      </c>
      <c r="K2563" t="s">
        <v>60</v>
      </c>
      <c r="L2563" t="s">
        <v>35</v>
      </c>
      <c r="M2563" t="s">
        <v>40</v>
      </c>
      <c r="N2563" t="s">
        <v>41</v>
      </c>
    </row>
    <row r="2564" spans="1:14" x14ac:dyDescent="0.25">
      <c r="A2564">
        <v>21365</v>
      </c>
      <c r="B2564">
        <v>9369</v>
      </c>
      <c r="C2564">
        <f>1/COUNTIF(B:B,pizza_sales[[#This Row],[order_id]])</f>
        <v>1</v>
      </c>
      <c r="D2564" t="s">
        <v>46</v>
      </c>
      <c r="E2564">
        <v>1</v>
      </c>
      <c r="F2564" s="1">
        <v>42161</v>
      </c>
      <c r="G2564" s="1" t="str">
        <f>TEXT(pizza_sales[[#This Row],[order_date]],"dddd")</f>
        <v>Saturday</v>
      </c>
      <c r="H2564" s="2">
        <v>0.79646990740740742</v>
      </c>
      <c r="I2564">
        <v>25.5</v>
      </c>
      <c r="J2564">
        <v>25.5</v>
      </c>
      <c r="K2564" t="s">
        <v>61</v>
      </c>
      <c r="L2564" t="s">
        <v>13</v>
      </c>
      <c r="M2564" t="s">
        <v>21</v>
      </c>
      <c r="N2564" t="s">
        <v>22</v>
      </c>
    </row>
    <row r="2565" spans="1:14" x14ac:dyDescent="0.25">
      <c r="A2565">
        <v>21368</v>
      </c>
      <c r="B2565">
        <v>9371</v>
      </c>
      <c r="C2565">
        <f>1/COUNTIF(B:B,pizza_sales[[#This Row],[order_id]])</f>
        <v>1</v>
      </c>
      <c r="D2565" t="s">
        <v>31</v>
      </c>
      <c r="E2565">
        <v>1</v>
      </c>
      <c r="F2565" s="1">
        <v>42161</v>
      </c>
      <c r="G2565" s="1" t="str">
        <f>TEXT(pizza_sales[[#This Row],[order_date]],"dddd")</f>
        <v>Saturday</v>
      </c>
      <c r="H2565" s="2">
        <v>0.80501157407407409</v>
      </c>
      <c r="I2565">
        <v>12</v>
      </c>
      <c r="J2565">
        <v>12</v>
      </c>
      <c r="K2565" t="s">
        <v>60</v>
      </c>
      <c r="L2565" t="s">
        <v>13</v>
      </c>
      <c r="M2565" t="s">
        <v>32</v>
      </c>
      <c r="N2565" t="s">
        <v>33</v>
      </c>
    </row>
    <row r="2566" spans="1:14" x14ac:dyDescent="0.25">
      <c r="A2566">
        <v>21369</v>
      </c>
      <c r="B2566">
        <v>9372</v>
      </c>
      <c r="C2566">
        <f>1/COUNTIF(B:B,pizza_sales[[#This Row],[order_id]])</f>
        <v>1</v>
      </c>
      <c r="D2566" t="s">
        <v>28</v>
      </c>
      <c r="E2566">
        <v>1</v>
      </c>
      <c r="F2566" s="1">
        <v>42161</v>
      </c>
      <c r="G2566" s="1" t="str">
        <f>TEXT(pizza_sales[[#This Row],[order_date]],"dddd")</f>
        <v>Saturday</v>
      </c>
      <c r="H2566" s="2">
        <v>0.8075</v>
      </c>
      <c r="I2566">
        <v>12</v>
      </c>
      <c r="J2566">
        <v>12</v>
      </c>
      <c r="K2566" t="s">
        <v>60</v>
      </c>
      <c r="L2566" t="s">
        <v>13</v>
      </c>
      <c r="M2566" t="s">
        <v>29</v>
      </c>
      <c r="N2566" t="s">
        <v>30</v>
      </c>
    </row>
    <row r="2567" spans="1:14" x14ac:dyDescent="0.25">
      <c r="A2567">
        <v>21375</v>
      </c>
      <c r="B2567">
        <v>9375</v>
      </c>
      <c r="C2567">
        <f>1/COUNTIF(B:B,pizza_sales[[#This Row],[order_id]])</f>
        <v>0.5</v>
      </c>
      <c r="D2567" t="s">
        <v>38</v>
      </c>
      <c r="E2567">
        <v>1</v>
      </c>
      <c r="F2567" s="1">
        <v>42161</v>
      </c>
      <c r="G2567" s="1" t="str">
        <f>TEXT(pizza_sales[[#This Row],[order_date]],"dddd")</f>
        <v>Saturday</v>
      </c>
      <c r="H2567" s="2">
        <v>0.81209490740740742</v>
      </c>
      <c r="I2567">
        <v>20.5</v>
      </c>
      <c r="J2567">
        <v>20.5</v>
      </c>
      <c r="K2567" t="s">
        <v>58</v>
      </c>
      <c r="L2567" t="s">
        <v>13</v>
      </c>
      <c r="M2567" t="s">
        <v>32</v>
      </c>
      <c r="N2567" t="s">
        <v>33</v>
      </c>
    </row>
    <row r="2568" spans="1:14" x14ac:dyDescent="0.25">
      <c r="A2568">
        <v>21376</v>
      </c>
      <c r="B2568">
        <v>9375</v>
      </c>
      <c r="C2568">
        <f>1/COUNTIF(B:B,pizza_sales[[#This Row],[order_id]])</f>
        <v>0.5</v>
      </c>
      <c r="D2568" t="s">
        <v>42</v>
      </c>
      <c r="E2568">
        <v>1</v>
      </c>
      <c r="F2568" s="1">
        <v>42161</v>
      </c>
      <c r="G2568" s="1" t="str">
        <f>TEXT(pizza_sales[[#This Row],[order_date]],"dddd")</f>
        <v>Saturday</v>
      </c>
      <c r="H2568" s="2">
        <v>0.81209490740740742</v>
      </c>
      <c r="I2568">
        <v>12.5</v>
      </c>
      <c r="J2568">
        <v>12.5</v>
      </c>
      <c r="K2568" t="s">
        <v>59</v>
      </c>
      <c r="L2568" t="s">
        <v>13</v>
      </c>
      <c r="M2568" t="s">
        <v>26</v>
      </c>
      <c r="N2568" t="s">
        <v>27</v>
      </c>
    </row>
    <row r="2569" spans="1:14" x14ac:dyDescent="0.25">
      <c r="A2569">
        <v>21379</v>
      </c>
      <c r="B2569">
        <v>9377</v>
      </c>
      <c r="C2569">
        <f>1/COUNTIF(B:B,pizza_sales[[#This Row],[order_id]])</f>
        <v>1</v>
      </c>
      <c r="D2569" t="s">
        <v>50</v>
      </c>
      <c r="E2569">
        <v>1</v>
      </c>
      <c r="F2569" s="1">
        <v>42161</v>
      </c>
      <c r="G2569" s="1" t="str">
        <f>TEXT(pizza_sales[[#This Row],[order_date]],"dddd")</f>
        <v>Saturday</v>
      </c>
      <c r="H2569" s="2">
        <v>0.82328703703703698</v>
      </c>
      <c r="I2569">
        <v>16</v>
      </c>
      <c r="J2569">
        <v>16</v>
      </c>
      <c r="K2569" t="s">
        <v>59</v>
      </c>
      <c r="L2569" t="s">
        <v>13</v>
      </c>
      <c r="M2569" t="s">
        <v>32</v>
      </c>
      <c r="N2569" t="s">
        <v>33</v>
      </c>
    </row>
    <row r="2570" spans="1:14" x14ac:dyDescent="0.25">
      <c r="A2570">
        <v>21380</v>
      </c>
      <c r="B2570">
        <v>9378</v>
      </c>
      <c r="C2570">
        <f>1/COUNTIF(B:B,pizza_sales[[#This Row],[order_id]])</f>
        <v>1</v>
      </c>
      <c r="D2570" t="s">
        <v>55</v>
      </c>
      <c r="E2570">
        <v>1</v>
      </c>
      <c r="F2570" s="1">
        <v>42161</v>
      </c>
      <c r="G2570" s="1" t="str">
        <f>TEXT(pizza_sales[[#This Row],[order_date]],"dddd")</f>
        <v>Saturday</v>
      </c>
      <c r="H2570" s="2">
        <v>0.83641203703703704</v>
      </c>
      <c r="I2570">
        <v>20.5</v>
      </c>
      <c r="J2570">
        <v>20.5</v>
      </c>
      <c r="K2570" t="s">
        <v>58</v>
      </c>
      <c r="L2570" t="s">
        <v>13</v>
      </c>
      <c r="M2570" t="s">
        <v>21</v>
      </c>
      <c r="N2570" t="s">
        <v>22</v>
      </c>
    </row>
    <row r="2571" spans="1:14" x14ac:dyDescent="0.25">
      <c r="A2571">
        <v>21381</v>
      </c>
      <c r="B2571">
        <v>9379</v>
      </c>
      <c r="C2571">
        <f>1/COUNTIF(B:B,pizza_sales[[#This Row],[order_id]])</f>
        <v>1</v>
      </c>
      <c r="D2571" t="s">
        <v>28</v>
      </c>
      <c r="E2571">
        <v>1</v>
      </c>
      <c r="F2571" s="1">
        <v>42161</v>
      </c>
      <c r="G2571" s="1" t="str">
        <f>TEXT(pizza_sales[[#This Row],[order_date]],"dddd")</f>
        <v>Saturday</v>
      </c>
      <c r="H2571" s="2">
        <v>0.83900462962962963</v>
      </c>
      <c r="I2571">
        <v>12</v>
      </c>
      <c r="J2571">
        <v>12</v>
      </c>
      <c r="K2571" t="s">
        <v>60</v>
      </c>
      <c r="L2571" t="s">
        <v>13</v>
      </c>
      <c r="M2571" t="s">
        <v>29</v>
      </c>
      <c r="N2571" t="s">
        <v>30</v>
      </c>
    </row>
    <row r="2572" spans="1:14" x14ac:dyDescent="0.25">
      <c r="A2572">
        <v>21387</v>
      </c>
      <c r="B2572">
        <v>9382</v>
      </c>
      <c r="C2572">
        <f>1/COUNTIF(B:B,pizza_sales[[#This Row],[order_id]])</f>
        <v>1</v>
      </c>
      <c r="D2572" t="s">
        <v>31</v>
      </c>
      <c r="E2572">
        <v>1</v>
      </c>
      <c r="F2572" s="1">
        <v>42161</v>
      </c>
      <c r="G2572" s="1" t="str">
        <f>TEXT(pizza_sales[[#This Row],[order_date]],"dddd")</f>
        <v>Saturday</v>
      </c>
      <c r="H2572" s="2">
        <v>0.87214120370370374</v>
      </c>
      <c r="I2572">
        <v>12</v>
      </c>
      <c r="J2572">
        <v>12</v>
      </c>
      <c r="K2572" t="s">
        <v>60</v>
      </c>
      <c r="L2572" t="s">
        <v>13</v>
      </c>
      <c r="M2572" t="s">
        <v>32</v>
      </c>
      <c r="N2572" t="s">
        <v>33</v>
      </c>
    </row>
    <row r="2573" spans="1:14" x14ac:dyDescent="0.25">
      <c r="A2573">
        <v>21390</v>
      </c>
      <c r="B2573">
        <v>9384</v>
      </c>
      <c r="C2573">
        <f>1/COUNTIF(B:B,pizza_sales[[#This Row],[order_id]])</f>
        <v>0.5</v>
      </c>
      <c r="D2573" t="s">
        <v>28</v>
      </c>
      <c r="E2573">
        <v>1</v>
      </c>
      <c r="F2573" s="1">
        <v>42161</v>
      </c>
      <c r="G2573" s="1" t="str">
        <f>TEXT(pizza_sales[[#This Row],[order_date]],"dddd")</f>
        <v>Saturday</v>
      </c>
      <c r="H2573" s="2">
        <v>0.88253472222222218</v>
      </c>
      <c r="I2573">
        <v>12</v>
      </c>
      <c r="J2573">
        <v>12</v>
      </c>
      <c r="K2573" t="s">
        <v>60</v>
      </c>
      <c r="L2573" t="s">
        <v>13</v>
      </c>
      <c r="M2573" t="s">
        <v>29</v>
      </c>
      <c r="N2573" t="s">
        <v>30</v>
      </c>
    </row>
    <row r="2574" spans="1:14" x14ac:dyDescent="0.25">
      <c r="A2574">
        <v>21391</v>
      </c>
      <c r="B2574">
        <v>9384</v>
      </c>
      <c r="C2574">
        <f>1/COUNTIF(B:B,pizza_sales[[#This Row],[order_id]])</f>
        <v>0.5</v>
      </c>
      <c r="D2574" t="s">
        <v>42</v>
      </c>
      <c r="E2574">
        <v>1</v>
      </c>
      <c r="F2574" s="1">
        <v>42161</v>
      </c>
      <c r="G2574" s="1" t="str">
        <f>TEXT(pizza_sales[[#This Row],[order_date]],"dddd")</f>
        <v>Saturday</v>
      </c>
      <c r="H2574" s="2">
        <v>0.88253472222222218</v>
      </c>
      <c r="I2574">
        <v>12.5</v>
      </c>
      <c r="J2574">
        <v>12.5</v>
      </c>
      <c r="K2574" t="s">
        <v>59</v>
      </c>
      <c r="L2574" t="s">
        <v>13</v>
      </c>
      <c r="M2574" t="s">
        <v>26</v>
      </c>
      <c r="N2574" t="s">
        <v>27</v>
      </c>
    </row>
    <row r="2575" spans="1:14" x14ac:dyDescent="0.25">
      <c r="A2575">
        <v>21395</v>
      </c>
      <c r="B2575">
        <v>9386</v>
      </c>
      <c r="C2575">
        <f>1/COUNTIF(B:B,pizza_sales[[#This Row],[order_id]])</f>
        <v>1</v>
      </c>
      <c r="D2575" t="s">
        <v>12</v>
      </c>
      <c r="E2575">
        <v>1</v>
      </c>
      <c r="F2575" s="1">
        <v>42161</v>
      </c>
      <c r="G2575" s="1" t="str">
        <f>TEXT(pizza_sales[[#This Row],[order_date]],"dddd")</f>
        <v>Saturday</v>
      </c>
      <c r="H2575" s="2">
        <v>0.91863425925925923</v>
      </c>
      <c r="I2575">
        <v>13.25</v>
      </c>
      <c r="J2575">
        <v>13.25</v>
      </c>
      <c r="K2575" t="s">
        <v>59</v>
      </c>
      <c r="L2575" t="s">
        <v>13</v>
      </c>
      <c r="M2575" t="s">
        <v>14</v>
      </c>
      <c r="N2575" t="s">
        <v>15</v>
      </c>
    </row>
    <row r="2576" spans="1:14" x14ac:dyDescent="0.25">
      <c r="A2576">
        <v>21399</v>
      </c>
      <c r="B2576">
        <v>9389</v>
      </c>
      <c r="C2576">
        <f>1/COUNTIF(B:B,pizza_sales[[#This Row],[order_id]])</f>
        <v>0.5</v>
      </c>
      <c r="D2576" t="s">
        <v>56</v>
      </c>
      <c r="E2576">
        <v>1</v>
      </c>
      <c r="F2576" s="1">
        <v>42161</v>
      </c>
      <c r="G2576" s="1" t="str">
        <f>TEXT(pizza_sales[[#This Row],[order_date]],"dddd")</f>
        <v>Saturday</v>
      </c>
      <c r="H2576" s="2">
        <v>0.95519675925925929</v>
      </c>
      <c r="I2576">
        <v>20.25</v>
      </c>
      <c r="J2576">
        <v>20.25</v>
      </c>
      <c r="K2576" t="s">
        <v>58</v>
      </c>
      <c r="L2576" t="s">
        <v>35</v>
      </c>
      <c r="M2576" t="s">
        <v>36</v>
      </c>
      <c r="N2576" t="s">
        <v>37</v>
      </c>
    </row>
    <row r="2577" spans="1:14" x14ac:dyDescent="0.25">
      <c r="A2577">
        <v>21402</v>
      </c>
      <c r="B2577">
        <v>9389</v>
      </c>
      <c r="C2577">
        <f>1/COUNTIF(B:B,pizza_sales[[#This Row],[order_id]])</f>
        <v>0.5</v>
      </c>
      <c r="D2577" t="s">
        <v>23</v>
      </c>
      <c r="E2577">
        <v>1</v>
      </c>
      <c r="F2577" s="1">
        <v>42161</v>
      </c>
      <c r="G2577" s="1" t="str">
        <f>TEXT(pizza_sales[[#This Row],[order_date]],"dddd")</f>
        <v>Saturday</v>
      </c>
      <c r="H2577" s="2">
        <v>0.95519675925925929</v>
      </c>
      <c r="I2577">
        <v>12</v>
      </c>
      <c r="J2577">
        <v>12</v>
      </c>
      <c r="K2577" t="s">
        <v>60</v>
      </c>
      <c r="L2577" t="s">
        <v>17</v>
      </c>
      <c r="M2577" t="s">
        <v>18</v>
      </c>
      <c r="N2577" t="s">
        <v>19</v>
      </c>
    </row>
    <row r="2578" spans="1:14" x14ac:dyDescent="0.25">
      <c r="A2578">
        <v>21407</v>
      </c>
      <c r="B2578">
        <v>9391</v>
      </c>
      <c r="C2578">
        <f>1/COUNTIF(B:B,pizza_sales[[#This Row],[order_id]])</f>
        <v>1</v>
      </c>
      <c r="D2578" t="s">
        <v>28</v>
      </c>
      <c r="E2578">
        <v>1</v>
      </c>
      <c r="F2578" s="1">
        <v>42191</v>
      </c>
      <c r="G2578" s="1" t="str">
        <f>TEXT(pizza_sales[[#This Row],[order_date]],"dddd")</f>
        <v>Monday</v>
      </c>
      <c r="H2578" s="2">
        <v>0.49582175925925925</v>
      </c>
      <c r="I2578">
        <v>12</v>
      </c>
      <c r="J2578">
        <v>12</v>
      </c>
      <c r="K2578" t="s">
        <v>60</v>
      </c>
      <c r="L2578" t="s">
        <v>13</v>
      </c>
      <c r="M2578" t="s">
        <v>29</v>
      </c>
      <c r="N2578" t="s">
        <v>30</v>
      </c>
    </row>
    <row r="2579" spans="1:14" x14ac:dyDescent="0.25">
      <c r="A2579">
        <v>21413</v>
      </c>
      <c r="B2579">
        <v>9395</v>
      </c>
      <c r="C2579">
        <f>1/COUNTIF(B:B,pizza_sales[[#This Row],[order_id]])</f>
        <v>1</v>
      </c>
      <c r="D2579" t="s">
        <v>28</v>
      </c>
      <c r="E2579">
        <v>1</v>
      </c>
      <c r="F2579" s="1">
        <v>42191</v>
      </c>
      <c r="G2579" s="1" t="str">
        <f>TEXT(pizza_sales[[#This Row],[order_date]],"dddd")</f>
        <v>Monday</v>
      </c>
      <c r="H2579" s="2">
        <v>0.53099537037037037</v>
      </c>
      <c r="I2579">
        <v>12</v>
      </c>
      <c r="J2579">
        <v>12</v>
      </c>
      <c r="K2579" t="s">
        <v>60</v>
      </c>
      <c r="L2579" t="s">
        <v>13</v>
      </c>
      <c r="M2579" t="s">
        <v>29</v>
      </c>
      <c r="N2579" t="s">
        <v>30</v>
      </c>
    </row>
    <row r="2580" spans="1:14" x14ac:dyDescent="0.25">
      <c r="A2580">
        <v>21415</v>
      </c>
      <c r="B2580">
        <v>9396</v>
      </c>
      <c r="C2580">
        <f>1/COUNTIF(B:B,pizza_sales[[#This Row],[order_id]])</f>
        <v>0.5</v>
      </c>
      <c r="D2580" t="s">
        <v>28</v>
      </c>
      <c r="E2580">
        <v>1</v>
      </c>
      <c r="F2580" s="1">
        <v>42191</v>
      </c>
      <c r="G2580" s="1" t="str">
        <f>TEXT(pizza_sales[[#This Row],[order_date]],"dddd")</f>
        <v>Monday</v>
      </c>
      <c r="H2580" s="2">
        <v>0.53173611111111108</v>
      </c>
      <c r="I2580">
        <v>12</v>
      </c>
      <c r="J2580">
        <v>12</v>
      </c>
      <c r="K2580" t="s">
        <v>60</v>
      </c>
      <c r="L2580" t="s">
        <v>13</v>
      </c>
      <c r="M2580" t="s">
        <v>29</v>
      </c>
      <c r="N2580" t="s">
        <v>30</v>
      </c>
    </row>
    <row r="2581" spans="1:14" x14ac:dyDescent="0.25">
      <c r="A2581">
        <v>21417</v>
      </c>
      <c r="B2581">
        <v>9396</v>
      </c>
      <c r="C2581">
        <f>1/COUNTIF(B:B,pizza_sales[[#This Row],[order_id]])</f>
        <v>0.5</v>
      </c>
      <c r="D2581" t="s">
        <v>43</v>
      </c>
      <c r="E2581">
        <v>1</v>
      </c>
      <c r="F2581" s="1">
        <v>42191</v>
      </c>
      <c r="G2581" s="1" t="str">
        <f>TEXT(pizza_sales[[#This Row],[order_date]],"dddd")</f>
        <v>Monday</v>
      </c>
      <c r="H2581" s="2">
        <v>0.53173611111111108</v>
      </c>
      <c r="I2581">
        <v>16.25</v>
      </c>
      <c r="J2581">
        <v>16.25</v>
      </c>
      <c r="K2581" t="s">
        <v>59</v>
      </c>
      <c r="L2581" t="s">
        <v>35</v>
      </c>
      <c r="M2581" t="s">
        <v>40</v>
      </c>
      <c r="N2581" t="s">
        <v>41</v>
      </c>
    </row>
    <row r="2582" spans="1:14" x14ac:dyDescent="0.25">
      <c r="A2582">
        <v>21420</v>
      </c>
      <c r="B2582">
        <v>9397</v>
      </c>
      <c r="C2582">
        <f>1/COUNTIF(B:B,pizza_sales[[#This Row],[order_id]])</f>
        <v>0.5</v>
      </c>
      <c r="D2582" t="s">
        <v>56</v>
      </c>
      <c r="E2582">
        <v>1</v>
      </c>
      <c r="F2582" s="1">
        <v>42191</v>
      </c>
      <c r="G2582" s="1" t="str">
        <f>TEXT(pizza_sales[[#This Row],[order_date]],"dddd")</f>
        <v>Monday</v>
      </c>
      <c r="H2582" s="2">
        <v>0.54957175925925927</v>
      </c>
      <c r="I2582">
        <v>20.25</v>
      </c>
      <c r="J2582">
        <v>20.25</v>
      </c>
      <c r="K2582" t="s">
        <v>58</v>
      </c>
      <c r="L2582" t="s">
        <v>35</v>
      </c>
      <c r="M2582" t="s">
        <v>36</v>
      </c>
      <c r="N2582" t="s">
        <v>37</v>
      </c>
    </row>
    <row r="2583" spans="1:14" x14ac:dyDescent="0.25">
      <c r="A2583">
        <v>21421</v>
      </c>
      <c r="B2583">
        <v>9397</v>
      </c>
      <c r="C2583">
        <f>1/COUNTIF(B:B,pizza_sales[[#This Row],[order_id]])</f>
        <v>0.5</v>
      </c>
      <c r="D2583" t="s">
        <v>55</v>
      </c>
      <c r="E2583">
        <v>1</v>
      </c>
      <c r="F2583" s="1">
        <v>42191</v>
      </c>
      <c r="G2583" s="1" t="str">
        <f>TEXT(pizza_sales[[#This Row],[order_date]],"dddd")</f>
        <v>Monday</v>
      </c>
      <c r="H2583" s="2">
        <v>0.54957175925925927</v>
      </c>
      <c r="I2583">
        <v>20.5</v>
      </c>
      <c r="J2583">
        <v>20.5</v>
      </c>
      <c r="K2583" t="s">
        <v>58</v>
      </c>
      <c r="L2583" t="s">
        <v>13</v>
      </c>
      <c r="M2583" t="s">
        <v>21</v>
      </c>
      <c r="N2583" t="s">
        <v>22</v>
      </c>
    </row>
    <row r="2584" spans="1:14" x14ac:dyDescent="0.25">
      <c r="A2584">
        <v>21428</v>
      </c>
      <c r="B2584">
        <v>9400</v>
      </c>
      <c r="C2584">
        <f>1/COUNTIF(B:B,pizza_sales[[#This Row],[order_id]])</f>
        <v>1</v>
      </c>
      <c r="D2584" t="s">
        <v>51</v>
      </c>
      <c r="E2584">
        <v>1</v>
      </c>
      <c r="F2584" s="1">
        <v>42191</v>
      </c>
      <c r="G2584" s="1" t="str">
        <f>TEXT(pizza_sales[[#This Row],[order_date]],"dddd")</f>
        <v>Monday</v>
      </c>
      <c r="H2584" s="2">
        <v>0.58743055555555557</v>
      </c>
      <c r="I2584">
        <v>23.65</v>
      </c>
      <c r="J2584">
        <v>23.65</v>
      </c>
      <c r="K2584" t="s">
        <v>60</v>
      </c>
      <c r="L2584" t="s">
        <v>35</v>
      </c>
      <c r="M2584" t="s">
        <v>52</v>
      </c>
      <c r="N2584" t="s">
        <v>53</v>
      </c>
    </row>
    <row r="2585" spans="1:14" x14ac:dyDescent="0.25">
      <c r="A2585">
        <v>21441</v>
      </c>
      <c r="B2585">
        <v>9408</v>
      </c>
      <c r="C2585">
        <f>1/COUNTIF(B:B,pizza_sales[[#This Row],[order_id]])</f>
        <v>1</v>
      </c>
      <c r="D2585" t="s">
        <v>28</v>
      </c>
      <c r="E2585">
        <v>1</v>
      </c>
      <c r="F2585" s="1">
        <v>42191</v>
      </c>
      <c r="G2585" s="1" t="str">
        <f>TEXT(pizza_sales[[#This Row],[order_date]],"dddd")</f>
        <v>Monday</v>
      </c>
      <c r="H2585" s="2">
        <v>0.65847222222222224</v>
      </c>
      <c r="I2585">
        <v>12</v>
      </c>
      <c r="J2585">
        <v>12</v>
      </c>
      <c r="K2585" t="s">
        <v>60</v>
      </c>
      <c r="L2585" t="s">
        <v>13</v>
      </c>
      <c r="M2585" t="s">
        <v>29</v>
      </c>
      <c r="N2585" t="s">
        <v>30</v>
      </c>
    </row>
    <row r="2586" spans="1:14" x14ac:dyDescent="0.25">
      <c r="A2586">
        <v>21445</v>
      </c>
      <c r="B2586">
        <v>9409</v>
      </c>
      <c r="C2586">
        <f>1/COUNTIF(B:B,pizza_sales[[#This Row],[order_id]])</f>
        <v>1</v>
      </c>
      <c r="D2586" t="s">
        <v>38</v>
      </c>
      <c r="E2586">
        <v>1</v>
      </c>
      <c r="F2586" s="1">
        <v>42191</v>
      </c>
      <c r="G2586" s="1" t="str">
        <f>TEXT(pizza_sales[[#This Row],[order_date]],"dddd")</f>
        <v>Monday</v>
      </c>
      <c r="H2586" s="2">
        <v>0.66089120370370369</v>
      </c>
      <c r="I2586">
        <v>20.5</v>
      </c>
      <c r="J2586">
        <v>20.5</v>
      </c>
      <c r="K2586" t="s">
        <v>58</v>
      </c>
      <c r="L2586" t="s">
        <v>13</v>
      </c>
      <c r="M2586" t="s">
        <v>32</v>
      </c>
      <c r="N2586" t="s">
        <v>33</v>
      </c>
    </row>
    <row r="2587" spans="1:14" x14ac:dyDescent="0.25">
      <c r="A2587">
        <v>21449</v>
      </c>
      <c r="B2587">
        <v>9411</v>
      </c>
      <c r="C2587">
        <f>1/COUNTIF(B:B,pizza_sales[[#This Row],[order_id]])</f>
        <v>1</v>
      </c>
      <c r="D2587" t="s">
        <v>28</v>
      </c>
      <c r="E2587">
        <v>1</v>
      </c>
      <c r="F2587" s="1">
        <v>42191</v>
      </c>
      <c r="G2587" s="1" t="str">
        <f>TEXT(pizza_sales[[#This Row],[order_date]],"dddd")</f>
        <v>Monday</v>
      </c>
      <c r="H2587" s="2">
        <v>0.6711921296296296</v>
      </c>
      <c r="I2587">
        <v>12</v>
      </c>
      <c r="J2587">
        <v>12</v>
      </c>
      <c r="K2587" t="s">
        <v>60</v>
      </c>
      <c r="L2587" t="s">
        <v>13</v>
      </c>
      <c r="M2587" t="s">
        <v>29</v>
      </c>
      <c r="N2587" t="s">
        <v>30</v>
      </c>
    </row>
    <row r="2588" spans="1:14" x14ac:dyDescent="0.25">
      <c r="A2588">
        <v>21453</v>
      </c>
      <c r="B2588">
        <v>9413</v>
      </c>
      <c r="C2588">
        <f>1/COUNTIF(B:B,pizza_sales[[#This Row],[order_id]])</f>
        <v>1</v>
      </c>
      <c r="D2588" t="s">
        <v>44</v>
      </c>
      <c r="E2588">
        <v>1</v>
      </c>
      <c r="F2588" s="1">
        <v>42191</v>
      </c>
      <c r="G2588" s="1" t="str">
        <f>TEXT(pizza_sales[[#This Row],[order_date]],"dddd")</f>
        <v>Monday</v>
      </c>
      <c r="H2588" s="2">
        <v>0.6864351851851852</v>
      </c>
      <c r="I2588">
        <v>9.75</v>
      </c>
      <c r="J2588">
        <v>9.75</v>
      </c>
      <c r="K2588" t="s">
        <v>60</v>
      </c>
      <c r="L2588" t="s">
        <v>13</v>
      </c>
      <c r="M2588" t="s">
        <v>26</v>
      </c>
      <c r="N2588" t="s">
        <v>27</v>
      </c>
    </row>
    <row r="2589" spans="1:14" x14ac:dyDescent="0.25">
      <c r="A2589">
        <v>21455</v>
      </c>
      <c r="B2589">
        <v>9414</v>
      </c>
      <c r="C2589">
        <f>1/COUNTIF(B:B,pizza_sales[[#This Row],[order_id]])</f>
        <v>1</v>
      </c>
      <c r="D2589" t="s">
        <v>45</v>
      </c>
      <c r="E2589">
        <v>1</v>
      </c>
      <c r="F2589" s="1">
        <v>42191</v>
      </c>
      <c r="G2589" s="1" t="str">
        <f>TEXT(pizza_sales[[#This Row],[order_date]],"dddd")</f>
        <v>Monday</v>
      </c>
      <c r="H2589" s="2">
        <v>0.68909722222222225</v>
      </c>
      <c r="I2589">
        <v>10.5</v>
      </c>
      <c r="J2589">
        <v>10.5</v>
      </c>
      <c r="K2589" t="s">
        <v>60</v>
      </c>
      <c r="L2589" t="s">
        <v>13</v>
      </c>
      <c r="M2589" t="s">
        <v>14</v>
      </c>
      <c r="N2589" t="s">
        <v>15</v>
      </c>
    </row>
    <row r="2590" spans="1:14" x14ac:dyDescent="0.25">
      <c r="A2590">
        <v>21458</v>
      </c>
      <c r="B2590">
        <v>9415</v>
      </c>
      <c r="C2590">
        <f>1/COUNTIF(B:B,pizza_sales[[#This Row],[order_id]])</f>
        <v>0.5</v>
      </c>
      <c r="D2590" t="s">
        <v>45</v>
      </c>
      <c r="E2590">
        <v>1</v>
      </c>
      <c r="F2590" s="1">
        <v>42191</v>
      </c>
      <c r="G2590" s="1" t="str">
        <f>TEXT(pizza_sales[[#This Row],[order_date]],"dddd")</f>
        <v>Monday</v>
      </c>
      <c r="H2590" s="2">
        <v>0.70162037037037039</v>
      </c>
      <c r="I2590">
        <v>10.5</v>
      </c>
      <c r="J2590">
        <v>10.5</v>
      </c>
      <c r="K2590" t="s">
        <v>60</v>
      </c>
      <c r="L2590" t="s">
        <v>13</v>
      </c>
      <c r="M2590" t="s">
        <v>14</v>
      </c>
      <c r="N2590" t="s">
        <v>15</v>
      </c>
    </row>
    <row r="2591" spans="1:14" x14ac:dyDescent="0.25">
      <c r="A2591">
        <v>21459</v>
      </c>
      <c r="B2591">
        <v>9415</v>
      </c>
      <c r="C2591">
        <f>1/COUNTIF(B:B,pizza_sales[[#This Row],[order_id]])</f>
        <v>0.5</v>
      </c>
      <c r="D2591" t="s">
        <v>48</v>
      </c>
      <c r="E2591">
        <v>1</v>
      </c>
      <c r="F2591" s="1">
        <v>42191</v>
      </c>
      <c r="G2591" s="1" t="str">
        <f>TEXT(pizza_sales[[#This Row],[order_date]],"dddd")</f>
        <v>Monday</v>
      </c>
      <c r="H2591" s="2">
        <v>0.70162037037037039</v>
      </c>
      <c r="I2591">
        <v>12.25</v>
      </c>
      <c r="J2591">
        <v>12.25</v>
      </c>
      <c r="K2591" t="s">
        <v>60</v>
      </c>
      <c r="L2591" t="s">
        <v>35</v>
      </c>
      <c r="M2591" t="s">
        <v>40</v>
      </c>
      <c r="N2591" t="s">
        <v>41</v>
      </c>
    </row>
    <row r="2592" spans="1:14" x14ac:dyDescent="0.25">
      <c r="A2592">
        <v>21469</v>
      </c>
      <c r="B2592">
        <v>9421</v>
      </c>
      <c r="C2592">
        <f>1/COUNTIF(B:B,pizza_sales[[#This Row],[order_id]])</f>
        <v>1</v>
      </c>
      <c r="D2592" t="s">
        <v>24</v>
      </c>
      <c r="E2592">
        <v>1</v>
      </c>
      <c r="F2592" s="1">
        <v>42191</v>
      </c>
      <c r="G2592" s="1" t="str">
        <f>TEXT(pizza_sales[[#This Row],[order_date]],"dddd")</f>
        <v>Monday</v>
      </c>
      <c r="H2592" s="2">
        <v>0.73591435185185183</v>
      </c>
      <c r="I2592">
        <v>20.25</v>
      </c>
      <c r="J2592">
        <v>20.25</v>
      </c>
      <c r="K2592" t="s">
        <v>58</v>
      </c>
      <c r="L2592" t="s">
        <v>17</v>
      </c>
      <c r="M2592" t="s">
        <v>18</v>
      </c>
      <c r="N2592" t="s">
        <v>19</v>
      </c>
    </row>
    <row r="2593" spans="1:14" x14ac:dyDescent="0.25">
      <c r="A2593">
        <v>21471</v>
      </c>
      <c r="B2593">
        <v>9422</v>
      </c>
      <c r="C2593">
        <f>1/COUNTIF(B:B,pizza_sales[[#This Row],[order_id]])</f>
        <v>0.33333333333333331</v>
      </c>
      <c r="D2593" t="s">
        <v>16</v>
      </c>
      <c r="E2593">
        <v>1</v>
      </c>
      <c r="F2593" s="1">
        <v>42191</v>
      </c>
      <c r="G2593" s="1" t="str">
        <f>TEXT(pizza_sales[[#This Row],[order_date]],"dddd")</f>
        <v>Monday</v>
      </c>
      <c r="H2593" s="2">
        <v>0.73693287037037036</v>
      </c>
      <c r="I2593">
        <v>16</v>
      </c>
      <c r="J2593">
        <v>16</v>
      </c>
      <c r="K2593" t="s">
        <v>59</v>
      </c>
      <c r="L2593" t="s">
        <v>17</v>
      </c>
      <c r="M2593" t="s">
        <v>18</v>
      </c>
      <c r="N2593" t="s">
        <v>19</v>
      </c>
    </row>
    <row r="2594" spans="1:14" x14ac:dyDescent="0.25">
      <c r="A2594">
        <v>21472</v>
      </c>
      <c r="B2594">
        <v>9422</v>
      </c>
      <c r="C2594">
        <f>1/COUNTIF(B:B,pizza_sales[[#This Row],[order_id]])</f>
        <v>0.33333333333333331</v>
      </c>
      <c r="D2594" t="s">
        <v>50</v>
      </c>
      <c r="E2594">
        <v>1</v>
      </c>
      <c r="F2594" s="1">
        <v>42191</v>
      </c>
      <c r="G2594" s="1" t="str">
        <f>TEXT(pizza_sales[[#This Row],[order_date]],"dddd")</f>
        <v>Monday</v>
      </c>
      <c r="H2594" s="2">
        <v>0.73693287037037036</v>
      </c>
      <c r="I2594">
        <v>16</v>
      </c>
      <c r="J2594">
        <v>16</v>
      </c>
      <c r="K2594" t="s">
        <v>59</v>
      </c>
      <c r="L2594" t="s">
        <v>13</v>
      </c>
      <c r="M2594" t="s">
        <v>32</v>
      </c>
      <c r="N2594" t="s">
        <v>33</v>
      </c>
    </row>
    <row r="2595" spans="1:14" x14ac:dyDescent="0.25">
      <c r="A2595">
        <v>21473</v>
      </c>
      <c r="B2595">
        <v>9422</v>
      </c>
      <c r="C2595">
        <f>1/COUNTIF(B:B,pizza_sales[[#This Row],[order_id]])</f>
        <v>0.33333333333333331</v>
      </c>
      <c r="D2595" t="s">
        <v>25</v>
      </c>
      <c r="E2595">
        <v>1</v>
      </c>
      <c r="F2595" s="1">
        <v>42191</v>
      </c>
      <c r="G2595" s="1" t="str">
        <f>TEXT(pizza_sales[[#This Row],[order_date]],"dddd")</f>
        <v>Monday</v>
      </c>
      <c r="H2595" s="2">
        <v>0.73693287037037036</v>
      </c>
      <c r="I2595">
        <v>15.25</v>
      </c>
      <c r="J2595">
        <v>15.25</v>
      </c>
      <c r="K2595" t="s">
        <v>58</v>
      </c>
      <c r="L2595" t="s">
        <v>13</v>
      </c>
      <c r="M2595" t="s">
        <v>26</v>
      </c>
      <c r="N2595" t="s">
        <v>27</v>
      </c>
    </row>
    <row r="2596" spans="1:14" x14ac:dyDescent="0.25">
      <c r="A2596">
        <v>21474</v>
      </c>
      <c r="B2596">
        <v>9423</v>
      </c>
      <c r="C2596">
        <f>1/COUNTIF(B:B,pizza_sales[[#This Row],[order_id]])</f>
        <v>0.5</v>
      </c>
      <c r="D2596" t="s">
        <v>47</v>
      </c>
      <c r="E2596">
        <v>1</v>
      </c>
      <c r="F2596" s="1">
        <v>42191</v>
      </c>
      <c r="G2596" s="1" t="str">
        <f>TEXT(pizza_sales[[#This Row],[order_date]],"dddd")</f>
        <v>Monday</v>
      </c>
      <c r="H2596" s="2">
        <v>0.74028935185185185</v>
      </c>
      <c r="I2596">
        <v>16.5</v>
      </c>
      <c r="J2596">
        <v>16.5</v>
      </c>
      <c r="K2596" t="s">
        <v>58</v>
      </c>
      <c r="L2596" t="s">
        <v>13</v>
      </c>
      <c r="M2596" t="s">
        <v>14</v>
      </c>
      <c r="N2596" t="s">
        <v>15</v>
      </c>
    </row>
    <row r="2597" spans="1:14" x14ac:dyDescent="0.25">
      <c r="A2597">
        <v>21475</v>
      </c>
      <c r="B2597">
        <v>9423</v>
      </c>
      <c r="C2597">
        <f>1/COUNTIF(B:B,pizza_sales[[#This Row],[order_id]])</f>
        <v>0.5</v>
      </c>
      <c r="D2597" t="s">
        <v>25</v>
      </c>
      <c r="E2597">
        <v>1</v>
      </c>
      <c r="F2597" s="1">
        <v>42191</v>
      </c>
      <c r="G2597" s="1" t="str">
        <f>TEXT(pizza_sales[[#This Row],[order_date]],"dddd")</f>
        <v>Monday</v>
      </c>
      <c r="H2597" s="2">
        <v>0.74028935185185185</v>
      </c>
      <c r="I2597">
        <v>15.25</v>
      </c>
      <c r="J2597">
        <v>15.25</v>
      </c>
      <c r="K2597" t="s">
        <v>58</v>
      </c>
      <c r="L2597" t="s">
        <v>13</v>
      </c>
      <c r="M2597" t="s">
        <v>26</v>
      </c>
      <c r="N2597" t="s">
        <v>27</v>
      </c>
    </row>
    <row r="2598" spans="1:14" x14ac:dyDescent="0.25">
      <c r="A2598">
        <v>21478</v>
      </c>
      <c r="B2598">
        <v>9424</v>
      </c>
      <c r="C2598">
        <f>1/COUNTIF(B:B,pizza_sales[[#This Row],[order_id]])</f>
        <v>1</v>
      </c>
      <c r="D2598" t="s">
        <v>12</v>
      </c>
      <c r="E2598">
        <v>1</v>
      </c>
      <c r="F2598" s="1">
        <v>42191</v>
      </c>
      <c r="G2598" s="1" t="str">
        <f>TEXT(pizza_sales[[#This Row],[order_date]],"dddd")</f>
        <v>Monday</v>
      </c>
      <c r="H2598" s="2">
        <v>0.7456018518518519</v>
      </c>
      <c r="I2598">
        <v>13.25</v>
      </c>
      <c r="J2598">
        <v>13.25</v>
      </c>
      <c r="K2598" t="s">
        <v>59</v>
      </c>
      <c r="L2598" t="s">
        <v>13</v>
      </c>
      <c r="M2598" t="s">
        <v>14</v>
      </c>
      <c r="N2598" t="s">
        <v>15</v>
      </c>
    </row>
    <row r="2599" spans="1:14" x14ac:dyDescent="0.25">
      <c r="A2599">
        <v>21480</v>
      </c>
      <c r="B2599">
        <v>9425</v>
      </c>
      <c r="C2599">
        <f>1/COUNTIF(B:B,pizza_sales[[#This Row],[order_id]])</f>
        <v>0.5</v>
      </c>
      <c r="D2599" t="s">
        <v>28</v>
      </c>
      <c r="E2599">
        <v>1</v>
      </c>
      <c r="F2599" s="1">
        <v>42191</v>
      </c>
      <c r="G2599" s="1" t="str">
        <f>TEXT(pizza_sales[[#This Row],[order_date]],"dddd")</f>
        <v>Monday</v>
      </c>
      <c r="H2599" s="2">
        <v>0.75155092592592587</v>
      </c>
      <c r="I2599">
        <v>12</v>
      </c>
      <c r="J2599">
        <v>12</v>
      </c>
      <c r="K2599" t="s">
        <v>60</v>
      </c>
      <c r="L2599" t="s">
        <v>13</v>
      </c>
      <c r="M2599" t="s">
        <v>29</v>
      </c>
      <c r="N2599" t="s">
        <v>30</v>
      </c>
    </row>
    <row r="2600" spans="1:14" x14ac:dyDescent="0.25">
      <c r="A2600">
        <v>21482</v>
      </c>
      <c r="B2600">
        <v>9425</v>
      </c>
      <c r="C2600">
        <f>1/COUNTIF(B:B,pizza_sales[[#This Row],[order_id]])</f>
        <v>0.5</v>
      </c>
      <c r="D2600" t="s">
        <v>42</v>
      </c>
      <c r="E2600">
        <v>1</v>
      </c>
      <c r="F2600" s="1">
        <v>42191</v>
      </c>
      <c r="G2600" s="1" t="str">
        <f>TEXT(pizza_sales[[#This Row],[order_date]],"dddd")</f>
        <v>Monday</v>
      </c>
      <c r="H2600" s="2">
        <v>0.75155092592592587</v>
      </c>
      <c r="I2600">
        <v>12.5</v>
      </c>
      <c r="J2600">
        <v>12.5</v>
      </c>
      <c r="K2600" t="s">
        <v>59</v>
      </c>
      <c r="L2600" t="s">
        <v>13</v>
      </c>
      <c r="M2600" t="s">
        <v>26</v>
      </c>
      <c r="N2600" t="s">
        <v>27</v>
      </c>
    </row>
    <row r="2601" spans="1:14" x14ac:dyDescent="0.25">
      <c r="A2601">
        <v>21484</v>
      </c>
      <c r="B2601">
        <v>9426</v>
      </c>
      <c r="C2601">
        <f>1/COUNTIF(B:B,pizza_sales[[#This Row],[order_id]])</f>
        <v>0.5</v>
      </c>
      <c r="D2601" t="s">
        <v>28</v>
      </c>
      <c r="E2601">
        <v>1</v>
      </c>
      <c r="F2601" s="1">
        <v>42191</v>
      </c>
      <c r="G2601" s="1" t="str">
        <f>TEXT(pizza_sales[[#This Row],[order_date]],"dddd")</f>
        <v>Monday</v>
      </c>
      <c r="H2601" s="2">
        <v>0.75314814814814812</v>
      </c>
      <c r="I2601">
        <v>12</v>
      </c>
      <c r="J2601">
        <v>12</v>
      </c>
      <c r="K2601" t="s">
        <v>60</v>
      </c>
      <c r="L2601" t="s">
        <v>13</v>
      </c>
      <c r="M2601" t="s">
        <v>29</v>
      </c>
      <c r="N2601" t="s">
        <v>30</v>
      </c>
    </row>
    <row r="2602" spans="1:14" x14ac:dyDescent="0.25">
      <c r="A2602">
        <v>21485</v>
      </c>
      <c r="B2602">
        <v>9426</v>
      </c>
      <c r="C2602">
        <f>1/COUNTIF(B:B,pizza_sales[[#This Row],[order_id]])</f>
        <v>0.5</v>
      </c>
      <c r="D2602" t="s">
        <v>46</v>
      </c>
      <c r="E2602">
        <v>1</v>
      </c>
      <c r="F2602" s="1">
        <v>42191</v>
      </c>
      <c r="G2602" s="1" t="str">
        <f>TEXT(pizza_sales[[#This Row],[order_date]],"dddd")</f>
        <v>Monday</v>
      </c>
      <c r="H2602" s="2">
        <v>0.75314814814814812</v>
      </c>
      <c r="I2602">
        <v>25.5</v>
      </c>
      <c r="J2602">
        <v>25.5</v>
      </c>
      <c r="K2602" t="s">
        <v>61</v>
      </c>
      <c r="L2602" t="s">
        <v>13</v>
      </c>
      <c r="M2602" t="s">
        <v>21</v>
      </c>
      <c r="N2602" t="s">
        <v>22</v>
      </c>
    </row>
    <row r="2603" spans="1:14" x14ac:dyDescent="0.25">
      <c r="A2603">
        <v>21488</v>
      </c>
      <c r="B2603">
        <v>9429</v>
      </c>
      <c r="C2603">
        <f>1/COUNTIF(B:B,pizza_sales[[#This Row],[order_id]])</f>
        <v>0.5</v>
      </c>
      <c r="D2603" t="s">
        <v>51</v>
      </c>
      <c r="E2603">
        <v>1</v>
      </c>
      <c r="F2603" s="1">
        <v>42191</v>
      </c>
      <c r="G2603" s="1" t="str">
        <f>TEXT(pizza_sales[[#This Row],[order_date]],"dddd")</f>
        <v>Monday</v>
      </c>
      <c r="H2603" s="2">
        <v>0.77060185185185182</v>
      </c>
      <c r="I2603">
        <v>23.65</v>
      </c>
      <c r="J2603">
        <v>23.65</v>
      </c>
      <c r="K2603" t="s">
        <v>60</v>
      </c>
      <c r="L2603" t="s">
        <v>35</v>
      </c>
      <c r="M2603" t="s">
        <v>52</v>
      </c>
      <c r="N2603" t="s">
        <v>53</v>
      </c>
    </row>
    <row r="2604" spans="1:14" x14ac:dyDescent="0.25">
      <c r="A2604">
        <v>21491</v>
      </c>
      <c r="B2604">
        <v>9429</v>
      </c>
      <c r="C2604">
        <f>1/COUNTIF(B:B,pizza_sales[[#This Row],[order_id]])</f>
        <v>0.5</v>
      </c>
      <c r="D2604" t="s">
        <v>55</v>
      </c>
      <c r="E2604">
        <v>1</v>
      </c>
      <c r="F2604" s="1">
        <v>42191</v>
      </c>
      <c r="G2604" s="1" t="str">
        <f>TEXT(pizza_sales[[#This Row],[order_date]],"dddd")</f>
        <v>Monday</v>
      </c>
      <c r="H2604" s="2">
        <v>0.77060185185185182</v>
      </c>
      <c r="I2604">
        <v>20.5</v>
      </c>
      <c r="J2604">
        <v>20.5</v>
      </c>
      <c r="K2604" t="s">
        <v>58</v>
      </c>
      <c r="L2604" t="s">
        <v>13</v>
      </c>
      <c r="M2604" t="s">
        <v>21</v>
      </c>
      <c r="N2604" t="s">
        <v>22</v>
      </c>
    </row>
    <row r="2605" spans="1:14" x14ac:dyDescent="0.25">
      <c r="A2605">
        <v>21495</v>
      </c>
      <c r="B2605">
        <v>9431</v>
      </c>
      <c r="C2605">
        <f>1/COUNTIF(B:B,pizza_sales[[#This Row],[order_id]])</f>
        <v>0.33333333333333331</v>
      </c>
      <c r="D2605" t="s">
        <v>24</v>
      </c>
      <c r="E2605">
        <v>1</v>
      </c>
      <c r="F2605" s="1">
        <v>42191</v>
      </c>
      <c r="G2605" s="1" t="str">
        <f>TEXT(pizza_sales[[#This Row],[order_date]],"dddd")</f>
        <v>Monday</v>
      </c>
      <c r="H2605" s="2">
        <v>0.78214120370370366</v>
      </c>
      <c r="I2605">
        <v>20.25</v>
      </c>
      <c r="J2605">
        <v>20.25</v>
      </c>
      <c r="K2605" t="s">
        <v>58</v>
      </c>
      <c r="L2605" t="s">
        <v>17</v>
      </c>
      <c r="M2605" t="s">
        <v>18</v>
      </c>
      <c r="N2605" t="s">
        <v>19</v>
      </c>
    </row>
    <row r="2606" spans="1:14" x14ac:dyDescent="0.25">
      <c r="A2606">
        <v>21496</v>
      </c>
      <c r="B2606">
        <v>9431</v>
      </c>
      <c r="C2606">
        <f>1/COUNTIF(B:B,pizza_sales[[#This Row],[order_id]])</f>
        <v>0.33333333333333331</v>
      </c>
      <c r="D2606" t="s">
        <v>42</v>
      </c>
      <c r="E2606">
        <v>1</v>
      </c>
      <c r="F2606" s="1">
        <v>42191</v>
      </c>
      <c r="G2606" s="1" t="str">
        <f>TEXT(pizza_sales[[#This Row],[order_date]],"dddd")</f>
        <v>Monday</v>
      </c>
      <c r="H2606" s="2">
        <v>0.78214120370370366</v>
      </c>
      <c r="I2606">
        <v>12.5</v>
      </c>
      <c r="J2606">
        <v>12.5</v>
      </c>
      <c r="K2606" t="s">
        <v>59</v>
      </c>
      <c r="L2606" t="s">
        <v>13</v>
      </c>
      <c r="M2606" t="s">
        <v>26</v>
      </c>
      <c r="N2606" t="s">
        <v>27</v>
      </c>
    </row>
    <row r="2607" spans="1:14" x14ac:dyDescent="0.25">
      <c r="A2607">
        <v>21497</v>
      </c>
      <c r="B2607">
        <v>9431</v>
      </c>
      <c r="C2607">
        <f>1/COUNTIF(B:B,pizza_sales[[#This Row],[order_id]])</f>
        <v>0.33333333333333331</v>
      </c>
      <c r="D2607" t="s">
        <v>55</v>
      </c>
      <c r="E2607">
        <v>1</v>
      </c>
      <c r="F2607" s="1">
        <v>42191</v>
      </c>
      <c r="G2607" s="1" t="str">
        <f>TEXT(pizza_sales[[#This Row],[order_date]],"dddd")</f>
        <v>Monday</v>
      </c>
      <c r="H2607" s="2">
        <v>0.78214120370370366</v>
      </c>
      <c r="I2607">
        <v>20.5</v>
      </c>
      <c r="J2607">
        <v>20.5</v>
      </c>
      <c r="K2607" t="s">
        <v>58</v>
      </c>
      <c r="L2607" t="s">
        <v>13</v>
      </c>
      <c r="M2607" t="s">
        <v>21</v>
      </c>
      <c r="N2607" t="s">
        <v>22</v>
      </c>
    </row>
    <row r="2608" spans="1:14" x14ac:dyDescent="0.25">
      <c r="A2608">
        <v>21502</v>
      </c>
      <c r="B2608">
        <v>9435</v>
      </c>
      <c r="C2608">
        <f>1/COUNTIF(B:B,pizza_sales[[#This Row],[order_id]])</f>
        <v>1</v>
      </c>
      <c r="D2608" t="s">
        <v>38</v>
      </c>
      <c r="E2608">
        <v>1</v>
      </c>
      <c r="F2608" s="1">
        <v>42191</v>
      </c>
      <c r="G2608" s="1" t="str">
        <f>TEXT(pizza_sales[[#This Row],[order_date]],"dddd")</f>
        <v>Monday</v>
      </c>
      <c r="H2608" s="2">
        <v>0.79972222222222222</v>
      </c>
      <c r="I2608">
        <v>20.5</v>
      </c>
      <c r="J2608">
        <v>20.5</v>
      </c>
      <c r="K2608" t="s">
        <v>58</v>
      </c>
      <c r="L2608" t="s">
        <v>13</v>
      </c>
      <c r="M2608" t="s">
        <v>32</v>
      </c>
      <c r="N2608" t="s">
        <v>33</v>
      </c>
    </row>
    <row r="2609" spans="1:14" x14ac:dyDescent="0.25">
      <c r="A2609">
        <v>21504</v>
      </c>
      <c r="B2609">
        <v>9436</v>
      </c>
      <c r="C2609">
        <f>1/COUNTIF(B:B,pizza_sales[[#This Row],[order_id]])</f>
        <v>1</v>
      </c>
      <c r="D2609" t="s">
        <v>28</v>
      </c>
      <c r="E2609">
        <v>1</v>
      </c>
      <c r="F2609" s="1">
        <v>42191</v>
      </c>
      <c r="G2609" s="1" t="str">
        <f>TEXT(pizza_sales[[#This Row],[order_date]],"dddd")</f>
        <v>Monday</v>
      </c>
      <c r="H2609" s="2">
        <v>0.80939814814814814</v>
      </c>
      <c r="I2609">
        <v>12</v>
      </c>
      <c r="J2609">
        <v>12</v>
      </c>
      <c r="K2609" t="s">
        <v>60</v>
      </c>
      <c r="L2609" t="s">
        <v>13</v>
      </c>
      <c r="M2609" t="s">
        <v>29</v>
      </c>
      <c r="N2609" t="s">
        <v>30</v>
      </c>
    </row>
    <row r="2610" spans="1:14" x14ac:dyDescent="0.25">
      <c r="A2610">
        <v>21509</v>
      </c>
      <c r="B2610">
        <v>9438</v>
      </c>
      <c r="C2610">
        <f>1/COUNTIF(B:B,pizza_sales[[#This Row],[order_id]])</f>
        <v>1</v>
      </c>
      <c r="D2610" t="s">
        <v>44</v>
      </c>
      <c r="E2610">
        <v>1</v>
      </c>
      <c r="F2610" s="1">
        <v>42191</v>
      </c>
      <c r="G2610" s="1" t="str">
        <f>TEXT(pizza_sales[[#This Row],[order_date]],"dddd")</f>
        <v>Monday</v>
      </c>
      <c r="H2610" s="2">
        <v>0.82200231481481478</v>
      </c>
      <c r="I2610">
        <v>9.75</v>
      </c>
      <c r="J2610">
        <v>9.75</v>
      </c>
      <c r="K2610" t="s">
        <v>60</v>
      </c>
      <c r="L2610" t="s">
        <v>13</v>
      </c>
      <c r="M2610" t="s">
        <v>26</v>
      </c>
      <c r="N2610" t="s">
        <v>27</v>
      </c>
    </row>
    <row r="2611" spans="1:14" x14ac:dyDescent="0.25">
      <c r="A2611">
        <v>21510</v>
      </c>
      <c r="B2611">
        <v>9439</v>
      </c>
      <c r="C2611">
        <f>1/COUNTIF(B:B,pizza_sales[[#This Row],[order_id]])</f>
        <v>1</v>
      </c>
      <c r="D2611" t="s">
        <v>16</v>
      </c>
      <c r="E2611">
        <v>1</v>
      </c>
      <c r="F2611" s="1">
        <v>42191</v>
      </c>
      <c r="G2611" s="1" t="str">
        <f>TEXT(pizza_sales[[#This Row],[order_date]],"dddd")</f>
        <v>Monday</v>
      </c>
      <c r="H2611" s="2">
        <v>0.85305555555555557</v>
      </c>
      <c r="I2611">
        <v>16</v>
      </c>
      <c r="J2611">
        <v>16</v>
      </c>
      <c r="K2611" t="s">
        <v>59</v>
      </c>
      <c r="L2611" t="s">
        <v>17</v>
      </c>
      <c r="M2611" t="s">
        <v>18</v>
      </c>
      <c r="N2611" t="s">
        <v>19</v>
      </c>
    </row>
    <row r="2612" spans="1:14" x14ac:dyDescent="0.25">
      <c r="A2612">
        <v>21513</v>
      </c>
      <c r="B2612">
        <v>9441</v>
      </c>
      <c r="C2612">
        <f>1/COUNTIF(B:B,pizza_sales[[#This Row],[order_id]])</f>
        <v>1</v>
      </c>
      <c r="D2612" t="s">
        <v>12</v>
      </c>
      <c r="E2612">
        <v>1</v>
      </c>
      <c r="F2612" s="1">
        <v>42191</v>
      </c>
      <c r="G2612" s="1" t="str">
        <f>TEXT(pizza_sales[[#This Row],[order_date]],"dddd")</f>
        <v>Monday</v>
      </c>
      <c r="H2612" s="2">
        <v>0.88018518518518518</v>
      </c>
      <c r="I2612">
        <v>13.25</v>
      </c>
      <c r="J2612">
        <v>13.25</v>
      </c>
      <c r="K2612" t="s">
        <v>59</v>
      </c>
      <c r="L2612" t="s">
        <v>13</v>
      </c>
      <c r="M2612" t="s">
        <v>14</v>
      </c>
      <c r="N2612" t="s">
        <v>15</v>
      </c>
    </row>
    <row r="2613" spans="1:14" x14ac:dyDescent="0.25">
      <c r="A2613">
        <v>21517</v>
      </c>
      <c r="B2613">
        <v>9443</v>
      </c>
      <c r="C2613">
        <f>1/COUNTIF(B:B,pizza_sales[[#This Row],[order_id]])</f>
        <v>1</v>
      </c>
      <c r="D2613" t="s">
        <v>34</v>
      </c>
      <c r="E2613">
        <v>1</v>
      </c>
      <c r="F2613" s="1">
        <v>42191</v>
      </c>
      <c r="G2613" s="1" t="str">
        <f>TEXT(pizza_sales[[#This Row],[order_date]],"dddd")</f>
        <v>Monday</v>
      </c>
      <c r="H2613" s="2">
        <v>0.89709490740740738</v>
      </c>
      <c r="I2613">
        <v>16.25</v>
      </c>
      <c r="J2613">
        <v>16.25</v>
      </c>
      <c r="K2613" t="s">
        <v>59</v>
      </c>
      <c r="L2613" t="s">
        <v>35</v>
      </c>
      <c r="M2613" t="s">
        <v>36</v>
      </c>
      <c r="N2613" t="s">
        <v>37</v>
      </c>
    </row>
    <row r="2614" spans="1:14" x14ac:dyDescent="0.25">
      <c r="A2614">
        <v>21525</v>
      </c>
      <c r="B2614">
        <v>9446</v>
      </c>
      <c r="C2614">
        <f>1/COUNTIF(B:B,pizza_sales[[#This Row],[order_id]])</f>
        <v>1</v>
      </c>
      <c r="D2614" t="s">
        <v>47</v>
      </c>
      <c r="E2614">
        <v>2</v>
      </c>
      <c r="F2614" s="1">
        <v>42222</v>
      </c>
      <c r="G2614" s="1" t="str">
        <f>TEXT(pizza_sales[[#This Row],[order_date]],"dddd")</f>
        <v>Thursday</v>
      </c>
      <c r="H2614" s="2">
        <v>0.48673611111111109</v>
      </c>
      <c r="I2614">
        <v>16.5</v>
      </c>
      <c r="J2614">
        <v>33</v>
      </c>
      <c r="K2614" t="s">
        <v>58</v>
      </c>
      <c r="L2614" t="s">
        <v>13</v>
      </c>
      <c r="M2614" t="s">
        <v>14</v>
      </c>
      <c r="N2614" t="s">
        <v>15</v>
      </c>
    </row>
    <row r="2615" spans="1:14" x14ac:dyDescent="0.25">
      <c r="A2615">
        <v>21527</v>
      </c>
      <c r="B2615">
        <v>9448</v>
      </c>
      <c r="C2615">
        <f>1/COUNTIF(B:B,pizza_sales[[#This Row],[order_id]])</f>
        <v>1</v>
      </c>
      <c r="D2615" t="s">
        <v>28</v>
      </c>
      <c r="E2615">
        <v>1</v>
      </c>
      <c r="F2615" s="1">
        <v>42222</v>
      </c>
      <c r="G2615" s="1" t="str">
        <f>TEXT(pizza_sales[[#This Row],[order_date]],"dddd")</f>
        <v>Thursday</v>
      </c>
      <c r="H2615" s="2">
        <v>0.4971875</v>
      </c>
      <c r="I2615">
        <v>12</v>
      </c>
      <c r="J2615">
        <v>12</v>
      </c>
      <c r="K2615" t="s">
        <v>60</v>
      </c>
      <c r="L2615" t="s">
        <v>13</v>
      </c>
      <c r="M2615" t="s">
        <v>29</v>
      </c>
      <c r="N2615" t="s">
        <v>30</v>
      </c>
    </row>
    <row r="2616" spans="1:14" x14ac:dyDescent="0.25">
      <c r="A2616">
        <v>21529</v>
      </c>
      <c r="B2616">
        <v>9449</v>
      </c>
      <c r="C2616">
        <f>1/COUNTIF(B:B,pizza_sales[[#This Row],[order_id]])</f>
        <v>1</v>
      </c>
      <c r="D2616" t="s">
        <v>24</v>
      </c>
      <c r="E2616">
        <v>1</v>
      </c>
      <c r="F2616" s="1">
        <v>42222</v>
      </c>
      <c r="G2616" s="1" t="str">
        <f>TEXT(pizza_sales[[#This Row],[order_date]],"dddd")</f>
        <v>Thursday</v>
      </c>
      <c r="H2616" s="2">
        <v>0.49938657407407405</v>
      </c>
      <c r="I2616">
        <v>20.25</v>
      </c>
      <c r="J2616">
        <v>20.25</v>
      </c>
      <c r="K2616" t="s">
        <v>58</v>
      </c>
      <c r="L2616" t="s">
        <v>17</v>
      </c>
      <c r="M2616" t="s">
        <v>18</v>
      </c>
      <c r="N2616" t="s">
        <v>19</v>
      </c>
    </row>
    <row r="2617" spans="1:14" x14ac:dyDescent="0.25">
      <c r="A2617">
        <v>21534</v>
      </c>
      <c r="B2617">
        <v>9451</v>
      </c>
      <c r="C2617">
        <f>1/COUNTIF(B:B,pizza_sales[[#This Row],[order_id]])</f>
        <v>1</v>
      </c>
      <c r="D2617" t="s">
        <v>44</v>
      </c>
      <c r="E2617">
        <v>1</v>
      </c>
      <c r="F2617" s="1">
        <v>42222</v>
      </c>
      <c r="G2617" s="1" t="str">
        <f>TEXT(pizza_sales[[#This Row],[order_date]],"dddd")</f>
        <v>Thursday</v>
      </c>
      <c r="H2617" s="2">
        <v>0.50787037037037042</v>
      </c>
      <c r="I2617">
        <v>9.75</v>
      </c>
      <c r="J2617">
        <v>9.75</v>
      </c>
      <c r="K2617" t="s">
        <v>60</v>
      </c>
      <c r="L2617" t="s">
        <v>13</v>
      </c>
      <c r="M2617" t="s">
        <v>26</v>
      </c>
      <c r="N2617" t="s">
        <v>27</v>
      </c>
    </row>
    <row r="2618" spans="1:14" x14ac:dyDescent="0.25">
      <c r="A2618">
        <v>21537</v>
      </c>
      <c r="B2618">
        <v>9452</v>
      </c>
      <c r="C2618">
        <f>1/COUNTIF(B:B,pizza_sales[[#This Row],[order_id]])</f>
        <v>1</v>
      </c>
      <c r="D2618" t="s">
        <v>42</v>
      </c>
      <c r="E2618">
        <v>1</v>
      </c>
      <c r="F2618" s="1">
        <v>42222</v>
      </c>
      <c r="G2618" s="1" t="str">
        <f>TEXT(pizza_sales[[#This Row],[order_date]],"dddd")</f>
        <v>Thursday</v>
      </c>
      <c r="H2618" s="2">
        <v>0.5199421296296296</v>
      </c>
      <c r="I2618">
        <v>12.5</v>
      </c>
      <c r="J2618">
        <v>12.5</v>
      </c>
      <c r="K2618" t="s">
        <v>59</v>
      </c>
      <c r="L2618" t="s">
        <v>13</v>
      </c>
      <c r="M2618" t="s">
        <v>26</v>
      </c>
      <c r="N2618" t="s">
        <v>27</v>
      </c>
    </row>
    <row r="2619" spans="1:14" x14ac:dyDescent="0.25">
      <c r="A2619">
        <v>21549</v>
      </c>
      <c r="B2619">
        <v>9462</v>
      </c>
      <c r="C2619">
        <f>1/COUNTIF(B:B,pizza_sales[[#This Row],[order_id]])</f>
        <v>0.5</v>
      </c>
      <c r="D2619" t="s">
        <v>28</v>
      </c>
      <c r="E2619">
        <v>1</v>
      </c>
      <c r="F2619" s="1">
        <v>42222</v>
      </c>
      <c r="G2619" s="1" t="str">
        <f>TEXT(pizza_sales[[#This Row],[order_date]],"dddd")</f>
        <v>Thursday</v>
      </c>
      <c r="H2619" s="2">
        <v>0.56011574074074078</v>
      </c>
      <c r="I2619">
        <v>12</v>
      </c>
      <c r="J2619">
        <v>12</v>
      </c>
      <c r="K2619" t="s">
        <v>60</v>
      </c>
      <c r="L2619" t="s">
        <v>13</v>
      </c>
      <c r="M2619" t="s">
        <v>29</v>
      </c>
      <c r="N2619" t="s">
        <v>30</v>
      </c>
    </row>
    <row r="2620" spans="1:14" x14ac:dyDescent="0.25">
      <c r="A2620">
        <v>21550</v>
      </c>
      <c r="B2620">
        <v>9462</v>
      </c>
      <c r="C2620">
        <f>1/COUNTIF(B:B,pizza_sales[[#This Row],[order_id]])</f>
        <v>0.5</v>
      </c>
      <c r="D2620" t="s">
        <v>44</v>
      </c>
      <c r="E2620">
        <v>1</v>
      </c>
      <c r="F2620" s="1">
        <v>42222</v>
      </c>
      <c r="G2620" s="1" t="str">
        <f>TEXT(pizza_sales[[#This Row],[order_date]],"dddd")</f>
        <v>Thursday</v>
      </c>
      <c r="H2620" s="2">
        <v>0.56011574074074078</v>
      </c>
      <c r="I2620">
        <v>9.75</v>
      </c>
      <c r="J2620">
        <v>9.75</v>
      </c>
      <c r="K2620" t="s">
        <v>60</v>
      </c>
      <c r="L2620" t="s">
        <v>13</v>
      </c>
      <c r="M2620" t="s">
        <v>26</v>
      </c>
      <c r="N2620" t="s">
        <v>27</v>
      </c>
    </row>
    <row r="2621" spans="1:14" x14ac:dyDescent="0.25">
      <c r="A2621">
        <v>21555</v>
      </c>
      <c r="B2621">
        <v>9463</v>
      </c>
      <c r="C2621">
        <f>1/COUNTIF(B:B,pizza_sales[[#This Row],[order_id]])</f>
        <v>0.16666666666666666</v>
      </c>
      <c r="D2621" t="s">
        <v>28</v>
      </c>
      <c r="E2621">
        <v>1</v>
      </c>
      <c r="F2621" s="1">
        <v>42222</v>
      </c>
      <c r="G2621" s="1" t="str">
        <f>TEXT(pizza_sales[[#This Row],[order_date]],"dddd")</f>
        <v>Thursday</v>
      </c>
      <c r="H2621" s="2">
        <v>0.560150462962963</v>
      </c>
      <c r="I2621">
        <v>12</v>
      </c>
      <c r="J2621">
        <v>12</v>
      </c>
      <c r="K2621" t="s">
        <v>60</v>
      </c>
      <c r="L2621" t="s">
        <v>13</v>
      </c>
      <c r="M2621" t="s">
        <v>29</v>
      </c>
      <c r="N2621" t="s">
        <v>30</v>
      </c>
    </row>
    <row r="2622" spans="1:14" x14ac:dyDescent="0.25">
      <c r="A2622">
        <v>21558</v>
      </c>
      <c r="B2622">
        <v>9463</v>
      </c>
      <c r="C2622">
        <f>1/COUNTIF(B:B,pizza_sales[[#This Row],[order_id]])</f>
        <v>0.16666666666666666</v>
      </c>
      <c r="D2622" t="s">
        <v>47</v>
      </c>
      <c r="E2622">
        <v>1</v>
      </c>
      <c r="F2622" s="1">
        <v>42222</v>
      </c>
      <c r="G2622" s="1" t="str">
        <f>TEXT(pizza_sales[[#This Row],[order_date]],"dddd")</f>
        <v>Thursday</v>
      </c>
      <c r="H2622" s="2">
        <v>0.560150462962963</v>
      </c>
      <c r="I2622">
        <v>16.5</v>
      </c>
      <c r="J2622">
        <v>16.5</v>
      </c>
      <c r="K2622" t="s">
        <v>58</v>
      </c>
      <c r="L2622" t="s">
        <v>13</v>
      </c>
      <c r="M2622" t="s">
        <v>14</v>
      </c>
      <c r="N2622" t="s">
        <v>15</v>
      </c>
    </row>
    <row r="2623" spans="1:14" x14ac:dyDescent="0.25">
      <c r="A2623">
        <v>21559</v>
      </c>
      <c r="B2623">
        <v>9463</v>
      </c>
      <c r="C2623">
        <f>1/COUNTIF(B:B,pizza_sales[[#This Row],[order_id]])</f>
        <v>0.16666666666666666</v>
      </c>
      <c r="D2623" t="s">
        <v>45</v>
      </c>
      <c r="E2623">
        <v>1</v>
      </c>
      <c r="F2623" s="1">
        <v>42222</v>
      </c>
      <c r="G2623" s="1" t="str">
        <f>TEXT(pizza_sales[[#This Row],[order_date]],"dddd")</f>
        <v>Thursday</v>
      </c>
      <c r="H2623" s="2">
        <v>0.560150462962963</v>
      </c>
      <c r="I2623">
        <v>10.5</v>
      </c>
      <c r="J2623">
        <v>10.5</v>
      </c>
      <c r="K2623" t="s">
        <v>60</v>
      </c>
      <c r="L2623" t="s">
        <v>13</v>
      </c>
      <c r="M2623" t="s">
        <v>14</v>
      </c>
      <c r="N2623" t="s">
        <v>15</v>
      </c>
    </row>
    <row r="2624" spans="1:14" x14ac:dyDescent="0.25">
      <c r="A2624">
        <v>21562</v>
      </c>
      <c r="B2624">
        <v>9463</v>
      </c>
      <c r="C2624">
        <f>1/COUNTIF(B:B,pizza_sales[[#This Row],[order_id]])</f>
        <v>0.16666666666666666</v>
      </c>
      <c r="D2624" t="s">
        <v>16</v>
      </c>
      <c r="E2624">
        <v>1</v>
      </c>
      <c r="F2624" s="1">
        <v>42222</v>
      </c>
      <c r="G2624" s="1" t="str">
        <f>TEXT(pizza_sales[[#This Row],[order_date]],"dddd")</f>
        <v>Thursday</v>
      </c>
      <c r="H2624" s="2">
        <v>0.560150462962963</v>
      </c>
      <c r="I2624">
        <v>16</v>
      </c>
      <c r="J2624">
        <v>16</v>
      </c>
      <c r="K2624" t="s">
        <v>59</v>
      </c>
      <c r="L2624" t="s">
        <v>17</v>
      </c>
      <c r="M2624" t="s">
        <v>18</v>
      </c>
      <c r="N2624" t="s">
        <v>19</v>
      </c>
    </row>
    <row r="2625" spans="1:14" x14ac:dyDescent="0.25">
      <c r="A2625">
        <v>21563</v>
      </c>
      <c r="B2625">
        <v>9463</v>
      </c>
      <c r="C2625">
        <f>1/COUNTIF(B:B,pizza_sales[[#This Row],[order_id]])</f>
        <v>0.16666666666666666</v>
      </c>
      <c r="D2625" t="s">
        <v>38</v>
      </c>
      <c r="E2625">
        <v>2</v>
      </c>
      <c r="F2625" s="1">
        <v>42222</v>
      </c>
      <c r="G2625" s="1" t="str">
        <f>TEXT(pizza_sales[[#This Row],[order_date]],"dddd")</f>
        <v>Thursday</v>
      </c>
      <c r="H2625" s="2">
        <v>0.560150462962963</v>
      </c>
      <c r="I2625">
        <v>20.5</v>
      </c>
      <c r="J2625">
        <v>41</v>
      </c>
      <c r="K2625" t="s">
        <v>58</v>
      </c>
      <c r="L2625" t="s">
        <v>13</v>
      </c>
      <c r="M2625" t="s">
        <v>32</v>
      </c>
      <c r="N2625" t="s">
        <v>33</v>
      </c>
    </row>
    <row r="2626" spans="1:14" x14ac:dyDescent="0.25">
      <c r="A2626">
        <v>21564</v>
      </c>
      <c r="B2626">
        <v>9463</v>
      </c>
      <c r="C2626">
        <f>1/COUNTIF(B:B,pizza_sales[[#This Row],[order_id]])</f>
        <v>0.16666666666666666</v>
      </c>
      <c r="D2626" t="s">
        <v>42</v>
      </c>
      <c r="E2626">
        <v>1</v>
      </c>
      <c r="F2626" s="1">
        <v>42222</v>
      </c>
      <c r="G2626" s="1" t="str">
        <f>TEXT(pizza_sales[[#This Row],[order_date]],"dddd")</f>
        <v>Thursday</v>
      </c>
      <c r="H2626" s="2">
        <v>0.560150462962963</v>
      </c>
      <c r="I2626">
        <v>12.5</v>
      </c>
      <c r="J2626">
        <v>12.5</v>
      </c>
      <c r="K2626" t="s">
        <v>59</v>
      </c>
      <c r="L2626" t="s">
        <v>13</v>
      </c>
      <c r="M2626" t="s">
        <v>26</v>
      </c>
      <c r="N2626" t="s">
        <v>27</v>
      </c>
    </row>
    <row r="2627" spans="1:14" x14ac:dyDescent="0.25">
      <c r="A2627">
        <v>21569</v>
      </c>
      <c r="B2627">
        <v>9465</v>
      </c>
      <c r="C2627">
        <f>1/COUNTIF(B:B,pizza_sales[[#This Row],[order_id]])</f>
        <v>0.5</v>
      </c>
      <c r="D2627" t="s">
        <v>45</v>
      </c>
      <c r="E2627">
        <v>1</v>
      </c>
      <c r="F2627" s="1">
        <v>42222</v>
      </c>
      <c r="G2627" s="1" t="str">
        <f>TEXT(pizza_sales[[#This Row],[order_date]],"dddd")</f>
        <v>Thursday</v>
      </c>
      <c r="H2627" s="2">
        <v>0.58326388888888892</v>
      </c>
      <c r="I2627">
        <v>10.5</v>
      </c>
      <c r="J2627">
        <v>10.5</v>
      </c>
      <c r="K2627" t="s">
        <v>60</v>
      </c>
      <c r="L2627" t="s">
        <v>13</v>
      </c>
      <c r="M2627" t="s">
        <v>14</v>
      </c>
      <c r="N2627" t="s">
        <v>15</v>
      </c>
    </row>
    <row r="2628" spans="1:14" x14ac:dyDescent="0.25">
      <c r="A2628">
        <v>21571</v>
      </c>
      <c r="B2628">
        <v>9465</v>
      </c>
      <c r="C2628">
        <f>1/COUNTIF(B:B,pizza_sales[[#This Row],[order_id]])</f>
        <v>0.5</v>
      </c>
      <c r="D2628" t="s">
        <v>55</v>
      </c>
      <c r="E2628">
        <v>1</v>
      </c>
      <c r="F2628" s="1">
        <v>42222</v>
      </c>
      <c r="G2628" s="1" t="str">
        <f>TEXT(pizza_sales[[#This Row],[order_date]],"dddd")</f>
        <v>Thursday</v>
      </c>
      <c r="H2628" s="2">
        <v>0.58326388888888892</v>
      </c>
      <c r="I2628">
        <v>20.5</v>
      </c>
      <c r="J2628">
        <v>20.5</v>
      </c>
      <c r="K2628" t="s">
        <v>58</v>
      </c>
      <c r="L2628" t="s">
        <v>13</v>
      </c>
      <c r="M2628" t="s">
        <v>21</v>
      </c>
      <c r="N2628" t="s">
        <v>22</v>
      </c>
    </row>
    <row r="2629" spans="1:14" x14ac:dyDescent="0.25">
      <c r="A2629">
        <v>21574</v>
      </c>
      <c r="B2629">
        <v>9467</v>
      </c>
      <c r="C2629">
        <f>1/COUNTIF(B:B,pizza_sales[[#This Row],[order_id]])</f>
        <v>1</v>
      </c>
      <c r="D2629" t="s">
        <v>48</v>
      </c>
      <c r="E2629">
        <v>1</v>
      </c>
      <c r="F2629" s="1">
        <v>42222</v>
      </c>
      <c r="G2629" s="1" t="str">
        <f>TEXT(pizza_sales[[#This Row],[order_date]],"dddd")</f>
        <v>Thursday</v>
      </c>
      <c r="H2629" s="2">
        <v>0.6012615740740741</v>
      </c>
      <c r="I2629">
        <v>12.25</v>
      </c>
      <c r="J2629">
        <v>12.25</v>
      </c>
      <c r="K2629" t="s">
        <v>60</v>
      </c>
      <c r="L2629" t="s">
        <v>35</v>
      </c>
      <c r="M2629" t="s">
        <v>40</v>
      </c>
      <c r="N2629" t="s">
        <v>41</v>
      </c>
    </row>
    <row r="2630" spans="1:14" x14ac:dyDescent="0.25">
      <c r="A2630">
        <v>21576</v>
      </c>
      <c r="B2630">
        <v>9468</v>
      </c>
      <c r="C2630">
        <f>1/COUNTIF(B:B,pizza_sales[[#This Row],[order_id]])</f>
        <v>1</v>
      </c>
      <c r="D2630" t="s">
        <v>28</v>
      </c>
      <c r="E2630">
        <v>1</v>
      </c>
      <c r="F2630" s="1">
        <v>42222</v>
      </c>
      <c r="G2630" s="1" t="str">
        <f>TEXT(pizza_sales[[#This Row],[order_date]],"dddd")</f>
        <v>Thursday</v>
      </c>
      <c r="H2630" s="2">
        <v>0.61406249999999996</v>
      </c>
      <c r="I2630">
        <v>12</v>
      </c>
      <c r="J2630">
        <v>12</v>
      </c>
      <c r="K2630" t="s">
        <v>60</v>
      </c>
      <c r="L2630" t="s">
        <v>13</v>
      </c>
      <c r="M2630" t="s">
        <v>29</v>
      </c>
      <c r="N2630" t="s">
        <v>30</v>
      </c>
    </row>
    <row r="2631" spans="1:14" x14ac:dyDescent="0.25">
      <c r="A2631">
        <v>21580</v>
      </c>
      <c r="B2631">
        <v>9471</v>
      </c>
      <c r="C2631">
        <f>1/COUNTIF(B:B,pizza_sales[[#This Row],[order_id]])</f>
        <v>0.33333333333333331</v>
      </c>
      <c r="D2631" t="s">
        <v>28</v>
      </c>
      <c r="E2631">
        <v>1</v>
      </c>
      <c r="F2631" s="1">
        <v>42222</v>
      </c>
      <c r="G2631" s="1" t="str">
        <f>TEXT(pizza_sales[[#This Row],[order_date]],"dddd")</f>
        <v>Thursday</v>
      </c>
      <c r="H2631" s="2">
        <v>0.67321759259259262</v>
      </c>
      <c r="I2631">
        <v>12</v>
      </c>
      <c r="J2631">
        <v>12</v>
      </c>
      <c r="K2631" t="s">
        <v>60</v>
      </c>
      <c r="L2631" t="s">
        <v>13</v>
      </c>
      <c r="M2631" t="s">
        <v>29</v>
      </c>
      <c r="N2631" t="s">
        <v>30</v>
      </c>
    </row>
    <row r="2632" spans="1:14" x14ac:dyDescent="0.25">
      <c r="A2632">
        <v>21581</v>
      </c>
      <c r="B2632">
        <v>9471</v>
      </c>
      <c r="C2632">
        <f>1/COUNTIF(B:B,pizza_sales[[#This Row],[order_id]])</f>
        <v>0.33333333333333331</v>
      </c>
      <c r="D2632" t="s">
        <v>42</v>
      </c>
      <c r="E2632">
        <v>1</v>
      </c>
      <c r="F2632" s="1">
        <v>42222</v>
      </c>
      <c r="G2632" s="1" t="str">
        <f>TEXT(pizza_sales[[#This Row],[order_date]],"dddd")</f>
        <v>Thursday</v>
      </c>
      <c r="H2632" s="2">
        <v>0.67321759259259262</v>
      </c>
      <c r="I2632">
        <v>12.5</v>
      </c>
      <c r="J2632">
        <v>12.5</v>
      </c>
      <c r="K2632" t="s">
        <v>59</v>
      </c>
      <c r="L2632" t="s">
        <v>13</v>
      </c>
      <c r="M2632" t="s">
        <v>26</v>
      </c>
      <c r="N2632" t="s">
        <v>27</v>
      </c>
    </row>
    <row r="2633" spans="1:14" x14ac:dyDescent="0.25">
      <c r="A2633">
        <v>21582</v>
      </c>
      <c r="B2633">
        <v>9471</v>
      </c>
      <c r="C2633">
        <f>1/COUNTIF(B:B,pizza_sales[[#This Row],[order_id]])</f>
        <v>0.33333333333333331</v>
      </c>
      <c r="D2633" t="s">
        <v>44</v>
      </c>
      <c r="E2633">
        <v>1</v>
      </c>
      <c r="F2633" s="1">
        <v>42222</v>
      </c>
      <c r="G2633" s="1" t="str">
        <f>TEXT(pizza_sales[[#This Row],[order_date]],"dddd")</f>
        <v>Thursday</v>
      </c>
      <c r="H2633" s="2">
        <v>0.67321759259259262</v>
      </c>
      <c r="I2633">
        <v>9.75</v>
      </c>
      <c r="J2633">
        <v>9.75</v>
      </c>
      <c r="K2633" t="s">
        <v>60</v>
      </c>
      <c r="L2633" t="s">
        <v>13</v>
      </c>
      <c r="M2633" t="s">
        <v>26</v>
      </c>
      <c r="N2633" t="s">
        <v>27</v>
      </c>
    </row>
    <row r="2634" spans="1:14" x14ac:dyDescent="0.25">
      <c r="A2634">
        <v>21585</v>
      </c>
      <c r="B2634">
        <v>9472</v>
      </c>
      <c r="C2634">
        <f>1/COUNTIF(B:B,pizza_sales[[#This Row],[order_id]])</f>
        <v>1</v>
      </c>
      <c r="D2634" t="s">
        <v>43</v>
      </c>
      <c r="E2634">
        <v>1</v>
      </c>
      <c r="F2634" s="1">
        <v>42222</v>
      </c>
      <c r="G2634" s="1" t="str">
        <f>TEXT(pizza_sales[[#This Row],[order_date]],"dddd")</f>
        <v>Thursday</v>
      </c>
      <c r="H2634" s="2">
        <v>0.68107638888888888</v>
      </c>
      <c r="I2634">
        <v>16.25</v>
      </c>
      <c r="J2634">
        <v>16.25</v>
      </c>
      <c r="K2634" t="s">
        <v>59</v>
      </c>
      <c r="L2634" t="s">
        <v>35</v>
      </c>
      <c r="M2634" t="s">
        <v>40</v>
      </c>
      <c r="N2634" t="s">
        <v>41</v>
      </c>
    </row>
    <row r="2635" spans="1:14" x14ac:dyDescent="0.25">
      <c r="A2635">
        <v>21588</v>
      </c>
      <c r="B2635">
        <v>9473</v>
      </c>
      <c r="C2635">
        <f>1/COUNTIF(B:B,pizza_sales[[#This Row],[order_id]])</f>
        <v>1</v>
      </c>
      <c r="D2635" t="s">
        <v>45</v>
      </c>
      <c r="E2635">
        <v>1</v>
      </c>
      <c r="F2635" s="1">
        <v>42222</v>
      </c>
      <c r="G2635" s="1" t="str">
        <f>TEXT(pizza_sales[[#This Row],[order_date]],"dddd")</f>
        <v>Thursday</v>
      </c>
      <c r="H2635" s="2">
        <v>0.7000925925925926</v>
      </c>
      <c r="I2635">
        <v>10.5</v>
      </c>
      <c r="J2635">
        <v>10.5</v>
      </c>
      <c r="K2635" t="s">
        <v>60</v>
      </c>
      <c r="L2635" t="s">
        <v>13</v>
      </c>
      <c r="M2635" t="s">
        <v>14</v>
      </c>
      <c r="N2635" t="s">
        <v>15</v>
      </c>
    </row>
    <row r="2636" spans="1:14" x14ac:dyDescent="0.25">
      <c r="A2636">
        <v>21590</v>
      </c>
      <c r="B2636">
        <v>9475</v>
      </c>
      <c r="C2636">
        <f>1/COUNTIF(B:B,pizza_sales[[#This Row],[order_id]])</f>
        <v>1</v>
      </c>
      <c r="D2636" t="s">
        <v>12</v>
      </c>
      <c r="E2636">
        <v>1</v>
      </c>
      <c r="F2636" s="1">
        <v>42222</v>
      </c>
      <c r="G2636" s="1" t="str">
        <f>TEXT(pizza_sales[[#This Row],[order_date]],"dddd")</f>
        <v>Thursday</v>
      </c>
      <c r="H2636" s="2">
        <v>0.71450231481481485</v>
      </c>
      <c r="I2636">
        <v>13.25</v>
      </c>
      <c r="J2636">
        <v>13.25</v>
      </c>
      <c r="K2636" t="s">
        <v>59</v>
      </c>
      <c r="L2636" t="s">
        <v>13</v>
      </c>
      <c r="M2636" t="s">
        <v>14</v>
      </c>
      <c r="N2636" t="s">
        <v>15</v>
      </c>
    </row>
    <row r="2637" spans="1:14" x14ac:dyDescent="0.25">
      <c r="A2637">
        <v>21595</v>
      </c>
      <c r="B2637">
        <v>9478</v>
      </c>
      <c r="C2637">
        <f>1/COUNTIF(B:B,pizza_sales[[#This Row],[order_id]])</f>
        <v>1</v>
      </c>
      <c r="D2637" t="s">
        <v>28</v>
      </c>
      <c r="E2637">
        <v>1</v>
      </c>
      <c r="F2637" s="1">
        <v>42222</v>
      </c>
      <c r="G2637" s="1" t="str">
        <f>TEXT(pizza_sales[[#This Row],[order_date]],"dddd")</f>
        <v>Thursday</v>
      </c>
      <c r="H2637" s="2">
        <v>0.73399305555555561</v>
      </c>
      <c r="I2637">
        <v>12</v>
      </c>
      <c r="J2637">
        <v>12</v>
      </c>
      <c r="K2637" t="s">
        <v>60</v>
      </c>
      <c r="L2637" t="s">
        <v>13</v>
      </c>
      <c r="M2637" t="s">
        <v>29</v>
      </c>
      <c r="N2637" t="s">
        <v>30</v>
      </c>
    </row>
    <row r="2638" spans="1:14" x14ac:dyDescent="0.25">
      <c r="A2638">
        <v>21602</v>
      </c>
      <c r="B2638">
        <v>9481</v>
      </c>
      <c r="C2638">
        <f>1/COUNTIF(B:B,pizza_sales[[#This Row],[order_id]])</f>
        <v>1</v>
      </c>
      <c r="D2638" t="s">
        <v>44</v>
      </c>
      <c r="E2638">
        <v>1</v>
      </c>
      <c r="F2638" s="1">
        <v>42222</v>
      </c>
      <c r="G2638" s="1" t="str">
        <f>TEXT(pizza_sales[[#This Row],[order_date]],"dddd")</f>
        <v>Thursday</v>
      </c>
      <c r="H2638" s="2">
        <v>0.74737268518518518</v>
      </c>
      <c r="I2638">
        <v>9.75</v>
      </c>
      <c r="J2638">
        <v>9.75</v>
      </c>
      <c r="K2638" t="s">
        <v>60</v>
      </c>
      <c r="L2638" t="s">
        <v>13</v>
      </c>
      <c r="M2638" t="s">
        <v>26</v>
      </c>
      <c r="N2638" t="s">
        <v>27</v>
      </c>
    </row>
    <row r="2639" spans="1:14" x14ac:dyDescent="0.25">
      <c r="A2639">
        <v>21606</v>
      </c>
      <c r="B2639">
        <v>9482</v>
      </c>
      <c r="C2639">
        <f>1/COUNTIF(B:B,pizza_sales[[#This Row],[order_id]])</f>
        <v>1</v>
      </c>
      <c r="D2639" t="s">
        <v>25</v>
      </c>
      <c r="E2639">
        <v>1</v>
      </c>
      <c r="F2639" s="1">
        <v>42222</v>
      </c>
      <c r="G2639" s="1" t="str">
        <f>TEXT(pizza_sales[[#This Row],[order_date]],"dddd")</f>
        <v>Thursday</v>
      </c>
      <c r="H2639" s="2">
        <v>0.75027777777777782</v>
      </c>
      <c r="I2639">
        <v>15.25</v>
      </c>
      <c r="J2639">
        <v>15.25</v>
      </c>
      <c r="K2639" t="s">
        <v>58</v>
      </c>
      <c r="L2639" t="s">
        <v>13</v>
      </c>
      <c r="M2639" t="s">
        <v>26</v>
      </c>
      <c r="N2639" t="s">
        <v>27</v>
      </c>
    </row>
    <row r="2640" spans="1:14" x14ac:dyDescent="0.25">
      <c r="A2640">
        <v>21608</v>
      </c>
      <c r="B2640">
        <v>9483</v>
      </c>
      <c r="C2640">
        <f>1/COUNTIF(B:B,pizza_sales[[#This Row],[order_id]])</f>
        <v>1</v>
      </c>
      <c r="D2640" t="s">
        <v>46</v>
      </c>
      <c r="E2640">
        <v>2</v>
      </c>
      <c r="F2640" s="1">
        <v>42222</v>
      </c>
      <c r="G2640" s="1" t="str">
        <f>TEXT(pizza_sales[[#This Row],[order_date]],"dddd")</f>
        <v>Thursday</v>
      </c>
      <c r="H2640" s="2">
        <v>0.75267361111111108</v>
      </c>
      <c r="I2640">
        <v>25.5</v>
      </c>
      <c r="J2640">
        <v>51</v>
      </c>
      <c r="K2640" t="s">
        <v>61</v>
      </c>
      <c r="L2640" t="s">
        <v>13</v>
      </c>
      <c r="M2640" t="s">
        <v>21</v>
      </c>
      <c r="N2640" t="s">
        <v>22</v>
      </c>
    </row>
    <row r="2641" spans="1:14" x14ac:dyDescent="0.25">
      <c r="A2641">
        <v>21620</v>
      </c>
      <c r="B2641">
        <v>9489</v>
      </c>
      <c r="C2641">
        <f>1/COUNTIF(B:B,pizza_sales[[#This Row],[order_id]])</f>
        <v>1</v>
      </c>
      <c r="D2641" t="s">
        <v>45</v>
      </c>
      <c r="E2641">
        <v>1</v>
      </c>
      <c r="F2641" s="1">
        <v>42222</v>
      </c>
      <c r="G2641" s="1" t="str">
        <f>TEXT(pizza_sales[[#This Row],[order_date]],"dddd")</f>
        <v>Thursday</v>
      </c>
      <c r="H2641" s="2">
        <v>0.77684027777777775</v>
      </c>
      <c r="I2641">
        <v>10.5</v>
      </c>
      <c r="J2641">
        <v>10.5</v>
      </c>
      <c r="K2641" t="s">
        <v>60</v>
      </c>
      <c r="L2641" t="s">
        <v>13</v>
      </c>
      <c r="M2641" t="s">
        <v>14</v>
      </c>
      <c r="N2641" t="s">
        <v>15</v>
      </c>
    </row>
    <row r="2642" spans="1:14" x14ac:dyDescent="0.25">
      <c r="A2642">
        <v>21623</v>
      </c>
      <c r="B2642">
        <v>9491</v>
      </c>
      <c r="C2642">
        <f>1/COUNTIF(B:B,pizza_sales[[#This Row],[order_id]])</f>
        <v>1</v>
      </c>
      <c r="D2642" t="s">
        <v>16</v>
      </c>
      <c r="E2642">
        <v>1</v>
      </c>
      <c r="F2642" s="1">
        <v>42222</v>
      </c>
      <c r="G2642" s="1" t="str">
        <f>TEXT(pizza_sales[[#This Row],[order_date]],"dddd")</f>
        <v>Thursday</v>
      </c>
      <c r="H2642" s="2">
        <v>0.78369212962962964</v>
      </c>
      <c r="I2642">
        <v>16</v>
      </c>
      <c r="J2642">
        <v>16</v>
      </c>
      <c r="K2642" t="s">
        <v>59</v>
      </c>
      <c r="L2642" t="s">
        <v>17</v>
      </c>
      <c r="M2642" t="s">
        <v>18</v>
      </c>
      <c r="N2642" t="s">
        <v>19</v>
      </c>
    </row>
    <row r="2643" spans="1:14" x14ac:dyDescent="0.25">
      <c r="A2643">
        <v>21626</v>
      </c>
      <c r="B2643">
        <v>9493</v>
      </c>
      <c r="C2643">
        <f>1/COUNTIF(B:B,pizza_sales[[#This Row],[order_id]])</f>
        <v>1</v>
      </c>
      <c r="D2643" t="s">
        <v>51</v>
      </c>
      <c r="E2643">
        <v>1</v>
      </c>
      <c r="F2643" s="1">
        <v>42222</v>
      </c>
      <c r="G2643" s="1" t="str">
        <f>TEXT(pizza_sales[[#This Row],[order_date]],"dddd")</f>
        <v>Thursday</v>
      </c>
      <c r="H2643" s="2">
        <v>0.79143518518518519</v>
      </c>
      <c r="I2643">
        <v>23.65</v>
      </c>
      <c r="J2643">
        <v>23.65</v>
      </c>
      <c r="K2643" t="s">
        <v>60</v>
      </c>
      <c r="L2643" t="s">
        <v>35</v>
      </c>
      <c r="M2643" t="s">
        <v>52</v>
      </c>
      <c r="N2643" t="s">
        <v>53</v>
      </c>
    </row>
    <row r="2644" spans="1:14" x14ac:dyDescent="0.25">
      <c r="A2644">
        <v>21631</v>
      </c>
      <c r="B2644">
        <v>9496</v>
      </c>
      <c r="C2644">
        <f>1/COUNTIF(B:B,pizza_sales[[#This Row],[order_id]])</f>
        <v>0.33333333333333331</v>
      </c>
      <c r="D2644" t="s">
        <v>28</v>
      </c>
      <c r="E2644">
        <v>1</v>
      </c>
      <c r="F2644" s="1">
        <v>42222</v>
      </c>
      <c r="G2644" s="1" t="str">
        <f>TEXT(pizza_sales[[#This Row],[order_date]],"dddd")</f>
        <v>Thursday</v>
      </c>
      <c r="H2644" s="2">
        <v>0.80835648148148154</v>
      </c>
      <c r="I2644">
        <v>12</v>
      </c>
      <c r="J2644">
        <v>12</v>
      </c>
      <c r="K2644" t="s">
        <v>60</v>
      </c>
      <c r="L2644" t="s">
        <v>13</v>
      </c>
      <c r="M2644" t="s">
        <v>29</v>
      </c>
      <c r="N2644" t="s">
        <v>30</v>
      </c>
    </row>
    <row r="2645" spans="1:14" x14ac:dyDescent="0.25">
      <c r="A2645">
        <v>21632</v>
      </c>
      <c r="B2645">
        <v>9496</v>
      </c>
      <c r="C2645">
        <f>1/COUNTIF(B:B,pizza_sales[[#This Row],[order_id]])</f>
        <v>0.33333333333333331</v>
      </c>
      <c r="D2645" t="s">
        <v>12</v>
      </c>
      <c r="E2645">
        <v>1</v>
      </c>
      <c r="F2645" s="1">
        <v>42222</v>
      </c>
      <c r="G2645" s="1" t="str">
        <f>TEXT(pizza_sales[[#This Row],[order_date]],"dddd")</f>
        <v>Thursday</v>
      </c>
      <c r="H2645" s="2">
        <v>0.80835648148148154</v>
      </c>
      <c r="I2645">
        <v>13.25</v>
      </c>
      <c r="J2645">
        <v>13.25</v>
      </c>
      <c r="K2645" t="s">
        <v>59</v>
      </c>
      <c r="L2645" t="s">
        <v>13</v>
      </c>
      <c r="M2645" t="s">
        <v>14</v>
      </c>
      <c r="N2645" t="s">
        <v>15</v>
      </c>
    </row>
    <row r="2646" spans="1:14" x14ac:dyDescent="0.25">
      <c r="A2646">
        <v>21633</v>
      </c>
      <c r="B2646">
        <v>9496</v>
      </c>
      <c r="C2646">
        <f>1/COUNTIF(B:B,pizza_sales[[#This Row],[order_id]])</f>
        <v>0.33333333333333331</v>
      </c>
      <c r="D2646" t="s">
        <v>39</v>
      </c>
      <c r="E2646">
        <v>1</v>
      </c>
      <c r="F2646" s="1">
        <v>42222</v>
      </c>
      <c r="G2646" s="1" t="str">
        <f>TEXT(pizza_sales[[#This Row],[order_date]],"dddd")</f>
        <v>Thursday</v>
      </c>
      <c r="H2646" s="2">
        <v>0.80835648148148154</v>
      </c>
      <c r="I2646">
        <v>20.25</v>
      </c>
      <c r="J2646">
        <v>20.25</v>
      </c>
      <c r="K2646" t="s">
        <v>58</v>
      </c>
      <c r="L2646" t="s">
        <v>35</v>
      </c>
      <c r="M2646" t="s">
        <v>40</v>
      </c>
      <c r="N2646" t="s">
        <v>41</v>
      </c>
    </row>
    <row r="2647" spans="1:14" x14ac:dyDescent="0.25">
      <c r="A2647">
        <v>21635</v>
      </c>
      <c r="B2647">
        <v>9497</v>
      </c>
      <c r="C2647">
        <f>1/COUNTIF(B:B,pizza_sales[[#This Row],[order_id]])</f>
        <v>0.5</v>
      </c>
      <c r="D2647" t="s">
        <v>12</v>
      </c>
      <c r="E2647">
        <v>1</v>
      </c>
      <c r="F2647" s="1">
        <v>42222</v>
      </c>
      <c r="G2647" s="1" t="str">
        <f>TEXT(pizza_sales[[#This Row],[order_date]],"dddd")</f>
        <v>Thursday</v>
      </c>
      <c r="H2647" s="2">
        <v>0.82890046296296294</v>
      </c>
      <c r="I2647">
        <v>13.25</v>
      </c>
      <c r="J2647">
        <v>13.25</v>
      </c>
      <c r="K2647" t="s">
        <v>59</v>
      </c>
      <c r="L2647" t="s">
        <v>13</v>
      </c>
      <c r="M2647" t="s">
        <v>14</v>
      </c>
      <c r="N2647" t="s">
        <v>15</v>
      </c>
    </row>
    <row r="2648" spans="1:14" x14ac:dyDescent="0.25">
      <c r="A2648">
        <v>21636</v>
      </c>
      <c r="B2648">
        <v>9497</v>
      </c>
      <c r="C2648">
        <f>1/COUNTIF(B:B,pizza_sales[[#This Row],[order_id]])</f>
        <v>0.5</v>
      </c>
      <c r="D2648" t="s">
        <v>16</v>
      </c>
      <c r="E2648">
        <v>1</v>
      </c>
      <c r="F2648" s="1">
        <v>42222</v>
      </c>
      <c r="G2648" s="1" t="str">
        <f>TEXT(pizza_sales[[#This Row],[order_date]],"dddd")</f>
        <v>Thursday</v>
      </c>
      <c r="H2648" s="2">
        <v>0.82890046296296294</v>
      </c>
      <c r="I2648">
        <v>16</v>
      </c>
      <c r="J2648">
        <v>16</v>
      </c>
      <c r="K2648" t="s">
        <v>59</v>
      </c>
      <c r="L2648" t="s">
        <v>17</v>
      </c>
      <c r="M2648" t="s">
        <v>18</v>
      </c>
      <c r="N2648" t="s">
        <v>19</v>
      </c>
    </row>
    <row r="2649" spans="1:14" x14ac:dyDescent="0.25">
      <c r="A2649">
        <v>21637</v>
      </c>
      <c r="B2649">
        <v>9498</v>
      </c>
      <c r="C2649">
        <f>1/COUNTIF(B:B,pizza_sales[[#This Row],[order_id]])</f>
        <v>0.5</v>
      </c>
      <c r="D2649" t="s">
        <v>56</v>
      </c>
      <c r="E2649">
        <v>1</v>
      </c>
      <c r="F2649" s="1">
        <v>42222</v>
      </c>
      <c r="G2649" s="1" t="str">
        <f>TEXT(pizza_sales[[#This Row],[order_date]],"dddd")</f>
        <v>Thursday</v>
      </c>
      <c r="H2649" s="2">
        <v>0.8499768518518519</v>
      </c>
      <c r="I2649">
        <v>20.25</v>
      </c>
      <c r="J2649">
        <v>20.25</v>
      </c>
      <c r="K2649" t="s">
        <v>58</v>
      </c>
      <c r="L2649" t="s">
        <v>35</v>
      </c>
      <c r="M2649" t="s">
        <v>36</v>
      </c>
      <c r="N2649" t="s">
        <v>37</v>
      </c>
    </row>
    <row r="2650" spans="1:14" x14ac:dyDescent="0.25">
      <c r="A2650">
        <v>21638</v>
      </c>
      <c r="B2650">
        <v>9498</v>
      </c>
      <c r="C2650">
        <f>1/COUNTIF(B:B,pizza_sales[[#This Row],[order_id]])</f>
        <v>0.5</v>
      </c>
      <c r="D2650" t="s">
        <v>44</v>
      </c>
      <c r="E2650">
        <v>1</v>
      </c>
      <c r="F2650" s="1">
        <v>42222</v>
      </c>
      <c r="G2650" s="1" t="str">
        <f>TEXT(pizza_sales[[#This Row],[order_date]],"dddd")</f>
        <v>Thursday</v>
      </c>
      <c r="H2650" s="2">
        <v>0.8499768518518519</v>
      </c>
      <c r="I2650">
        <v>9.75</v>
      </c>
      <c r="J2650">
        <v>9.75</v>
      </c>
      <c r="K2650" t="s">
        <v>60</v>
      </c>
      <c r="L2650" t="s">
        <v>13</v>
      </c>
      <c r="M2650" t="s">
        <v>26</v>
      </c>
      <c r="N2650" t="s">
        <v>27</v>
      </c>
    </row>
    <row r="2651" spans="1:14" x14ac:dyDescent="0.25">
      <c r="A2651">
        <v>21643</v>
      </c>
      <c r="B2651">
        <v>9500</v>
      </c>
      <c r="C2651">
        <f>1/COUNTIF(B:B,pizza_sales[[#This Row],[order_id]])</f>
        <v>1</v>
      </c>
      <c r="D2651" t="s">
        <v>34</v>
      </c>
      <c r="E2651">
        <v>1</v>
      </c>
      <c r="F2651" s="1">
        <v>42222</v>
      </c>
      <c r="G2651" s="1" t="str">
        <f>TEXT(pizza_sales[[#This Row],[order_date]],"dddd")</f>
        <v>Thursday</v>
      </c>
      <c r="H2651" s="2">
        <v>0.85776620370370371</v>
      </c>
      <c r="I2651">
        <v>16.25</v>
      </c>
      <c r="J2651">
        <v>16.25</v>
      </c>
      <c r="K2651" t="s">
        <v>59</v>
      </c>
      <c r="L2651" t="s">
        <v>35</v>
      </c>
      <c r="M2651" t="s">
        <v>36</v>
      </c>
      <c r="N2651" t="s">
        <v>37</v>
      </c>
    </row>
    <row r="2652" spans="1:14" x14ac:dyDescent="0.25">
      <c r="A2652">
        <v>21645</v>
      </c>
      <c r="B2652">
        <v>9501</v>
      </c>
      <c r="C2652">
        <f>1/COUNTIF(B:B,pizza_sales[[#This Row],[order_id]])</f>
        <v>1</v>
      </c>
      <c r="D2652" t="s">
        <v>34</v>
      </c>
      <c r="E2652">
        <v>1</v>
      </c>
      <c r="F2652" s="1">
        <v>42222</v>
      </c>
      <c r="G2652" s="1" t="str">
        <f>TEXT(pizza_sales[[#This Row],[order_date]],"dddd")</f>
        <v>Thursday</v>
      </c>
      <c r="H2652" s="2">
        <v>0.87950231481481478</v>
      </c>
      <c r="I2652">
        <v>16.25</v>
      </c>
      <c r="J2652">
        <v>16.25</v>
      </c>
      <c r="K2652" t="s">
        <v>59</v>
      </c>
      <c r="L2652" t="s">
        <v>35</v>
      </c>
      <c r="M2652" t="s">
        <v>36</v>
      </c>
      <c r="N2652" t="s">
        <v>37</v>
      </c>
    </row>
    <row r="2653" spans="1:14" x14ac:dyDescent="0.25">
      <c r="A2653">
        <v>21656</v>
      </c>
      <c r="B2653">
        <v>9506</v>
      </c>
      <c r="C2653">
        <f>1/COUNTIF(B:B,pizza_sales[[#This Row],[order_id]])</f>
        <v>0.5</v>
      </c>
      <c r="D2653" t="s">
        <v>12</v>
      </c>
      <c r="E2653">
        <v>1</v>
      </c>
      <c r="F2653" s="1">
        <v>42253</v>
      </c>
      <c r="G2653" s="1" t="str">
        <f>TEXT(pizza_sales[[#This Row],[order_date]],"dddd")</f>
        <v>Sunday</v>
      </c>
      <c r="H2653" s="2">
        <v>0.49670138888888887</v>
      </c>
      <c r="I2653">
        <v>13.25</v>
      </c>
      <c r="J2653">
        <v>13.25</v>
      </c>
      <c r="K2653" t="s">
        <v>59</v>
      </c>
      <c r="L2653" t="s">
        <v>13</v>
      </c>
      <c r="M2653" t="s">
        <v>14</v>
      </c>
      <c r="N2653" t="s">
        <v>15</v>
      </c>
    </row>
    <row r="2654" spans="1:14" x14ac:dyDescent="0.25">
      <c r="A2654">
        <v>21657</v>
      </c>
      <c r="B2654">
        <v>9506</v>
      </c>
      <c r="C2654">
        <f>1/COUNTIF(B:B,pizza_sales[[#This Row],[order_id]])</f>
        <v>0.5</v>
      </c>
      <c r="D2654" t="s">
        <v>31</v>
      </c>
      <c r="E2654">
        <v>1</v>
      </c>
      <c r="F2654" s="1">
        <v>42253</v>
      </c>
      <c r="G2654" s="1" t="str">
        <f>TEXT(pizza_sales[[#This Row],[order_date]],"dddd")</f>
        <v>Sunday</v>
      </c>
      <c r="H2654" s="2">
        <v>0.49670138888888887</v>
      </c>
      <c r="I2654">
        <v>12</v>
      </c>
      <c r="J2654">
        <v>12</v>
      </c>
      <c r="K2654" t="s">
        <v>60</v>
      </c>
      <c r="L2654" t="s">
        <v>13</v>
      </c>
      <c r="M2654" t="s">
        <v>32</v>
      </c>
      <c r="N2654" t="s">
        <v>33</v>
      </c>
    </row>
    <row r="2655" spans="1:14" x14ac:dyDescent="0.25">
      <c r="A2655">
        <v>21661</v>
      </c>
      <c r="B2655">
        <v>9507</v>
      </c>
      <c r="C2655">
        <f>1/COUNTIF(B:B,pizza_sales[[#This Row],[order_id]])</f>
        <v>0.5</v>
      </c>
      <c r="D2655" t="s">
        <v>12</v>
      </c>
      <c r="E2655">
        <v>1</v>
      </c>
      <c r="F2655" s="1">
        <v>42253</v>
      </c>
      <c r="G2655" s="1" t="str">
        <f>TEXT(pizza_sales[[#This Row],[order_date]],"dddd")</f>
        <v>Sunday</v>
      </c>
      <c r="H2655" s="2">
        <v>0.5043981481481481</v>
      </c>
      <c r="I2655">
        <v>13.25</v>
      </c>
      <c r="J2655">
        <v>13.25</v>
      </c>
      <c r="K2655" t="s">
        <v>59</v>
      </c>
      <c r="L2655" t="s">
        <v>13</v>
      </c>
      <c r="M2655" t="s">
        <v>14</v>
      </c>
      <c r="N2655" t="s">
        <v>15</v>
      </c>
    </row>
    <row r="2656" spans="1:14" x14ac:dyDescent="0.25">
      <c r="A2656">
        <v>21664</v>
      </c>
      <c r="B2656">
        <v>9507</v>
      </c>
      <c r="C2656">
        <f>1/COUNTIF(B:B,pizza_sales[[#This Row],[order_id]])</f>
        <v>0.5</v>
      </c>
      <c r="D2656" t="s">
        <v>55</v>
      </c>
      <c r="E2656">
        <v>1</v>
      </c>
      <c r="F2656" s="1">
        <v>42253</v>
      </c>
      <c r="G2656" s="1" t="str">
        <f>TEXT(pizza_sales[[#This Row],[order_date]],"dddd")</f>
        <v>Sunday</v>
      </c>
      <c r="H2656" s="2">
        <v>0.5043981481481481</v>
      </c>
      <c r="I2656">
        <v>20.5</v>
      </c>
      <c r="J2656">
        <v>20.5</v>
      </c>
      <c r="K2656" t="s">
        <v>58</v>
      </c>
      <c r="L2656" t="s">
        <v>13</v>
      </c>
      <c r="M2656" t="s">
        <v>21</v>
      </c>
      <c r="N2656" t="s">
        <v>22</v>
      </c>
    </row>
    <row r="2657" spans="1:14" x14ac:dyDescent="0.25">
      <c r="A2657">
        <v>21680</v>
      </c>
      <c r="B2657">
        <v>9514</v>
      </c>
      <c r="C2657">
        <f>1/COUNTIF(B:B,pizza_sales[[#This Row],[order_id]])</f>
        <v>0.5</v>
      </c>
      <c r="D2657" t="s">
        <v>38</v>
      </c>
      <c r="E2657">
        <v>1</v>
      </c>
      <c r="F2657" s="1">
        <v>42253</v>
      </c>
      <c r="G2657" s="1" t="str">
        <f>TEXT(pizza_sales[[#This Row],[order_date]],"dddd")</f>
        <v>Sunday</v>
      </c>
      <c r="H2657" s="2">
        <v>0.53041666666666665</v>
      </c>
      <c r="I2657">
        <v>20.5</v>
      </c>
      <c r="J2657">
        <v>20.5</v>
      </c>
      <c r="K2657" t="s">
        <v>58</v>
      </c>
      <c r="L2657" t="s">
        <v>13</v>
      </c>
      <c r="M2657" t="s">
        <v>32</v>
      </c>
      <c r="N2657" t="s">
        <v>33</v>
      </c>
    </row>
    <row r="2658" spans="1:14" x14ac:dyDescent="0.25">
      <c r="A2658">
        <v>21681</v>
      </c>
      <c r="B2658">
        <v>9514</v>
      </c>
      <c r="C2658">
        <f>1/COUNTIF(B:B,pizza_sales[[#This Row],[order_id]])</f>
        <v>0.5</v>
      </c>
      <c r="D2658" t="s">
        <v>50</v>
      </c>
      <c r="E2658">
        <v>1</v>
      </c>
      <c r="F2658" s="1">
        <v>42253</v>
      </c>
      <c r="G2658" s="1" t="str">
        <f>TEXT(pizza_sales[[#This Row],[order_date]],"dddd")</f>
        <v>Sunday</v>
      </c>
      <c r="H2658" s="2">
        <v>0.53041666666666665</v>
      </c>
      <c r="I2658">
        <v>16</v>
      </c>
      <c r="J2658">
        <v>16</v>
      </c>
      <c r="K2658" t="s">
        <v>59</v>
      </c>
      <c r="L2658" t="s">
        <v>13</v>
      </c>
      <c r="M2658" t="s">
        <v>32</v>
      </c>
      <c r="N2658" t="s">
        <v>33</v>
      </c>
    </row>
    <row r="2659" spans="1:14" x14ac:dyDescent="0.25">
      <c r="A2659">
        <v>21686</v>
      </c>
      <c r="B2659">
        <v>9516</v>
      </c>
      <c r="C2659">
        <f>1/COUNTIF(B:B,pizza_sales[[#This Row],[order_id]])</f>
        <v>1</v>
      </c>
      <c r="D2659" t="s">
        <v>51</v>
      </c>
      <c r="E2659">
        <v>1</v>
      </c>
      <c r="F2659" s="1">
        <v>42253</v>
      </c>
      <c r="G2659" s="1" t="str">
        <f>TEXT(pizza_sales[[#This Row],[order_date]],"dddd")</f>
        <v>Sunday</v>
      </c>
      <c r="H2659" s="2">
        <v>0.53611111111111109</v>
      </c>
      <c r="I2659">
        <v>23.65</v>
      </c>
      <c r="J2659">
        <v>23.65</v>
      </c>
      <c r="K2659" t="s">
        <v>60</v>
      </c>
      <c r="L2659" t="s">
        <v>35</v>
      </c>
      <c r="M2659" t="s">
        <v>52</v>
      </c>
      <c r="N2659" t="s">
        <v>53</v>
      </c>
    </row>
    <row r="2660" spans="1:14" x14ac:dyDescent="0.25">
      <c r="A2660">
        <v>21695</v>
      </c>
      <c r="B2660">
        <v>9523</v>
      </c>
      <c r="C2660">
        <f>1/COUNTIF(B:B,pizza_sales[[#This Row],[order_id]])</f>
        <v>1</v>
      </c>
      <c r="D2660" t="s">
        <v>31</v>
      </c>
      <c r="E2660">
        <v>1</v>
      </c>
      <c r="F2660" s="1">
        <v>42253</v>
      </c>
      <c r="G2660" s="1" t="str">
        <f>TEXT(pizza_sales[[#This Row],[order_date]],"dddd")</f>
        <v>Sunday</v>
      </c>
      <c r="H2660" s="2">
        <v>0.55939814814814814</v>
      </c>
      <c r="I2660">
        <v>12</v>
      </c>
      <c r="J2660">
        <v>12</v>
      </c>
      <c r="K2660" t="s">
        <v>60</v>
      </c>
      <c r="L2660" t="s">
        <v>13</v>
      </c>
      <c r="M2660" t="s">
        <v>32</v>
      </c>
      <c r="N2660" t="s">
        <v>33</v>
      </c>
    </row>
    <row r="2661" spans="1:14" x14ac:dyDescent="0.25">
      <c r="A2661">
        <v>21699</v>
      </c>
      <c r="B2661">
        <v>9524</v>
      </c>
      <c r="C2661">
        <f>1/COUNTIF(B:B,pizza_sales[[#This Row],[order_id]])</f>
        <v>1</v>
      </c>
      <c r="D2661" t="s">
        <v>24</v>
      </c>
      <c r="E2661">
        <v>1</v>
      </c>
      <c r="F2661" s="1">
        <v>42253</v>
      </c>
      <c r="G2661" s="1" t="str">
        <f>TEXT(pizza_sales[[#This Row],[order_date]],"dddd")</f>
        <v>Sunday</v>
      </c>
      <c r="H2661" s="2">
        <v>0.57527777777777778</v>
      </c>
      <c r="I2661">
        <v>20.25</v>
      </c>
      <c r="J2661">
        <v>20.25</v>
      </c>
      <c r="K2661" t="s">
        <v>58</v>
      </c>
      <c r="L2661" t="s">
        <v>17</v>
      </c>
      <c r="M2661" t="s">
        <v>18</v>
      </c>
      <c r="N2661" t="s">
        <v>19</v>
      </c>
    </row>
    <row r="2662" spans="1:14" x14ac:dyDescent="0.25">
      <c r="A2662">
        <v>21702</v>
      </c>
      <c r="B2662">
        <v>9525</v>
      </c>
      <c r="C2662">
        <f>1/COUNTIF(B:B,pizza_sales[[#This Row],[order_id]])</f>
        <v>1</v>
      </c>
      <c r="D2662" t="s">
        <v>45</v>
      </c>
      <c r="E2662">
        <v>1</v>
      </c>
      <c r="F2662" s="1">
        <v>42253</v>
      </c>
      <c r="G2662" s="1" t="str">
        <f>TEXT(pizza_sales[[#This Row],[order_date]],"dddd")</f>
        <v>Sunday</v>
      </c>
      <c r="H2662" s="2">
        <v>0.58550925925925923</v>
      </c>
      <c r="I2662">
        <v>10.5</v>
      </c>
      <c r="J2662">
        <v>10.5</v>
      </c>
      <c r="K2662" t="s">
        <v>60</v>
      </c>
      <c r="L2662" t="s">
        <v>13</v>
      </c>
      <c r="M2662" t="s">
        <v>14</v>
      </c>
      <c r="N2662" t="s">
        <v>15</v>
      </c>
    </row>
    <row r="2663" spans="1:14" x14ac:dyDescent="0.25">
      <c r="A2663">
        <v>21710</v>
      </c>
      <c r="B2663">
        <v>9528</v>
      </c>
      <c r="C2663">
        <f>1/COUNTIF(B:B,pizza_sales[[#This Row],[order_id]])</f>
        <v>1</v>
      </c>
      <c r="D2663" t="s">
        <v>31</v>
      </c>
      <c r="E2663">
        <v>1</v>
      </c>
      <c r="F2663" s="1">
        <v>42253</v>
      </c>
      <c r="G2663" s="1" t="str">
        <f>TEXT(pizza_sales[[#This Row],[order_date]],"dddd")</f>
        <v>Sunday</v>
      </c>
      <c r="H2663" s="2">
        <v>0.59971064814814812</v>
      </c>
      <c r="I2663">
        <v>12</v>
      </c>
      <c r="J2663">
        <v>12</v>
      </c>
      <c r="K2663" t="s">
        <v>60</v>
      </c>
      <c r="L2663" t="s">
        <v>13</v>
      </c>
      <c r="M2663" t="s">
        <v>32</v>
      </c>
      <c r="N2663" t="s">
        <v>33</v>
      </c>
    </row>
    <row r="2664" spans="1:14" x14ac:dyDescent="0.25">
      <c r="A2664">
        <v>21713</v>
      </c>
      <c r="B2664">
        <v>9531</v>
      </c>
      <c r="C2664">
        <f>1/COUNTIF(B:B,pizza_sales[[#This Row],[order_id]])</f>
        <v>0.5</v>
      </c>
      <c r="D2664" t="s">
        <v>39</v>
      </c>
      <c r="E2664">
        <v>1</v>
      </c>
      <c r="F2664" s="1">
        <v>42253</v>
      </c>
      <c r="G2664" s="1" t="str">
        <f>TEXT(pizza_sales[[#This Row],[order_date]],"dddd")</f>
        <v>Sunday</v>
      </c>
      <c r="H2664" s="2">
        <v>0.61340277777777774</v>
      </c>
      <c r="I2664">
        <v>20.25</v>
      </c>
      <c r="J2664">
        <v>20.25</v>
      </c>
      <c r="K2664" t="s">
        <v>58</v>
      </c>
      <c r="L2664" t="s">
        <v>35</v>
      </c>
      <c r="M2664" t="s">
        <v>40</v>
      </c>
      <c r="N2664" t="s">
        <v>41</v>
      </c>
    </row>
    <row r="2665" spans="1:14" x14ac:dyDescent="0.25">
      <c r="A2665">
        <v>21714</v>
      </c>
      <c r="B2665">
        <v>9531</v>
      </c>
      <c r="C2665">
        <f>1/COUNTIF(B:B,pizza_sales[[#This Row],[order_id]])</f>
        <v>0.5</v>
      </c>
      <c r="D2665" t="s">
        <v>48</v>
      </c>
      <c r="E2665">
        <v>1</v>
      </c>
      <c r="F2665" s="1">
        <v>42253</v>
      </c>
      <c r="G2665" s="1" t="str">
        <f>TEXT(pizza_sales[[#This Row],[order_date]],"dddd")</f>
        <v>Sunday</v>
      </c>
      <c r="H2665" s="2">
        <v>0.61340277777777774</v>
      </c>
      <c r="I2665">
        <v>12.25</v>
      </c>
      <c r="J2665">
        <v>12.25</v>
      </c>
      <c r="K2665" t="s">
        <v>60</v>
      </c>
      <c r="L2665" t="s">
        <v>35</v>
      </c>
      <c r="M2665" t="s">
        <v>40</v>
      </c>
      <c r="N2665" t="s">
        <v>41</v>
      </c>
    </row>
    <row r="2666" spans="1:14" x14ac:dyDescent="0.25">
      <c r="A2666">
        <v>21718</v>
      </c>
      <c r="B2666">
        <v>9533</v>
      </c>
      <c r="C2666">
        <f>1/COUNTIF(B:B,pizza_sales[[#This Row],[order_id]])</f>
        <v>1</v>
      </c>
      <c r="D2666" t="s">
        <v>51</v>
      </c>
      <c r="E2666">
        <v>1</v>
      </c>
      <c r="F2666" s="1">
        <v>42253</v>
      </c>
      <c r="G2666" s="1" t="str">
        <f>TEXT(pizza_sales[[#This Row],[order_date]],"dddd")</f>
        <v>Sunday</v>
      </c>
      <c r="H2666" s="2">
        <v>0.62457175925925923</v>
      </c>
      <c r="I2666">
        <v>23.65</v>
      </c>
      <c r="J2666">
        <v>23.65</v>
      </c>
      <c r="K2666" t="s">
        <v>60</v>
      </c>
      <c r="L2666" t="s">
        <v>35</v>
      </c>
      <c r="M2666" t="s">
        <v>52</v>
      </c>
      <c r="N2666" t="s">
        <v>53</v>
      </c>
    </row>
    <row r="2667" spans="1:14" x14ac:dyDescent="0.25">
      <c r="A2667">
        <v>21723</v>
      </c>
      <c r="B2667">
        <v>9535</v>
      </c>
      <c r="C2667">
        <f>1/COUNTIF(B:B,pizza_sales[[#This Row],[order_id]])</f>
        <v>1</v>
      </c>
      <c r="D2667" t="s">
        <v>24</v>
      </c>
      <c r="E2667">
        <v>1</v>
      </c>
      <c r="F2667" s="1">
        <v>42253</v>
      </c>
      <c r="G2667" s="1" t="str">
        <f>TEXT(pizza_sales[[#This Row],[order_date]],"dddd")</f>
        <v>Sunday</v>
      </c>
      <c r="H2667" s="2">
        <v>0.63593750000000004</v>
      </c>
      <c r="I2667">
        <v>20.25</v>
      </c>
      <c r="J2667">
        <v>20.25</v>
      </c>
      <c r="K2667" t="s">
        <v>58</v>
      </c>
      <c r="L2667" t="s">
        <v>17</v>
      </c>
      <c r="M2667" t="s">
        <v>18</v>
      </c>
      <c r="N2667" t="s">
        <v>19</v>
      </c>
    </row>
    <row r="2668" spans="1:14" x14ac:dyDescent="0.25">
      <c r="A2668">
        <v>21725</v>
      </c>
      <c r="B2668">
        <v>9536</v>
      </c>
      <c r="C2668">
        <f>1/COUNTIF(B:B,pizza_sales[[#This Row],[order_id]])</f>
        <v>1</v>
      </c>
      <c r="D2668" t="s">
        <v>49</v>
      </c>
      <c r="E2668">
        <v>1</v>
      </c>
      <c r="F2668" s="1">
        <v>42253</v>
      </c>
      <c r="G2668" s="1" t="str">
        <f>TEXT(pizza_sales[[#This Row],[order_date]],"dddd")</f>
        <v>Sunday</v>
      </c>
      <c r="H2668" s="2">
        <v>0.67144675925925923</v>
      </c>
      <c r="I2668">
        <v>16</v>
      </c>
      <c r="J2668">
        <v>16</v>
      </c>
      <c r="K2668" t="s">
        <v>59</v>
      </c>
      <c r="L2668" t="s">
        <v>13</v>
      </c>
      <c r="M2668" t="s">
        <v>21</v>
      </c>
      <c r="N2668" t="s">
        <v>22</v>
      </c>
    </row>
    <row r="2669" spans="1:14" x14ac:dyDescent="0.25">
      <c r="A2669">
        <v>21728</v>
      </c>
      <c r="B2669">
        <v>9538</v>
      </c>
      <c r="C2669">
        <f>1/COUNTIF(B:B,pizza_sales[[#This Row],[order_id]])</f>
        <v>1</v>
      </c>
      <c r="D2669" t="s">
        <v>34</v>
      </c>
      <c r="E2669">
        <v>1</v>
      </c>
      <c r="F2669" s="1">
        <v>42253</v>
      </c>
      <c r="G2669" s="1" t="str">
        <f>TEXT(pizza_sales[[#This Row],[order_date]],"dddd")</f>
        <v>Sunday</v>
      </c>
      <c r="H2669" s="2">
        <v>0.68570601851851853</v>
      </c>
      <c r="I2669">
        <v>16.25</v>
      </c>
      <c r="J2669">
        <v>16.25</v>
      </c>
      <c r="K2669" t="s">
        <v>59</v>
      </c>
      <c r="L2669" t="s">
        <v>35</v>
      </c>
      <c r="M2669" t="s">
        <v>36</v>
      </c>
      <c r="N2669" t="s">
        <v>37</v>
      </c>
    </row>
    <row r="2670" spans="1:14" x14ac:dyDescent="0.25">
      <c r="A2670">
        <v>21733</v>
      </c>
      <c r="B2670">
        <v>9541</v>
      </c>
      <c r="C2670">
        <f>1/COUNTIF(B:B,pizza_sales[[#This Row],[order_id]])</f>
        <v>0.5</v>
      </c>
      <c r="D2670" t="s">
        <v>28</v>
      </c>
      <c r="E2670">
        <v>1</v>
      </c>
      <c r="F2670" s="1">
        <v>42253</v>
      </c>
      <c r="G2670" s="1" t="str">
        <f>TEXT(pizza_sales[[#This Row],[order_date]],"dddd")</f>
        <v>Sunday</v>
      </c>
      <c r="H2670" s="2">
        <v>0.69925925925925925</v>
      </c>
      <c r="I2670">
        <v>12</v>
      </c>
      <c r="J2670">
        <v>12</v>
      </c>
      <c r="K2670" t="s">
        <v>60</v>
      </c>
      <c r="L2670" t="s">
        <v>13</v>
      </c>
      <c r="M2670" t="s">
        <v>29</v>
      </c>
      <c r="N2670" t="s">
        <v>30</v>
      </c>
    </row>
    <row r="2671" spans="1:14" x14ac:dyDescent="0.25">
      <c r="A2671">
        <v>21734</v>
      </c>
      <c r="B2671">
        <v>9541</v>
      </c>
      <c r="C2671">
        <f>1/COUNTIF(B:B,pizza_sales[[#This Row],[order_id]])</f>
        <v>0.5</v>
      </c>
      <c r="D2671" t="s">
        <v>42</v>
      </c>
      <c r="E2671">
        <v>1</v>
      </c>
      <c r="F2671" s="1">
        <v>42253</v>
      </c>
      <c r="G2671" s="1" t="str">
        <f>TEXT(pizza_sales[[#This Row],[order_date]],"dddd")</f>
        <v>Sunday</v>
      </c>
      <c r="H2671" s="2">
        <v>0.69925925925925925</v>
      </c>
      <c r="I2671">
        <v>12.5</v>
      </c>
      <c r="J2671">
        <v>12.5</v>
      </c>
      <c r="K2671" t="s">
        <v>59</v>
      </c>
      <c r="L2671" t="s">
        <v>13</v>
      </c>
      <c r="M2671" t="s">
        <v>26</v>
      </c>
      <c r="N2671" t="s">
        <v>27</v>
      </c>
    </row>
    <row r="2672" spans="1:14" x14ac:dyDescent="0.25">
      <c r="A2672">
        <v>21738</v>
      </c>
      <c r="B2672">
        <v>9543</v>
      </c>
      <c r="C2672">
        <f>1/COUNTIF(B:B,pizza_sales[[#This Row],[order_id]])</f>
        <v>1</v>
      </c>
      <c r="D2672" t="s">
        <v>39</v>
      </c>
      <c r="E2672">
        <v>1</v>
      </c>
      <c r="F2672" s="1">
        <v>42253</v>
      </c>
      <c r="G2672" s="1" t="str">
        <f>TEXT(pizza_sales[[#This Row],[order_date]],"dddd")</f>
        <v>Sunday</v>
      </c>
      <c r="H2672" s="2">
        <v>0.71247685185185183</v>
      </c>
      <c r="I2672">
        <v>20.25</v>
      </c>
      <c r="J2672">
        <v>20.25</v>
      </c>
      <c r="K2672" t="s">
        <v>58</v>
      </c>
      <c r="L2672" t="s">
        <v>35</v>
      </c>
      <c r="M2672" t="s">
        <v>40</v>
      </c>
      <c r="N2672" t="s">
        <v>41</v>
      </c>
    </row>
    <row r="2673" spans="1:14" x14ac:dyDescent="0.25">
      <c r="A2673">
        <v>21739</v>
      </c>
      <c r="B2673">
        <v>9544</v>
      </c>
      <c r="C2673">
        <f>1/COUNTIF(B:B,pizza_sales[[#This Row],[order_id]])</f>
        <v>1</v>
      </c>
      <c r="D2673" t="s">
        <v>28</v>
      </c>
      <c r="E2673">
        <v>1</v>
      </c>
      <c r="F2673" s="1">
        <v>42253</v>
      </c>
      <c r="G2673" s="1" t="str">
        <f>TEXT(pizza_sales[[#This Row],[order_date]],"dddd")</f>
        <v>Sunday</v>
      </c>
      <c r="H2673" s="2">
        <v>0.71412037037037035</v>
      </c>
      <c r="I2673">
        <v>12</v>
      </c>
      <c r="J2673">
        <v>12</v>
      </c>
      <c r="K2673" t="s">
        <v>60</v>
      </c>
      <c r="L2673" t="s">
        <v>13</v>
      </c>
      <c r="M2673" t="s">
        <v>29</v>
      </c>
      <c r="N2673" t="s">
        <v>30</v>
      </c>
    </row>
    <row r="2674" spans="1:14" x14ac:dyDescent="0.25">
      <c r="A2674">
        <v>21741</v>
      </c>
      <c r="B2674">
        <v>9545</v>
      </c>
      <c r="C2674">
        <f>1/COUNTIF(B:B,pizza_sales[[#This Row],[order_id]])</f>
        <v>0.5</v>
      </c>
      <c r="D2674" t="s">
        <v>16</v>
      </c>
      <c r="E2674">
        <v>1</v>
      </c>
      <c r="F2674" s="1">
        <v>42253</v>
      </c>
      <c r="G2674" s="1" t="str">
        <f>TEXT(pizza_sales[[#This Row],[order_date]],"dddd")</f>
        <v>Sunday</v>
      </c>
      <c r="H2674" s="2">
        <v>0.71825231481481477</v>
      </c>
      <c r="I2674">
        <v>16</v>
      </c>
      <c r="J2674">
        <v>16</v>
      </c>
      <c r="K2674" t="s">
        <v>59</v>
      </c>
      <c r="L2674" t="s">
        <v>17</v>
      </c>
      <c r="M2674" t="s">
        <v>18</v>
      </c>
      <c r="N2674" t="s">
        <v>19</v>
      </c>
    </row>
    <row r="2675" spans="1:14" x14ac:dyDescent="0.25">
      <c r="A2675">
        <v>21742</v>
      </c>
      <c r="B2675">
        <v>9545</v>
      </c>
      <c r="C2675">
        <f>1/COUNTIF(B:B,pizza_sales[[#This Row],[order_id]])</f>
        <v>0.5</v>
      </c>
      <c r="D2675" t="s">
        <v>25</v>
      </c>
      <c r="E2675">
        <v>1</v>
      </c>
      <c r="F2675" s="1">
        <v>42253</v>
      </c>
      <c r="G2675" s="1" t="str">
        <f>TEXT(pizza_sales[[#This Row],[order_date]],"dddd")</f>
        <v>Sunday</v>
      </c>
      <c r="H2675" s="2">
        <v>0.71825231481481477</v>
      </c>
      <c r="I2675">
        <v>15.25</v>
      </c>
      <c r="J2675">
        <v>15.25</v>
      </c>
      <c r="K2675" t="s">
        <v>58</v>
      </c>
      <c r="L2675" t="s">
        <v>13</v>
      </c>
      <c r="M2675" t="s">
        <v>26</v>
      </c>
      <c r="N2675" t="s">
        <v>27</v>
      </c>
    </row>
    <row r="2676" spans="1:14" x14ac:dyDescent="0.25">
      <c r="A2676">
        <v>21744</v>
      </c>
      <c r="B2676">
        <v>9546</v>
      </c>
      <c r="C2676">
        <f>1/COUNTIF(B:B,pizza_sales[[#This Row],[order_id]])</f>
        <v>0.5</v>
      </c>
      <c r="D2676" t="s">
        <v>47</v>
      </c>
      <c r="E2676">
        <v>1</v>
      </c>
      <c r="F2676" s="1">
        <v>42253</v>
      </c>
      <c r="G2676" s="1" t="str">
        <f>TEXT(pizza_sales[[#This Row],[order_date]],"dddd")</f>
        <v>Sunday</v>
      </c>
      <c r="H2676" s="2">
        <v>0.72256944444444449</v>
      </c>
      <c r="I2676">
        <v>16.5</v>
      </c>
      <c r="J2676">
        <v>16.5</v>
      </c>
      <c r="K2676" t="s">
        <v>58</v>
      </c>
      <c r="L2676" t="s">
        <v>13</v>
      </c>
      <c r="M2676" t="s">
        <v>14</v>
      </c>
      <c r="N2676" t="s">
        <v>15</v>
      </c>
    </row>
    <row r="2677" spans="1:14" x14ac:dyDescent="0.25">
      <c r="A2677">
        <v>21745</v>
      </c>
      <c r="B2677">
        <v>9546</v>
      </c>
      <c r="C2677">
        <f>1/COUNTIF(B:B,pizza_sales[[#This Row],[order_id]])</f>
        <v>0.5</v>
      </c>
      <c r="D2677" t="s">
        <v>44</v>
      </c>
      <c r="E2677">
        <v>1</v>
      </c>
      <c r="F2677" s="1">
        <v>42253</v>
      </c>
      <c r="G2677" s="1" t="str">
        <f>TEXT(pizza_sales[[#This Row],[order_date]],"dddd")</f>
        <v>Sunday</v>
      </c>
      <c r="H2677" s="2">
        <v>0.72256944444444449</v>
      </c>
      <c r="I2677">
        <v>9.75</v>
      </c>
      <c r="J2677">
        <v>9.75</v>
      </c>
      <c r="K2677" t="s">
        <v>60</v>
      </c>
      <c r="L2677" t="s">
        <v>13</v>
      </c>
      <c r="M2677" t="s">
        <v>26</v>
      </c>
      <c r="N2677" t="s">
        <v>27</v>
      </c>
    </row>
    <row r="2678" spans="1:14" x14ac:dyDescent="0.25">
      <c r="A2678">
        <v>21747</v>
      </c>
      <c r="B2678">
        <v>9547</v>
      </c>
      <c r="C2678">
        <f>1/COUNTIF(B:B,pizza_sales[[#This Row],[order_id]])</f>
        <v>1</v>
      </c>
      <c r="D2678" t="s">
        <v>47</v>
      </c>
      <c r="E2678">
        <v>1</v>
      </c>
      <c r="F2678" s="1">
        <v>42253</v>
      </c>
      <c r="G2678" s="1" t="str">
        <f>TEXT(pizza_sales[[#This Row],[order_date]],"dddd")</f>
        <v>Sunday</v>
      </c>
      <c r="H2678" s="2">
        <v>0.72858796296296291</v>
      </c>
      <c r="I2678">
        <v>16.5</v>
      </c>
      <c r="J2678">
        <v>16.5</v>
      </c>
      <c r="K2678" t="s">
        <v>58</v>
      </c>
      <c r="L2678" t="s">
        <v>13</v>
      </c>
      <c r="M2678" t="s">
        <v>14</v>
      </c>
      <c r="N2678" t="s">
        <v>15</v>
      </c>
    </row>
    <row r="2679" spans="1:14" x14ac:dyDescent="0.25">
      <c r="A2679">
        <v>21750</v>
      </c>
      <c r="B2679">
        <v>9549</v>
      </c>
      <c r="C2679">
        <f>1/COUNTIF(B:B,pizza_sales[[#This Row],[order_id]])</f>
        <v>0.5</v>
      </c>
      <c r="D2679" t="s">
        <v>28</v>
      </c>
      <c r="E2679">
        <v>1</v>
      </c>
      <c r="F2679" s="1">
        <v>42253</v>
      </c>
      <c r="G2679" s="1" t="str">
        <f>TEXT(pizza_sales[[#This Row],[order_date]],"dddd")</f>
        <v>Sunday</v>
      </c>
      <c r="H2679" s="2">
        <v>0.74145833333333333</v>
      </c>
      <c r="I2679">
        <v>12</v>
      </c>
      <c r="J2679">
        <v>12</v>
      </c>
      <c r="K2679" t="s">
        <v>60</v>
      </c>
      <c r="L2679" t="s">
        <v>13</v>
      </c>
      <c r="M2679" t="s">
        <v>29</v>
      </c>
      <c r="N2679" t="s">
        <v>30</v>
      </c>
    </row>
    <row r="2680" spans="1:14" x14ac:dyDescent="0.25">
      <c r="A2680">
        <v>21752</v>
      </c>
      <c r="B2680">
        <v>9549</v>
      </c>
      <c r="C2680">
        <f>1/COUNTIF(B:B,pizza_sales[[#This Row],[order_id]])</f>
        <v>0.5</v>
      </c>
      <c r="D2680" t="s">
        <v>38</v>
      </c>
      <c r="E2680">
        <v>1</v>
      </c>
      <c r="F2680" s="1">
        <v>42253</v>
      </c>
      <c r="G2680" s="1" t="str">
        <f>TEXT(pizza_sales[[#This Row],[order_date]],"dddd")</f>
        <v>Sunday</v>
      </c>
      <c r="H2680" s="2">
        <v>0.74145833333333333</v>
      </c>
      <c r="I2680">
        <v>20.5</v>
      </c>
      <c r="J2680">
        <v>20.5</v>
      </c>
      <c r="K2680" t="s">
        <v>58</v>
      </c>
      <c r="L2680" t="s">
        <v>13</v>
      </c>
      <c r="M2680" t="s">
        <v>32</v>
      </c>
      <c r="N2680" t="s">
        <v>33</v>
      </c>
    </row>
    <row r="2681" spans="1:14" x14ac:dyDescent="0.25">
      <c r="A2681">
        <v>21757</v>
      </c>
      <c r="B2681">
        <v>9551</v>
      </c>
      <c r="C2681">
        <f>1/COUNTIF(B:B,pizza_sales[[#This Row],[order_id]])</f>
        <v>1</v>
      </c>
      <c r="D2681" t="s">
        <v>38</v>
      </c>
      <c r="E2681">
        <v>1</v>
      </c>
      <c r="F2681" s="1">
        <v>42253</v>
      </c>
      <c r="G2681" s="1" t="str">
        <f>TEXT(pizza_sales[[#This Row],[order_date]],"dddd")</f>
        <v>Sunday</v>
      </c>
      <c r="H2681" s="2">
        <v>0.76508101851851851</v>
      </c>
      <c r="I2681">
        <v>20.5</v>
      </c>
      <c r="J2681">
        <v>20.5</v>
      </c>
      <c r="K2681" t="s">
        <v>58</v>
      </c>
      <c r="L2681" t="s">
        <v>13</v>
      </c>
      <c r="M2681" t="s">
        <v>32</v>
      </c>
      <c r="N2681" t="s">
        <v>33</v>
      </c>
    </row>
    <row r="2682" spans="1:14" x14ac:dyDescent="0.25">
      <c r="A2682">
        <v>21764</v>
      </c>
      <c r="B2682">
        <v>9554</v>
      </c>
      <c r="C2682">
        <f>1/COUNTIF(B:B,pizza_sales[[#This Row],[order_id]])</f>
        <v>0.33333333333333331</v>
      </c>
      <c r="D2682" t="s">
        <v>28</v>
      </c>
      <c r="E2682">
        <v>1</v>
      </c>
      <c r="F2682" s="1">
        <v>42253</v>
      </c>
      <c r="G2682" s="1" t="str">
        <f>TEXT(pizza_sales[[#This Row],[order_date]],"dddd")</f>
        <v>Sunday</v>
      </c>
      <c r="H2682" s="2">
        <v>0.79101851851851857</v>
      </c>
      <c r="I2682">
        <v>12</v>
      </c>
      <c r="J2682">
        <v>12</v>
      </c>
      <c r="K2682" t="s">
        <v>60</v>
      </c>
      <c r="L2682" t="s">
        <v>13</v>
      </c>
      <c r="M2682" t="s">
        <v>29</v>
      </c>
      <c r="N2682" t="s">
        <v>30</v>
      </c>
    </row>
    <row r="2683" spans="1:14" x14ac:dyDescent="0.25">
      <c r="A2683">
        <v>21765</v>
      </c>
      <c r="B2683">
        <v>9554</v>
      </c>
      <c r="C2683">
        <f>1/COUNTIF(B:B,pizza_sales[[#This Row],[order_id]])</f>
        <v>0.33333333333333331</v>
      </c>
      <c r="D2683" t="s">
        <v>38</v>
      </c>
      <c r="E2683">
        <v>1</v>
      </c>
      <c r="F2683" s="1">
        <v>42253</v>
      </c>
      <c r="G2683" s="1" t="str">
        <f>TEXT(pizza_sales[[#This Row],[order_date]],"dddd")</f>
        <v>Sunday</v>
      </c>
      <c r="H2683" s="2">
        <v>0.79101851851851857</v>
      </c>
      <c r="I2683">
        <v>20.5</v>
      </c>
      <c r="J2683">
        <v>20.5</v>
      </c>
      <c r="K2683" t="s">
        <v>58</v>
      </c>
      <c r="L2683" t="s">
        <v>13</v>
      </c>
      <c r="M2683" t="s">
        <v>32</v>
      </c>
      <c r="N2683" t="s">
        <v>33</v>
      </c>
    </row>
    <row r="2684" spans="1:14" x14ac:dyDescent="0.25">
      <c r="A2684">
        <v>21766</v>
      </c>
      <c r="B2684">
        <v>9554</v>
      </c>
      <c r="C2684">
        <f>1/COUNTIF(B:B,pizza_sales[[#This Row],[order_id]])</f>
        <v>0.33333333333333331</v>
      </c>
      <c r="D2684" t="s">
        <v>31</v>
      </c>
      <c r="E2684">
        <v>1</v>
      </c>
      <c r="F2684" s="1">
        <v>42253</v>
      </c>
      <c r="G2684" s="1" t="str">
        <f>TEXT(pizza_sales[[#This Row],[order_date]],"dddd")</f>
        <v>Sunday</v>
      </c>
      <c r="H2684" s="2">
        <v>0.79101851851851857</v>
      </c>
      <c r="I2684">
        <v>12</v>
      </c>
      <c r="J2684">
        <v>12</v>
      </c>
      <c r="K2684" t="s">
        <v>60</v>
      </c>
      <c r="L2684" t="s">
        <v>13</v>
      </c>
      <c r="M2684" t="s">
        <v>32</v>
      </c>
      <c r="N2684" t="s">
        <v>33</v>
      </c>
    </row>
    <row r="2685" spans="1:14" x14ac:dyDescent="0.25">
      <c r="A2685">
        <v>21770</v>
      </c>
      <c r="B2685">
        <v>9556</v>
      </c>
      <c r="C2685">
        <f>1/COUNTIF(B:B,pizza_sales[[#This Row],[order_id]])</f>
        <v>1</v>
      </c>
      <c r="D2685" t="s">
        <v>24</v>
      </c>
      <c r="E2685">
        <v>1</v>
      </c>
      <c r="F2685" s="1">
        <v>42253</v>
      </c>
      <c r="G2685" s="1" t="str">
        <f>TEXT(pizza_sales[[#This Row],[order_date]],"dddd")</f>
        <v>Sunday</v>
      </c>
      <c r="H2685" s="2">
        <v>0.80521990740740745</v>
      </c>
      <c r="I2685">
        <v>20.25</v>
      </c>
      <c r="J2685">
        <v>20.25</v>
      </c>
      <c r="K2685" t="s">
        <v>58</v>
      </c>
      <c r="L2685" t="s">
        <v>17</v>
      </c>
      <c r="M2685" t="s">
        <v>18</v>
      </c>
      <c r="N2685" t="s">
        <v>19</v>
      </c>
    </row>
    <row r="2686" spans="1:14" x14ac:dyDescent="0.25">
      <c r="A2686">
        <v>21775</v>
      </c>
      <c r="B2686">
        <v>9558</v>
      </c>
      <c r="C2686">
        <f>1/COUNTIF(B:B,pizza_sales[[#This Row],[order_id]])</f>
        <v>1</v>
      </c>
      <c r="D2686" t="s">
        <v>51</v>
      </c>
      <c r="E2686">
        <v>1</v>
      </c>
      <c r="F2686" s="1">
        <v>42253</v>
      </c>
      <c r="G2686" s="1" t="str">
        <f>TEXT(pizza_sales[[#This Row],[order_date]],"dddd")</f>
        <v>Sunday</v>
      </c>
      <c r="H2686" s="2">
        <v>0.81061342592592589</v>
      </c>
      <c r="I2686">
        <v>23.65</v>
      </c>
      <c r="J2686">
        <v>23.65</v>
      </c>
      <c r="K2686" t="s">
        <v>60</v>
      </c>
      <c r="L2686" t="s">
        <v>35</v>
      </c>
      <c r="M2686" t="s">
        <v>52</v>
      </c>
      <c r="N2686" t="s">
        <v>53</v>
      </c>
    </row>
    <row r="2687" spans="1:14" x14ac:dyDescent="0.25">
      <c r="A2687">
        <v>21787</v>
      </c>
      <c r="B2687">
        <v>9563</v>
      </c>
      <c r="C2687">
        <f>1/COUNTIF(B:B,pizza_sales[[#This Row],[order_id]])</f>
        <v>1</v>
      </c>
      <c r="D2687" t="s">
        <v>34</v>
      </c>
      <c r="E2687">
        <v>1</v>
      </c>
      <c r="F2687" s="1">
        <v>42253</v>
      </c>
      <c r="G2687" s="1" t="str">
        <f>TEXT(pizza_sales[[#This Row],[order_date]],"dddd")</f>
        <v>Sunday</v>
      </c>
      <c r="H2687" s="2">
        <v>0.86274305555555553</v>
      </c>
      <c r="I2687">
        <v>16.25</v>
      </c>
      <c r="J2687">
        <v>16.25</v>
      </c>
      <c r="K2687" t="s">
        <v>59</v>
      </c>
      <c r="L2687" t="s">
        <v>35</v>
      </c>
      <c r="M2687" t="s">
        <v>36</v>
      </c>
      <c r="N2687" t="s">
        <v>37</v>
      </c>
    </row>
    <row r="2688" spans="1:14" x14ac:dyDescent="0.25">
      <c r="A2688">
        <v>21790</v>
      </c>
      <c r="B2688">
        <v>9564</v>
      </c>
      <c r="C2688">
        <f>1/COUNTIF(B:B,pizza_sales[[#This Row],[order_id]])</f>
        <v>1</v>
      </c>
      <c r="D2688" t="s">
        <v>47</v>
      </c>
      <c r="E2688">
        <v>1</v>
      </c>
      <c r="F2688" s="1">
        <v>42253</v>
      </c>
      <c r="G2688" s="1" t="str">
        <f>TEXT(pizza_sales[[#This Row],[order_date]],"dddd")</f>
        <v>Sunday</v>
      </c>
      <c r="H2688" s="2">
        <v>0.87041666666666662</v>
      </c>
      <c r="I2688">
        <v>16.5</v>
      </c>
      <c r="J2688">
        <v>16.5</v>
      </c>
      <c r="K2688" t="s">
        <v>58</v>
      </c>
      <c r="L2688" t="s">
        <v>13</v>
      </c>
      <c r="M2688" t="s">
        <v>14</v>
      </c>
      <c r="N2688" t="s">
        <v>15</v>
      </c>
    </row>
    <row r="2689" spans="1:14" x14ac:dyDescent="0.25">
      <c r="A2689">
        <v>21792</v>
      </c>
      <c r="B2689">
        <v>9565</v>
      </c>
      <c r="C2689">
        <f>1/COUNTIF(B:B,pizza_sales[[#This Row],[order_id]])</f>
        <v>1</v>
      </c>
      <c r="D2689" t="s">
        <v>43</v>
      </c>
      <c r="E2689">
        <v>1</v>
      </c>
      <c r="F2689" s="1">
        <v>42253</v>
      </c>
      <c r="G2689" s="1" t="str">
        <f>TEXT(pizza_sales[[#This Row],[order_date]],"dddd")</f>
        <v>Sunday</v>
      </c>
      <c r="H2689" s="2">
        <v>0.87378472222222225</v>
      </c>
      <c r="I2689">
        <v>16.25</v>
      </c>
      <c r="J2689">
        <v>16.25</v>
      </c>
      <c r="K2689" t="s">
        <v>59</v>
      </c>
      <c r="L2689" t="s">
        <v>35</v>
      </c>
      <c r="M2689" t="s">
        <v>40</v>
      </c>
      <c r="N2689" t="s">
        <v>41</v>
      </c>
    </row>
    <row r="2690" spans="1:14" x14ac:dyDescent="0.25">
      <c r="A2690">
        <v>21794</v>
      </c>
      <c r="B2690">
        <v>9566</v>
      </c>
      <c r="C2690">
        <f>1/COUNTIF(B:B,pizza_sales[[#This Row],[order_id]])</f>
        <v>1</v>
      </c>
      <c r="D2690" t="s">
        <v>43</v>
      </c>
      <c r="E2690">
        <v>1</v>
      </c>
      <c r="F2690" s="1">
        <v>42253</v>
      </c>
      <c r="G2690" s="1" t="str">
        <f>TEXT(pizza_sales[[#This Row],[order_date]],"dddd")</f>
        <v>Sunday</v>
      </c>
      <c r="H2690" s="2">
        <v>0.87769675925925927</v>
      </c>
      <c r="I2690">
        <v>16.25</v>
      </c>
      <c r="J2690">
        <v>16.25</v>
      </c>
      <c r="K2690" t="s">
        <v>59</v>
      </c>
      <c r="L2690" t="s">
        <v>35</v>
      </c>
      <c r="M2690" t="s">
        <v>40</v>
      </c>
      <c r="N2690" t="s">
        <v>41</v>
      </c>
    </row>
    <row r="2691" spans="1:14" x14ac:dyDescent="0.25">
      <c r="A2691">
        <v>21802</v>
      </c>
      <c r="B2691">
        <v>9572</v>
      </c>
      <c r="C2691">
        <f>1/COUNTIF(B:B,pizza_sales[[#This Row],[order_id]])</f>
        <v>0.5</v>
      </c>
      <c r="D2691" t="s">
        <v>28</v>
      </c>
      <c r="E2691">
        <v>1</v>
      </c>
      <c r="F2691" s="1">
        <v>42283</v>
      </c>
      <c r="G2691" s="1" t="str">
        <f>TEXT(pizza_sales[[#This Row],[order_date]],"dddd")</f>
        <v>Tuesday</v>
      </c>
      <c r="H2691" s="2">
        <v>0.50091435185185185</v>
      </c>
      <c r="I2691">
        <v>12</v>
      </c>
      <c r="J2691">
        <v>12</v>
      </c>
      <c r="K2691" t="s">
        <v>60</v>
      </c>
      <c r="L2691" t="s">
        <v>13</v>
      </c>
      <c r="M2691" t="s">
        <v>29</v>
      </c>
      <c r="N2691" t="s">
        <v>30</v>
      </c>
    </row>
    <row r="2692" spans="1:14" x14ac:dyDescent="0.25">
      <c r="A2692">
        <v>21805</v>
      </c>
      <c r="B2692">
        <v>9572</v>
      </c>
      <c r="C2692">
        <f>1/COUNTIF(B:B,pizza_sales[[#This Row],[order_id]])</f>
        <v>0.5</v>
      </c>
      <c r="D2692" t="s">
        <v>48</v>
      </c>
      <c r="E2692">
        <v>1</v>
      </c>
      <c r="F2692" s="1">
        <v>42283</v>
      </c>
      <c r="G2692" s="1" t="str">
        <f>TEXT(pizza_sales[[#This Row],[order_date]],"dddd")</f>
        <v>Tuesday</v>
      </c>
      <c r="H2692" s="2">
        <v>0.50091435185185185</v>
      </c>
      <c r="I2692">
        <v>12.25</v>
      </c>
      <c r="J2692">
        <v>12.25</v>
      </c>
      <c r="K2692" t="s">
        <v>60</v>
      </c>
      <c r="L2692" t="s">
        <v>35</v>
      </c>
      <c r="M2692" t="s">
        <v>40</v>
      </c>
      <c r="N2692" t="s">
        <v>41</v>
      </c>
    </row>
    <row r="2693" spans="1:14" x14ac:dyDescent="0.25">
      <c r="A2693">
        <v>21806</v>
      </c>
      <c r="B2693">
        <v>9573</v>
      </c>
      <c r="C2693">
        <f>1/COUNTIF(B:B,pizza_sales[[#This Row],[order_id]])</f>
        <v>0.5</v>
      </c>
      <c r="D2693" t="s">
        <v>56</v>
      </c>
      <c r="E2693">
        <v>1</v>
      </c>
      <c r="F2693" s="1">
        <v>42283</v>
      </c>
      <c r="G2693" s="1" t="str">
        <f>TEXT(pizza_sales[[#This Row],[order_date]],"dddd")</f>
        <v>Tuesday</v>
      </c>
      <c r="H2693" s="2">
        <v>0.50416666666666665</v>
      </c>
      <c r="I2693">
        <v>20.25</v>
      </c>
      <c r="J2693">
        <v>20.25</v>
      </c>
      <c r="K2693" t="s">
        <v>58</v>
      </c>
      <c r="L2693" t="s">
        <v>35</v>
      </c>
      <c r="M2693" t="s">
        <v>36</v>
      </c>
      <c r="N2693" t="s">
        <v>37</v>
      </c>
    </row>
    <row r="2694" spans="1:14" x14ac:dyDescent="0.25">
      <c r="A2694">
        <v>21808</v>
      </c>
      <c r="B2694">
        <v>9573</v>
      </c>
      <c r="C2694">
        <f>1/COUNTIF(B:B,pizza_sales[[#This Row],[order_id]])</f>
        <v>0.5</v>
      </c>
      <c r="D2694" t="s">
        <v>42</v>
      </c>
      <c r="E2694">
        <v>1</v>
      </c>
      <c r="F2694" s="1">
        <v>42283</v>
      </c>
      <c r="G2694" s="1" t="str">
        <f>TEXT(pizza_sales[[#This Row],[order_date]],"dddd")</f>
        <v>Tuesday</v>
      </c>
      <c r="H2694" s="2">
        <v>0.50416666666666665</v>
      </c>
      <c r="I2694">
        <v>12.5</v>
      </c>
      <c r="J2694">
        <v>12.5</v>
      </c>
      <c r="K2694" t="s">
        <v>59</v>
      </c>
      <c r="L2694" t="s">
        <v>13</v>
      </c>
      <c r="M2694" t="s">
        <v>26</v>
      </c>
      <c r="N2694" t="s">
        <v>27</v>
      </c>
    </row>
    <row r="2695" spans="1:14" x14ac:dyDescent="0.25">
      <c r="A2695">
        <v>21814</v>
      </c>
      <c r="B2695">
        <v>9575</v>
      </c>
      <c r="C2695">
        <f>1/COUNTIF(B:B,pizza_sales[[#This Row],[order_id]])</f>
        <v>0.33333333333333331</v>
      </c>
      <c r="D2695" t="s">
        <v>28</v>
      </c>
      <c r="E2695">
        <v>3</v>
      </c>
      <c r="F2695" s="1">
        <v>42283</v>
      </c>
      <c r="G2695" s="1" t="str">
        <f>TEXT(pizza_sales[[#This Row],[order_date]],"dddd")</f>
        <v>Tuesday</v>
      </c>
      <c r="H2695" s="2">
        <v>0.51415509259259262</v>
      </c>
      <c r="I2695">
        <v>12</v>
      </c>
      <c r="J2695">
        <v>36</v>
      </c>
      <c r="K2695" t="s">
        <v>60</v>
      </c>
      <c r="L2695" t="s">
        <v>13</v>
      </c>
      <c r="M2695" t="s">
        <v>29</v>
      </c>
      <c r="N2695" t="s">
        <v>30</v>
      </c>
    </row>
    <row r="2696" spans="1:14" x14ac:dyDescent="0.25">
      <c r="A2696">
        <v>21818</v>
      </c>
      <c r="B2696">
        <v>9575</v>
      </c>
      <c r="C2696">
        <f>1/COUNTIF(B:B,pizza_sales[[#This Row],[order_id]])</f>
        <v>0.33333333333333331</v>
      </c>
      <c r="D2696" t="s">
        <v>45</v>
      </c>
      <c r="E2696">
        <v>1</v>
      </c>
      <c r="F2696" s="1">
        <v>42283</v>
      </c>
      <c r="G2696" s="1" t="str">
        <f>TEXT(pizza_sales[[#This Row],[order_date]],"dddd")</f>
        <v>Tuesday</v>
      </c>
      <c r="H2696" s="2">
        <v>0.51415509259259262</v>
      </c>
      <c r="I2696">
        <v>10.5</v>
      </c>
      <c r="J2696">
        <v>10.5</v>
      </c>
      <c r="K2696" t="s">
        <v>60</v>
      </c>
      <c r="L2696" t="s">
        <v>13</v>
      </c>
      <c r="M2696" t="s">
        <v>14</v>
      </c>
      <c r="N2696" t="s">
        <v>15</v>
      </c>
    </row>
    <row r="2697" spans="1:14" x14ac:dyDescent="0.25">
      <c r="A2697">
        <v>21821</v>
      </c>
      <c r="B2697">
        <v>9575</v>
      </c>
      <c r="C2697">
        <f>1/COUNTIF(B:B,pizza_sales[[#This Row],[order_id]])</f>
        <v>0.33333333333333331</v>
      </c>
      <c r="D2697" t="s">
        <v>48</v>
      </c>
      <c r="E2697">
        <v>1</v>
      </c>
      <c r="F2697" s="1">
        <v>42283</v>
      </c>
      <c r="G2697" s="1" t="str">
        <f>TEXT(pizza_sales[[#This Row],[order_date]],"dddd")</f>
        <v>Tuesday</v>
      </c>
      <c r="H2697" s="2">
        <v>0.51415509259259262</v>
      </c>
      <c r="I2697">
        <v>12.25</v>
      </c>
      <c r="J2697">
        <v>12.25</v>
      </c>
      <c r="K2697" t="s">
        <v>60</v>
      </c>
      <c r="L2697" t="s">
        <v>35</v>
      </c>
      <c r="M2697" t="s">
        <v>40</v>
      </c>
      <c r="N2697" t="s">
        <v>41</v>
      </c>
    </row>
    <row r="2698" spans="1:14" x14ac:dyDescent="0.25">
      <c r="A2698">
        <v>21826</v>
      </c>
      <c r="B2698">
        <v>9576</v>
      </c>
      <c r="C2698">
        <f>1/COUNTIF(B:B,pizza_sales[[#This Row],[order_id]])</f>
        <v>1</v>
      </c>
      <c r="D2698" t="s">
        <v>47</v>
      </c>
      <c r="E2698">
        <v>1</v>
      </c>
      <c r="F2698" s="1">
        <v>42283</v>
      </c>
      <c r="G2698" s="1" t="str">
        <f>TEXT(pizza_sales[[#This Row],[order_date]],"dddd")</f>
        <v>Tuesday</v>
      </c>
      <c r="H2698" s="2">
        <v>0.51894675925925926</v>
      </c>
      <c r="I2698">
        <v>16.5</v>
      </c>
      <c r="J2698">
        <v>16.5</v>
      </c>
      <c r="K2698" t="s">
        <v>58</v>
      </c>
      <c r="L2698" t="s">
        <v>13</v>
      </c>
      <c r="M2698" t="s">
        <v>14</v>
      </c>
      <c r="N2698" t="s">
        <v>15</v>
      </c>
    </row>
    <row r="2699" spans="1:14" x14ac:dyDescent="0.25">
      <c r="A2699">
        <v>21833</v>
      </c>
      <c r="B2699">
        <v>9580</v>
      </c>
      <c r="C2699">
        <f>1/COUNTIF(B:B,pizza_sales[[#This Row],[order_id]])</f>
        <v>1</v>
      </c>
      <c r="D2699" t="s">
        <v>55</v>
      </c>
      <c r="E2699">
        <v>1</v>
      </c>
      <c r="F2699" s="1">
        <v>42283</v>
      </c>
      <c r="G2699" s="1" t="str">
        <f>TEXT(pizza_sales[[#This Row],[order_date]],"dddd")</f>
        <v>Tuesday</v>
      </c>
      <c r="H2699" s="2">
        <v>0.53112268518518524</v>
      </c>
      <c r="I2699">
        <v>20.5</v>
      </c>
      <c r="J2699">
        <v>20.5</v>
      </c>
      <c r="K2699" t="s">
        <v>58</v>
      </c>
      <c r="L2699" t="s">
        <v>13</v>
      </c>
      <c r="M2699" t="s">
        <v>21</v>
      </c>
      <c r="N2699" t="s">
        <v>22</v>
      </c>
    </row>
    <row r="2700" spans="1:14" x14ac:dyDescent="0.25">
      <c r="A2700">
        <v>21843</v>
      </c>
      <c r="B2700">
        <v>9585</v>
      </c>
      <c r="C2700">
        <f>1/COUNTIF(B:B,pizza_sales[[#This Row],[order_id]])</f>
        <v>1</v>
      </c>
      <c r="D2700" t="s">
        <v>24</v>
      </c>
      <c r="E2700">
        <v>1</v>
      </c>
      <c r="F2700" s="1">
        <v>42283</v>
      </c>
      <c r="G2700" s="1" t="str">
        <f>TEXT(pizza_sales[[#This Row],[order_date]],"dddd")</f>
        <v>Tuesday</v>
      </c>
      <c r="H2700" s="2">
        <v>0.54834490740740738</v>
      </c>
      <c r="I2700">
        <v>20.25</v>
      </c>
      <c r="J2700">
        <v>20.25</v>
      </c>
      <c r="K2700" t="s">
        <v>58</v>
      </c>
      <c r="L2700" t="s">
        <v>17</v>
      </c>
      <c r="M2700" t="s">
        <v>18</v>
      </c>
      <c r="N2700" t="s">
        <v>19</v>
      </c>
    </row>
    <row r="2701" spans="1:14" x14ac:dyDescent="0.25">
      <c r="A2701">
        <v>21846</v>
      </c>
      <c r="B2701">
        <v>9588</v>
      </c>
      <c r="C2701">
        <f>1/COUNTIF(B:B,pizza_sales[[#This Row],[order_id]])</f>
        <v>0.33333333333333331</v>
      </c>
      <c r="D2701" t="s">
        <v>34</v>
      </c>
      <c r="E2701">
        <v>2</v>
      </c>
      <c r="F2701" s="1">
        <v>42283</v>
      </c>
      <c r="G2701" s="1" t="str">
        <f>TEXT(pizza_sales[[#This Row],[order_date]],"dddd")</f>
        <v>Tuesday</v>
      </c>
      <c r="H2701" s="2">
        <v>0.55550925925925931</v>
      </c>
      <c r="I2701">
        <v>16.25</v>
      </c>
      <c r="J2701">
        <v>32.5</v>
      </c>
      <c r="K2701" t="s">
        <v>59</v>
      </c>
      <c r="L2701" t="s">
        <v>35</v>
      </c>
      <c r="M2701" t="s">
        <v>36</v>
      </c>
      <c r="N2701" t="s">
        <v>37</v>
      </c>
    </row>
    <row r="2702" spans="1:14" x14ac:dyDescent="0.25">
      <c r="A2702">
        <v>21848</v>
      </c>
      <c r="B2702">
        <v>9588</v>
      </c>
      <c r="C2702">
        <f>1/COUNTIF(B:B,pizza_sales[[#This Row],[order_id]])</f>
        <v>0.33333333333333331</v>
      </c>
      <c r="D2702" t="s">
        <v>44</v>
      </c>
      <c r="E2702">
        <v>1</v>
      </c>
      <c r="F2702" s="1">
        <v>42283</v>
      </c>
      <c r="G2702" s="1" t="str">
        <f>TEXT(pizza_sales[[#This Row],[order_date]],"dddd")</f>
        <v>Tuesday</v>
      </c>
      <c r="H2702" s="2">
        <v>0.55550925925925931</v>
      </c>
      <c r="I2702">
        <v>9.75</v>
      </c>
      <c r="J2702">
        <v>9.75</v>
      </c>
      <c r="K2702" t="s">
        <v>60</v>
      </c>
      <c r="L2702" t="s">
        <v>13</v>
      </c>
      <c r="M2702" t="s">
        <v>26</v>
      </c>
      <c r="N2702" t="s">
        <v>27</v>
      </c>
    </row>
    <row r="2703" spans="1:14" x14ac:dyDescent="0.25">
      <c r="A2703">
        <v>21852</v>
      </c>
      <c r="B2703">
        <v>9588</v>
      </c>
      <c r="C2703">
        <f>1/COUNTIF(B:B,pizza_sales[[#This Row],[order_id]])</f>
        <v>0.33333333333333331</v>
      </c>
      <c r="D2703" t="s">
        <v>39</v>
      </c>
      <c r="E2703">
        <v>1</v>
      </c>
      <c r="F2703" s="1">
        <v>42283</v>
      </c>
      <c r="G2703" s="1" t="str">
        <f>TEXT(pizza_sales[[#This Row],[order_date]],"dddd")</f>
        <v>Tuesday</v>
      </c>
      <c r="H2703" s="2">
        <v>0.55550925925925931</v>
      </c>
      <c r="I2703">
        <v>20.25</v>
      </c>
      <c r="J2703">
        <v>20.25</v>
      </c>
      <c r="K2703" t="s">
        <v>58</v>
      </c>
      <c r="L2703" t="s">
        <v>35</v>
      </c>
      <c r="M2703" t="s">
        <v>40</v>
      </c>
      <c r="N2703" t="s">
        <v>41</v>
      </c>
    </row>
    <row r="2704" spans="1:14" x14ac:dyDescent="0.25">
      <c r="A2704">
        <v>21853</v>
      </c>
      <c r="B2704">
        <v>9589</v>
      </c>
      <c r="C2704">
        <f>1/COUNTIF(B:B,pizza_sales[[#This Row],[order_id]])</f>
        <v>1</v>
      </c>
      <c r="D2704" t="s">
        <v>45</v>
      </c>
      <c r="E2704">
        <v>1</v>
      </c>
      <c r="F2704" s="1">
        <v>42283</v>
      </c>
      <c r="G2704" s="1" t="str">
        <f>TEXT(pizza_sales[[#This Row],[order_date]],"dddd")</f>
        <v>Tuesday</v>
      </c>
      <c r="H2704" s="2">
        <v>0.5653125</v>
      </c>
      <c r="I2704">
        <v>10.5</v>
      </c>
      <c r="J2704">
        <v>10.5</v>
      </c>
      <c r="K2704" t="s">
        <v>60</v>
      </c>
      <c r="L2704" t="s">
        <v>13</v>
      </c>
      <c r="M2704" t="s">
        <v>14</v>
      </c>
      <c r="N2704" t="s">
        <v>15</v>
      </c>
    </row>
    <row r="2705" spans="1:14" x14ac:dyDescent="0.25">
      <c r="A2705">
        <v>21856</v>
      </c>
      <c r="B2705">
        <v>9592</v>
      </c>
      <c r="C2705">
        <f>1/COUNTIF(B:B,pizza_sales[[#This Row],[order_id]])</f>
        <v>0.5</v>
      </c>
      <c r="D2705" t="s">
        <v>28</v>
      </c>
      <c r="E2705">
        <v>1</v>
      </c>
      <c r="F2705" s="1">
        <v>42283</v>
      </c>
      <c r="G2705" s="1" t="str">
        <f>TEXT(pizza_sales[[#This Row],[order_date]],"dddd")</f>
        <v>Tuesday</v>
      </c>
      <c r="H2705" s="2">
        <v>0.59709490740740745</v>
      </c>
      <c r="I2705">
        <v>12</v>
      </c>
      <c r="J2705">
        <v>12</v>
      </c>
      <c r="K2705" t="s">
        <v>60</v>
      </c>
      <c r="L2705" t="s">
        <v>13</v>
      </c>
      <c r="M2705" t="s">
        <v>29</v>
      </c>
      <c r="N2705" t="s">
        <v>30</v>
      </c>
    </row>
    <row r="2706" spans="1:14" x14ac:dyDescent="0.25">
      <c r="A2706">
        <v>21857</v>
      </c>
      <c r="B2706">
        <v>9592</v>
      </c>
      <c r="C2706">
        <f>1/COUNTIF(B:B,pizza_sales[[#This Row],[order_id]])</f>
        <v>0.5</v>
      </c>
      <c r="D2706" t="s">
        <v>56</v>
      </c>
      <c r="E2706">
        <v>1</v>
      </c>
      <c r="F2706" s="1">
        <v>42283</v>
      </c>
      <c r="G2706" s="1" t="str">
        <f>TEXT(pizza_sales[[#This Row],[order_date]],"dddd")</f>
        <v>Tuesday</v>
      </c>
      <c r="H2706" s="2">
        <v>0.59709490740740745</v>
      </c>
      <c r="I2706">
        <v>20.25</v>
      </c>
      <c r="J2706">
        <v>20.25</v>
      </c>
      <c r="K2706" t="s">
        <v>58</v>
      </c>
      <c r="L2706" t="s">
        <v>35</v>
      </c>
      <c r="M2706" t="s">
        <v>36</v>
      </c>
      <c r="N2706" t="s">
        <v>37</v>
      </c>
    </row>
    <row r="2707" spans="1:14" x14ac:dyDescent="0.25">
      <c r="A2707">
        <v>21861</v>
      </c>
      <c r="B2707">
        <v>9595</v>
      </c>
      <c r="C2707">
        <f>1/COUNTIF(B:B,pizza_sales[[#This Row],[order_id]])</f>
        <v>1</v>
      </c>
      <c r="D2707" t="s">
        <v>54</v>
      </c>
      <c r="E2707">
        <v>1</v>
      </c>
      <c r="F2707" s="1">
        <v>42283</v>
      </c>
      <c r="G2707" s="1" t="str">
        <f>TEXT(pizza_sales[[#This Row],[order_date]],"dddd")</f>
        <v>Tuesday</v>
      </c>
      <c r="H2707" s="2">
        <v>0.64793981481481477</v>
      </c>
      <c r="I2707">
        <v>12.25</v>
      </c>
      <c r="J2707">
        <v>12.25</v>
      </c>
      <c r="K2707" t="s">
        <v>60</v>
      </c>
      <c r="L2707" t="s">
        <v>35</v>
      </c>
      <c r="M2707" t="s">
        <v>36</v>
      </c>
      <c r="N2707" t="s">
        <v>37</v>
      </c>
    </row>
    <row r="2708" spans="1:14" x14ac:dyDescent="0.25">
      <c r="A2708">
        <v>21864</v>
      </c>
      <c r="B2708">
        <v>9596</v>
      </c>
      <c r="C2708">
        <f>1/COUNTIF(B:B,pizza_sales[[#This Row],[order_id]])</f>
        <v>1</v>
      </c>
      <c r="D2708" t="s">
        <v>45</v>
      </c>
      <c r="E2708">
        <v>1</v>
      </c>
      <c r="F2708" s="1">
        <v>42283</v>
      </c>
      <c r="G2708" s="1" t="str">
        <f>TEXT(pizza_sales[[#This Row],[order_date]],"dddd")</f>
        <v>Tuesday</v>
      </c>
      <c r="H2708" s="2">
        <v>0.66371527777777772</v>
      </c>
      <c r="I2708">
        <v>10.5</v>
      </c>
      <c r="J2708">
        <v>10.5</v>
      </c>
      <c r="K2708" t="s">
        <v>60</v>
      </c>
      <c r="L2708" t="s">
        <v>13</v>
      </c>
      <c r="M2708" t="s">
        <v>14</v>
      </c>
      <c r="N2708" t="s">
        <v>15</v>
      </c>
    </row>
    <row r="2709" spans="1:14" x14ac:dyDescent="0.25">
      <c r="A2709">
        <v>21868</v>
      </c>
      <c r="B2709">
        <v>9598</v>
      </c>
      <c r="C2709">
        <f>1/COUNTIF(B:B,pizza_sales[[#This Row],[order_id]])</f>
        <v>1</v>
      </c>
      <c r="D2709" t="s">
        <v>12</v>
      </c>
      <c r="E2709">
        <v>1</v>
      </c>
      <c r="F2709" s="1">
        <v>42283</v>
      </c>
      <c r="G2709" s="1" t="str">
        <f>TEXT(pizza_sales[[#This Row],[order_date]],"dddd")</f>
        <v>Tuesday</v>
      </c>
      <c r="H2709" s="2">
        <v>0.6702893518518519</v>
      </c>
      <c r="I2709">
        <v>13.25</v>
      </c>
      <c r="J2709">
        <v>13.25</v>
      </c>
      <c r="K2709" t="s">
        <v>59</v>
      </c>
      <c r="L2709" t="s">
        <v>13</v>
      </c>
      <c r="M2709" t="s">
        <v>14</v>
      </c>
      <c r="N2709" t="s">
        <v>15</v>
      </c>
    </row>
    <row r="2710" spans="1:14" x14ac:dyDescent="0.25">
      <c r="A2710">
        <v>21871</v>
      </c>
      <c r="B2710">
        <v>9600</v>
      </c>
      <c r="C2710">
        <f>1/COUNTIF(B:B,pizza_sales[[#This Row],[order_id]])</f>
        <v>1</v>
      </c>
      <c r="D2710" t="s">
        <v>43</v>
      </c>
      <c r="E2710">
        <v>1</v>
      </c>
      <c r="F2710" s="1">
        <v>42283</v>
      </c>
      <c r="G2710" s="1" t="str">
        <f>TEXT(pizza_sales[[#This Row],[order_date]],"dddd")</f>
        <v>Tuesday</v>
      </c>
      <c r="H2710" s="2">
        <v>0.68633101851851852</v>
      </c>
      <c r="I2710">
        <v>16.25</v>
      </c>
      <c r="J2710">
        <v>16.25</v>
      </c>
      <c r="K2710" t="s">
        <v>59</v>
      </c>
      <c r="L2710" t="s">
        <v>35</v>
      </c>
      <c r="M2710" t="s">
        <v>40</v>
      </c>
      <c r="N2710" t="s">
        <v>41</v>
      </c>
    </row>
    <row r="2711" spans="1:14" x14ac:dyDescent="0.25">
      <c r="A2711">
        <v>21873</v>
      </c>
      <c r="B2711">
        <v>9602</v>
      </c>
      <c r="C2711">
        <f>1/COUNTIF(B:B,pizza_sales[[#This Row],[order_id]])</f>
        <v>1</v>
      </c>
      <c r="D2711" t="s">
        <v>34</v>
      </c>
      <c r="E2711">
        <v>1</v>
      </c>
      <c r="F2711" s="1">
        <v>42283</v>
      </c>
      <c r="G2711" s="1" t="str">
        <f>TEXT(pizza_sales[[#This Row],[order_date]],"dddd")</f>
        <v>Tuesday</v>
      </c>
      <c r="H2711" s="2">
        <v>0.71107638888888891</v>
      </c>
      <c r="I2711">
        <v>16.25</v>
      </c>
      <c r="J2711">
        <v>16.25</v>
      </c>
      <c r="K2711" t="s">
        <v>59</v>
      </c>
      <c r="L2711" t="s">
        <v>35</v>
      </c>
      <c r="M2711" t="s">
        <v>36</v>
      </c>
      <c r="N2711" t="s">
        <v>37</v>
      </c>
    </row>
    <row r="2712" spans="1:14" x14ac:dyDescent="0.25">
      <c r="A2712">
        <v>21876</v>
      </c>
      <c r="B2712">
        <v>9603</v>
      </c>
      <c r="C2712">
        <f>1/COUNTIF(B:B,pizza_sales[[#This Row],[order_id]])</f>
        <v>0.5</v>
      </c>
      <c r="D2712" t="s">
        <v>12</v>
      </c>
      <c r="E2712">
        <v>1</v>
      </c>
      <c r="F2712" s="1">
        <v>42283</v>
      </c>
      <c r="G2712" s="1" t="str">
        <f>TEXT(pizza_sales[[#This Row],[order_date]],"dddd")</f>
        <v>Tuesday</v>
      </c>
      <c r="H2712" s="2">
        <v>0.71916666666666662</v>
      </c>
      <c r="I2712">
        <v>13.25</v>
      </c>
      <c r="J2712">
        <v>13.25</v>
      </c>
      <c r="K2712" t="s">
        <v>59</v>
      </c>
      <c r="L2712" t="s">
        <v>13</v>
      </c>
      <c r="M2712" t="s">
        <v>14</v>
      </c>
      <c r="N2712" t="s">
        <v>15</v>
      </c>
    </row>
    <row r="2713" spans="1:14" x14ac:dyDescent="0.25">
      <c r="A2713">
        <v>21877</v>
      </c>
      <c r="B2713">
        <v>9603</v>
      </c>
      <c r="C2713">
        <f>1/COUNTIF(B:B,pizza_sales[[#This Row],[order_id]])</f>
        <v>0.5</v>
      </c>
      <c r="D2713" t="s">
        <v>46</v>
      </c>
      <c r="E2713">
        <v>1</v>
      </c>
      <c r="F2713" s="1">
        <v>42283</v>
      </c>
      <c r="G2713" s="1" t="str">
        <f>TEXT(pizza_sales[[#This Row],[order_date]],"dddd")</f>
        <v>Tuesday</v>
      </c>
      <c r="H2713" s="2">
        <v>0.71916666666666662</v>
      </c>
      <c r="I2713">
        <v>25.5</v>
      </c>
      <c r="J2713">
        <v>25.5</v>
      </c>
      <c r="K2713" t="s">
        <v>61</v>
      </c>
      <c r="L2713" t="s">
        <v>13</v>
      </c>
      <c r="M2713" t="s">
        <v>21</v>
      </c>
      <c r="N2713" t="s">
        <v>22</v>
      </c>
    </row>
    <row r="2714" spans="1:14" x14ac:dyDescent="0.25">
      <c r="A2714">
        <v>21879</v>
      </c>
      <c r="B2714">
        <v>9605</v>
      </c>
      <c r="C2714">
        <f>1/COUNTIF(B:B,pizza_sales[[#This Row],[order_id]])</f>
        <v>1</v>
      </c>
      <c r="D2714" t="s">
        <v>48</v>
      </c>
      <c r="E2714">
        <v>1</v>
      </c>
      <c r="F2714" s="1">
        <v>42283</v>
      </c>
      <c r="G2714" s="1" t="str">
        <f>TEXT(pizza_sales[[#This Row],[order_date]],"dddd")</f>
        <v>Tuesday</v>
      </c>
      <c r="H2714" s="2">
        <v>0.7321064814814815</v>
      </c>
      <c r="I2714">
        <v>12.25</v>
      </c>
      <c r="J2714">
        <v>12.25</v>
      </c>
      <c r="K2714" t="s">
        <v>60</v>
      </c>
      <c r="L2714" t="s">
        <v>35</v>
      </c>
      <c r="M2714" t="s">
        <v>40</v>
      </c>
      <c r="N2714" t="s">
        <v>41</v>
      </c>
    </row>
    <row r="2715" spans="1:14" x14ac:dyDescent="0.25">
      <c r="A2715">
        <v>21883</v>
      </c>
      <c r="B2715">
        <v>9607</v>
      </c>
      <c r="C2715">
        <f>1/COUNTIF(B:B,pizza_sales[[#This Row],[order_id]])</f>
        <v>1</v>
      </c>
      <c r="D2715" t="s">
        <v>16</v>
      </c>
      <c r="E2715">
        <v>1</v>
      </c>
      <c r="F2715" s="1">
        <v>42283</v>
      </c>
      <c r="G2715" s="1" t="str">
        <f>TEXT(pizza_sales[[#This Row],[order_date]],"dddd")</f>
        <v>Tuesday</v>
      </c>
      <c r="H2715" s="2">
        <v>0.75026620370370367</v>
      </c>
      <c r="I2715">
        <v>16</v>
      </c>
      <c r="J2715">
        <v>16</v>
      </c>
      <c r="K2715" t="s">
        <v>59</v>
      </c>
      <c r="L2715" t="s">
        <v>17</v>
      </c>
      <c r="M2715" t="s">
        <v>18</v>
      </c>
      <c r="N2715" t="s">
        <v>19</v>
      </c>
    </row>
    <row r="2716" spans="1:14" x14ac:dyDescent="0.25">
      <c r="A2716">
        <v>21888</v>
      </c>
      <c r="B2716">
        <v>9610</v>
      </c>
      <c r="C2716">
        <f>1/COUNTIF(B:B,pizza_sales[[#This Row],[order_id]])</f>
        <v>1</v>
      </c>
      <c r="D2716" t="s">
        <v>28</v>
      </c>
      <c r="E2716">
        <v>1</v>
      </c>
      <c r="F2716" s="1">
        <v>42283</v>
      </c>
      <c r="G2716" s="1" t="str">
        <f>TEXT(pizza_sales[[#This Row],[order_date]],"dddd")</f>
        <v>Tuesday</v>
      </c>
      <c r="H2716" s="2">
        <v>0.76298611111111114</v>
      </c>
      <c r="I2716">
        <v>12</v>
      </c>
      <c r="J2716">
        <v>12</v>
      </c>
      <c r="K2716" t="s">
        <v>60</v>
      </c>
      <c r="L2716" t="s">
        <v>13</v>
      </c>
      <c r="M2716" t="s">
        <v>29</v>
      </c>
      <c r="N2716" t="s">
        <v>30</v>
      </c>
    </row>
    <row r="2717" spans="1:14" x14ac:dyDescent="0.25">
      <c r="A2717">
        <v>21895</v>
      </c>
      <c r="B2717">
        <v>9613</v>
      </c>
      <c r="C2717">
        <f>1/COUNTIF(B:B,pizza_sales[[#This Row],[order_id]])</f>
        <v>0.5</v>
      </c>
      <c r="D2717" t="s">
        <v>31</v>
      </c>
      <c r="E2717">
        <v>1</v>
      </c>
      <c r="F2717" s="1">
        <v>42283</v>
      </c>
      <c r="G2717" s="1" t="str">
        <f>TEXT(pizza_sales[[#This Row],[order_date]],"dddd")</f>
        <v>Tuesday</v>
      </c>
      <c r="H2717" s="2">
        <v>0.78415509259259264</v>
      </c>
      <c r="I2717">
        <v>12</v>
      </c>
      <c r="J2717">
        <v>12</v>
      </c>
      <c r="K2717" t="s">
        <v>60</v>
      </c>
      <c r="L2717" t="s">
        <v>13</v>
      </c>
      <c r="M2717" t="s">
        <v>32</v>
      </c>
      <c r="N2717" t="s">
        <v>33</v>
      </c>
    </row>
    <row r="2718" spans="1:14" x14ac:dyDescent="0.25">
      <c r="A2718">
        <v>21896</v>
      </c>
      <c r="B2718">
        <v>9613</v>
      </c>
      <c r="C2718">
        <f>1/COUNTIF(B:B,pizza_sales[[#This Row],[order_id]])</f>
        <v>0.5</v>
      </c>
      <c r="D2718" t="s">
        <v>48</v>
      </c>
      <c r="E2718">
        <v>1</v>
      </c>
      <c r="F2718" s="1">
        <v>42283</v>
      </c>
      <c r="G2718" s="1" t="str">
        <f>TEXT(pizza_sales[[#This Row],[order_date]],"dddd")</f>
        <v>Tuesday</v>
      </c>
      <c r="H2718" s="2">
        <v>0.78415509259259264</v>
      </c>
      <c r="I2718">
        <v>12.25</v>
      </c>
      <c r="J2718">
        <v>12.25</v>
      </c>
      <c r="K2718" t="s">
        <v>60</v>
      </c>
      <c r="L2718" t="s">
        <v>35</v>
      </c>
      <c r="M2718" t="s">
        <v>40</v>
      </c>
      <c r="N2718" t="s">
        <v>41</v>
      </c>
    </row>
    <row r="2719" spans="1:14" x14ac:dyDescent="0.25">
      <c r="A2719">
        <v>21902</v>
      </c>
      <c r="B2719">
        <v>9615</v>
      </c>
      <c r="C2719">
        <f>1/COUNTIF(B:B,pizza_sales[[#This Row],[order_id]])</f>
        <v>1</v>
      </c>
      <c r="D2719" t="s">
        <v>20</v>
      </c>
      <c r="E2719">
        <v>1</v>
      </c>
      <c r="F2719" s="1">
        <v>42283</v>
      </c>
      <c r="G2719" s="1" t="str">
        <f>TEXT(pizza_sales[[#This Row],[order_date]],"dddd")</f>
        <v>Tuesday</v>
      </c>
      <c r="H2719" s="2">
        <v>0.78940972222222228</v>
      </c>
      <c r="I2719">
        <v>12</v>
      </c>
      <c r="J2719">
        <v>12</v>
      </c>
      <c r="K2719" t="s">
        <v>60</v>
      </c>
      <c r="L2719" t="s">
        <v>13</v>
      </c>
      <c r="M2719" t="s">
        <v>21</v>
      </c>
      <c r="N2719" t="s">
        <v>22</v>
      </c>
    </row>
    <row r="2720" spans="1:14" x14ac:dyDescent="0.25">
      <c r="A2720">
        <v>21905</v>
      </c>
      <c r="B2720">
        <v>9617</v>
      </c>
      <c r="C2720">
        <f>1/COUNTIF(B:B,pizza_sales[[#This Row],[order_id]])</f>
        <v>1</v>
      </c>
      <c r="D2720" t="s">
        <v>25</v>
      </c>
      <c r="E2720">
        <v>1</v>
      </c>
      <c r="F2720" s="1">
        <v>42283</v>
      </c>
      <c r="G2720" s="1" t="str">
        <f>TEXT(pizza_sales[[#This Row],[order_date]],"dddd")</f>
        <v>Tuesday</v>
      </c>
      <c r="H2720" s="2">
        <v>0.82253472222222224</v>
      </c>
      <c r="I2720">
        <v>15.25</v>
      </c>
      <c r="J2720">
        <v>15.25</v>
      </c>
      <c r="K2720" t="s">
        <v>58</v>
      </c>
      <c r="L2720" t="s">
        <v>13</v>
      </c>
      <c r="M2720" t="s">
        <v>26</v>
      </c>
      <c r="N2720" t="s">
        <v>27</v>
      </c>
    </row>
    <row r="2721" spans="1:14" x14ac:dyDescent="0.25">
      <c r="A2721">
        <v>21908</v>
      </c>
      <c r="B2721">
        <v>9619</v>
      </c>
      <c r="C2721">
        <f>1/COUNTIF(B:B,pizza_sales[[#This Row],[order_id]])</f>
        <v>0.5</v>
      </c>
      <c r="D2721" t="s">
        <v>28</v>
      </c>
      <c r="E2721">
        <v>1</v>
      </c>
      <c r="F2721" s="1">
        <v>42283</v>
      </c>
      <c r="G2721" s="1" t="str">
        <f>TEXT(pizza_sales[[#This Row],[order_date]],"dddd")</f>
        <v>Tuesday</v>
      </c>
      <c r="H2721" s="2">
        <v>0.85179398148148144</v>
      </c>
      <c r="I2721">
        <v>12</v>
      </c>
      <c r="J2721">
        <v>12</v>
      </c>
      <c r="K2721" t="s">
        <v>60</v>
      </c>
      <c r="L2721" t="s">
        <v>13</v>
      </c>
      <c r="M2721" t="s">
        <v>29</v>
      </c>
      <c r="N2721" t="s">
        <v>30</v>
      </c>
    </row>
    <row r="2722" spans="1:14" x14ac:dyDescent="0.25">
      <c r="A2722">
        <v>21910</v>
      </c>
      <c r="B2722">
        <v>9619</v>
      </c>
      <c r="C2722">
        <f>1/COUNTIF(B:B,pizza_sales[[#This Row],[order_id]])</f>
        <v>0.5</v>
      </c>
      <c r="D2722" t="s">
        <v>38</v>
      </c>
      <c r="E2722">
        <v>1</v>
      </c>
      <c r="F2722" s="1">
        <v>42283</v>
      </c>
      <c r="G2722" s="1" t="str">
        <f>TEXT(pizza_sales[[#This Row],[order_date]],"dddd")</f>
        <v>Tuesday</v>
      </c>
      <c r="H2722" s="2">
        <v>0.85179398148148144</v>
      </c>
      <c r="I2722">
        <v>20.5</v>
      </c>
      <c r="J2722">
        <v>20.5</v>
      </c>
      <c r="K2722" t="s">
        <v>58</v>
      </c>
      <c r="L2722" t="s">
        <v>13</v>
      </c>
      <c r="M2722" t="s">
        <v>32</v>
      </c>
      <c r="N2722" t="s">
        <v>33</v>
      </c>
    </row>
    <row r="2723" spans="1:14" x14ac:dyDescent="0.25">
      <c r="A2723">
        <v>21916</v>
      </c>
      <c r="B2723">
        <v>9623</v>
      </c>
      <c r="C2723">
        <f>1/COUNTIF(B:B,pizza_sales[[#This Row],[order_id]])</f>
        <v>1</v>
      </c>
      <c r="D2723" t="s">
        <v>39</v>
      </c>
      <c r="E2723">
        <v>1</v>
      </c>
      <c r="F2723" s="1">
        <v>42314</v>
      </c>
      <c r="G2723" s="1" t="str">
        <f>TEXT(pizza_sales[[#This Row],[order_date]],"dddd")</f>
        <v>Friday</v>
      </c>
      <c r="H2723" s="2">
        <v>0.47599537037037037</v>
      </c>
      <c r="I2723">
        <v>20.25</v>
      </c>
      <c r="J2723">
        <v>20.25</v>
      </c>
      <c r="K2723" t="s">
        <v>58</v>
      </c>
      <c r="L2723" t="s">
        <v>35</v>
      </c>
      <c r="M2723" t="s">
        <v>40</v>
      </c>
      <c r="N2723" t="s">
        <v>41</v>
      </c>
    </row>
    <row r="2724" spans="1:14" x14ac:dyDescent="0.25">
      <c r="A2724">
        <v>21919</v>
      </c>
      <c r="B2724">
        <v>9626</v>
      </c>
      <c r="C2724">
        <f>1/COUNTIF(B:B,pizza_sales[[#This Row],[order_id]])</f>
        <v>1</v>
      </c>
      <c r="D2724" t="s">
        <v>38</v>
      </c>
      <c r="E2724">
        <v>1</v>
      </c>
      <c r="F2724" s="1">
        <v>42314</v>
      </c>
      <c r="G2724" s="1" t="str">
        <f>TEXT(pizza_sales[[#This Row],[order_date]],"dddd")</f>
        <v>Friday</v>
      </c>
      <c r="H2724" s="2">
        <v>0.49890046296296298</v>
      </c>
      <c r="I2724">
        <v>20.5</v>
      </c>
      <c r="J2724">
        <v>20.5</v>
      </c>
      <c r="K2724" t="s">
        <v>58</v>
      </c>
      <c r="L2724" t="s">
        <v>13</v>
      </c>
      <c r="M2724" t="s">
        <v>32</v>
      </c>
      <c r="N2724" t="s">
        <v>33</v>
      </c>
    </row>
    <row r="2725" spans="1:14" x14ac:dyDescent="0.25">
      <c r="A2725">
        <v>21925</v>
      </c>
      <c r="B2725">
        <v>9630</v>
      </c>
      <c r="C2725">
        <f>1/COUNTIF(B:B,pizza_sales[[#This Row],[order_id]])</f>
        <v>0.5</v>
      </c>
      <c r="D2725" t="s">
        <v>45</v>
      </c>
      <c r="E2725">
        <v>1</v>
      </c>
      <c r="F2725" s="1">
        <v>42314</v>
      </c>
      <c r="G2725" s="1" t="str">
        <f>TEXT(pizza_sales[[#This Row],[order_date]],"dddd")</f>
        <v>Friday</v>
      </c>
      <c r="H2725" s="2">
        <v>0.50900462962962967</v>
      </c>
      <c r="I2725">
        <v>10.5</v>
      </c>
      <c r="J2725">
        <v>10.5</v>
      </c>
      <c r="K2725" t="s">
        <v>60</v>
      </c>
      <c r="L2725" t="s">
        <v>13</v>
      </c>
      <c r="M2725" t="s">
        <v>14</v>
      </c>
      <c r="N2725" t="s">
        <v>15</v>
      </c>
    </row>
    <row r="2726" spans="1:14" x14ac:dyDescent="0.25">
      <c r="A2726">
        <v>21926</v>
      </c>
      <c r="B2726">
        <v>9630</v>
      </c>
      <c r="C2726">
        <f>1/COUNTIF(B:B,pizza_sales[[#This Row],[order_id]])</f>
        <v>0.5</v>
      </c>
      <c r="D2726" t="s">
        <v>38</v>
      </c>
      <c r="E2726">
        <v>1</v>
      </c>
      <c r="F2726" s="1">
        <v>42314</v>
      </c>
      <c r="G2726" s="1" t="str">
        <f>TEXT(pizza_sales[[#This Row],[order_date]],"dddd")</f>
        <v>Friday</v>
      </c>
      <c r="H2726" s="2">
        <v>0.50900462962962967</v>
      </c>
      <c r="I2726">
        <v>20.5</v>
      </c>
      <c r="J2726">
        <v>20.5</v>
      </c>
      <c r="K2726" t="s">
        <v>58</v>
      </c>
      <c r="L2726" t="s">
        <v>13</v>
      </c>
      <c r="M2726" t="s">
        <v>32</v>
      </c>
      <c r="N2726" t="s">
        <v>33</v>
      </c>
    </row>
    <row r="2727" spans="1:14" x14ac:dyDescent="0.25">
      <c r="A2727">
        <v>21928</v>
      </c>
      <c r="B2727">
        <v>9631</v>
      </c>
      <c r="C2727">
        <f>1/COUNTIF(B:B,pizza_sales[[#This Row],[order_id]])</f>
        <v>0.5</v>
      </c>
      <c r="D2727" t="s">
        <v>38</v>
      </c>
      <c r="E2727">
        <v>1</v>
      </c>
      <c r="F2727" s="1">
        <v>42314</v>
      </c>
      <c r="G2727" s="1" t="str">
        <f>TEXT(pizza_sales[[#This Row],[order_date]],"dddd")</f>
        <v>Friday</v>
      </c>
      <c r="H2727" s="2">
        <v>0.51276620370370374</v>
      </c>
      <c r="I2727">
        <v>20.5</v>
      </c>
      <c r="J2727">
        <v>20.5</v>
      </c>
      <c r="K2727" t="s">
        <v>58</v>
      </c>
      <c r="L2727" t="s">
        <v>13</v>
      </c>
      <c r="M2727" t="s">
        <v>32</v>
      </c>
      <c r="N2727" t="s">
        <v>33</v>
      </c>
    </row>
    <row r="2728" spans="1:14" x14ac:dyDescent="0.25">
      <c r="A2728">
        <v>21929</v>
      </c>
      <c r="B2728">
        <v>9631</v>
      </c>
      <c r="C2728">
        <f>1/COUNTIF(B:B,pizza_sales[[#This Row],[order_id]])</f>
        <v>0.5</v>
      </c>
      <c r="D2728" t="s">
        <v>39</v>
      </c>
      <c r="E2728">
        <v>2</v>
      </c>
      <c r="F2728" s="1">
        <v>42314</v>
      </c>
      <c r="G2728" s="1" t="str">
        <f>TEXT(pizza_sales[[#This Row],[order_date]],"dddd")</f>
        <v>Friday</v>
      </c>
      <c r="H2728" s="2">
        <v>0.51276620370370374</v>
      </c>
      <c r="I2728">
        <v>20.25</v>
      </c>
      <c r="J2728">
        <v>40.5</v>
      </c>
      <c r="K2728" t="s">
        <v>58</v>
      </c>
      <c r="L2728" t="s">
        <v>35</v>
      </c>
      <c r="M2728" t="s">
        <v>40</v>
      </c>
      <c r="N2728" t="s">
        <v>41</v>
      </c>
    </row>
    <row r="2729" spans="1:14" x14ac:dyDescent="0.25">
      <c r="A2729">
        <v>21930</v>
      </c>
      <c r="B2729">
        <v>9632</v>
      </c>
      <c r="C2729">
        <f>1/COUNTIF(B:B,pizza_sales[[#This Row],[order_id]])</f>
        <v>1</v>
      </c>
      <c r="D2729" t="s">
        <v>39</v>
      </c>
      <c r="E2729">
        <v>1</v>
      </c>
      <c r="F2729" s="1">
        <v>42314</v>
      </c>
      <c r="G2729" s="1" t="str">
        <f>TEXT(pizza_sales[[#This Row],[order_date]],"dddd")</f>
        <v>Friday</v>
      </c>
      <c r="H2729" s="2">
        <v>0.51817129629629632</v>
      </c>
      <c r="I2729">
        <v>20.25</v>
      </c>
      <c r="J2729">
        <v>20.25</v>
      </c>
      <c r="K2729" t="s">
        <v>58</v>
      </c>
      <c r="L2729" t="s">
        <v>35</v>
      </c>
      <c r="M2729" t="s">
        <v>40</v>
      </c>
      <c r="N2729" t="s">
        <v>41</v>
      </c>
    </row>
    <row r="2730" spans="1:14" x14ac:dyDescent="0.25">
      <c r="A2730">
        <v>21934</v>
      </c>
      <c r="B2730">
        <v>9634</v>
      </c>
      <c r="C2730">
        <f>1/COUNTIF(B:B,pizza_sales[[#This Row],[order_id]])</f>
        <v>0.16666666666666666</v>
      </c>
      <c r="D2730" t="s">
        <v>12</v>
      </c>
      <c r="E2730">
        <v>1</v>
      </c>
      <c r="F2730" s="1">
        <v>42314</v>
      </c>
      <c r="G2730" s="1" t="str">
        <f>TEXT(pizza_sales[[#This Row],[order_date]],"dddd")</f>
        <v>Friday</v>
      </c>
      <c r="H2730" s="2">
        <v>0.53652777777777783</v>
      </c>
      <c r="I2730">
        <v>13.25</v>
      </c>
      <c r="J2730">
        <v>13.25</v>
      </c>
      <c r="K2730" t="s">
        <v>59</v>
      </c>
      <c r="L2730" t="s">
        <v>13</v>
      </c>
      <c r="M2730" t="s">
        <v>14</v>
      </c>
      <c r="N2730" t="s">
        <v>15</v>
      </c>
    </row>
    <row r="2731" spans="1:14" x14ac:dyDescent="0.25">
      <c r="A2731">
        <v>21935</v>
      </c>
      <c r="B2731">
        <v>9634</v>
      </c>
      <c r="C2731">
        <f>1/COUNTIF(B:B,pizza_sales[[#This Row],[order_id]])</f>
        <v>0.16666666666666666</v>
      </c>
      <c r="D2731" t="s">
        <v>45</v>
      </c>
      <c r="E2731">
        <v>1</v>
      </c>
      <c r="F2731" s="1">
        <v>42314</v>
      </c>
      <c r="G2731" s="1" t="str">
        <f>TEXT(pizza_sales[[#This Row],[order_date]],"dddd")</f>
        <v>Friday</v>
      </c>
      <c r="H2731" s="2">
        <v>0.53652777777777783</v>
      </c>
      <c r="I2731">
        <v>10.5</v>
      </c>
      <c r="J2731">
        <v>10.5</v>
      </c>
      <c r="K2731" t="s">
        <v>60</v>
      </c>
      <c r="L2731" t="s">
        <v>13</v>
      </c>
      <c r="M2731" t="s">
        <v>14</v>
      </c>
      <c r="N2731" t="s">
        <v>15</v>
      </c>
    </row>
    <row r="2732" spans="1:14" x14ac:dyDescent="0.25">
      <c r="A2732">
        <v>21936</v>
      </c>
      <c r="B2732">
        <v>9634</v>
      </c>
      <c r="C2732">
        <f>1/COUNTIF(B:B,pizza_sales[[#This Row],[order_id]])</f>
        <v>0.16666666666666666</v>
      </c>
      <c r="D2732" t="s">
        <v>23</v>
      </c>
      <c r="E2732">
        <v>1</v>
      </c>
      <c r="F2732" s="1">
        <v>42314</v>
      </c>
      <c r="G2732" s="1" t="str">
        <f>TEXT(pizza_sales[[#This Row],[order_date]],"dddd")</f>
        <v>Friday</v>
      </c>
      <c r="H2732" s="2">
        <v>0.53652777777777783</v>
      </c>
      <c r="I2732">
        <v>12</v>
      </c>
      <c r="J2732">
        <v>12</v>
      </c>
      <c r="K2732" t="s">
        <v>60</v>
      </c>
      <c r="L2732" t="s">
        <v>17</v>
      </c>
      <c r="M2732" t="s">
        <v>18</v>
      </c>
      <c r="N2732" t="s">
        <v>19</v>
      </c>
    </row>
    <row r="2733" spans="1:14" x14ac:dyDescent="0.25">
      <c r="A2733">
        <v>21937</v>
      </c>
      <c r="B2733">
        <v>9634</v>
      </c>
      <c r="C2733">
        <f>1/COUNTIF(B:B,pizza_sales[[#This Row],[order_id]])</f>
        <v>0.16666666666666666</v>
      </c>
      <c r="D2733" t="s">
        <v>31</v>
      </c>
      <c r="E2733">
        <v>1</v>
      </c>
      <c r="F2733" s="1">
        <v>42314</v>
      </c>
      <c r="G2733" s="1" t="str">
        <f>TEXT(pizza_sales[[#This Row],[order_date]],"dddd")</f>
        <v>Friday</v>
      </c>
      <c r="H2733" s="2">
        <v>0.53652777777777783</v>
      </c>
      <c r="I2733">
        <v>12</v>
      </c>
      <c r="J2733">
        <v>12</v>
      </c>
      <c r="K2733" t="s">
        <v>60</v>
      </c>
      <c r="L2733" t="s">
        <v>13</v>
      </c>
      <c r="M2733" t="s">
        <v>32</v>
      </c>
      <c r="N2733" t="s">
        <v>33</v>
      </c>
    </row>
    <row r="2734" spans="1:14" x14ac:dyDescent="0.25">
      <c r="A2734">
        <v>21939</v>
      </c>
      <c r="B2734">
        <v>9634</v>
      </c>
      <c r="C2734">
        <f>1/COUNTIF(B:B,pizza_sales[[#This Row],[order_id]])</f>
        <v>0.16666666666666666</v>
      </c>
      <c r="D2734" t="s">
        <v>48</v>
      </c>
      <c r="E2734">
        <v>2</v>
      </c>
      <c r="F2734" s="1">
        <v>42314</v>
      </c>
      <c r="G2734" s="1" t="str">
        <f>TEXT(pizza_sales[[#This Row],[order_date]],"dddd")</f>
        <v>Friday</v>
      </c>
      <c r="H2734" s="2">
        <v>0.53652777777777783</v>
      </c>
      <c r="I2734">
        <v>12.25</v>
      </c>
      <c r="J2734">
        <v>24.5</v>
      </c>
      <c r="K2734" t="s">
        <v>60</v>
      </c>
      <c r="L2734" t="s">
        <v>35</v>
      </c>
      <c r="M2734" t="s">
        <v>40</v>
      </c>
      <c r="N2734" t="s">
        <v>41</v>
      </c>
    </row>
    <row r="2735" spans="1:14" x14ac:dyDescent="0.25">
      <c r="A2735">
        <v>21941</v>
      </c>
      <c r="B2735">
        <v>9634</v>
      </c>
      <c r="C2735">
        <f>1/COUNTIF(B:B,pizza_sales[[#This Row],[order_id]])</f>
        <v>0.16666666666666666</v>
      </c>
      <c r="D2735" t="s">
        <v>20</v>
      </c>
      <c r="E2735">
        <v>1</v>
      </c>
      <c r="F2735" s="1">
        <v>42314</v>
      </c>
      <c r="G2735" s="1" t="str">
        <f>TEXT(pizza_sales[[#This Row],[order_date]],"dddd")</f>
        <v>Friday</v>
      </c>
      <c r="H2735" s="2">
        <v>0.53652777777777783</v>
      </c>
      <c r="I2735">
        <v>12</v>
      </c>
      <c r="J2735">
        <v>12</v>
      </c>
      <c r="K2735" t="s">
        <v>60</v>
      </c>
      <c r="L2735" t="s">
        <v>13</v>
      </c>
      <c r="M2735" t="s">
        <v>21</v>
      </c>
      <c r="N2735" t="s">
        <v>22</v>
      </c>
    </row>
    <row r="2736" spans="1:14" x14ac:dyDescent="0.25">
      <c r="A2736">
        <v>21944</v>
      </c>
      <c r="B2736">
        <v>9635</v>
      </c>
      <c r="C2736">
        <f>1/COUNTIF(B:B,pizza_sales[[#This Row],[order_id]])</f>
        <v>1</v>
      </c>
      <c r="D2736" t="s">
        <v>20</v>
      </c>
      <c r="E2736">
        <v>1</v>
      </c>
      <c r="F2736" s="1">
        <v>42314</v>
      </c>
      <c r="G2736" s="1" t="str">
        <f>TEXT(pizza_sales[[#This Row],[order_date]],"dddd")</f>
        <v>Friday</v>
      </c>
      <c r="H2736" s="2">
        <v>0.54119212962962959</v>
      </c>
      <c r="I2736">
        <v>12</v>
      </c>
      <c r="J2736">
        <v>12</v>
      </c>
      <c r="K2736" t="s">
        <v>60</v>
      </c>
      <c r="L2736" t="s">
        <v>13</v>
      </c>
      <c r="M2736" t="s">
        <v>21</v>
      </c>
      <c r="N2736" t="s">
        <v>22</v>
      </c>
    </row>
    <row r="2737" spans="1:14" x14ac:dyDescent="0.25">
      <c r="A2737">
        <v>21945</v>
      </c>
      <c r="B2737">
        <v>9636</v>
      </c>
      <c r="C2737">
        <f>1/COUNTIF(B:B,pizza_sales[[#This Row],[order_id]])</f>
        <v>1</v>
      </c>
      <c r="D2737" t="s">
        <v>25</v>
      </c>
      <c r="E2737">
        <v>1</v>
      </c>
      <c r="F2737" s="1">
        <v>42314</v>
      </c>
      <c r="G2737" s="1" t="str">
        <f>TEXT(pizza_sales[[#This Row],[order_date]],"dddd")</f>
        <v>Friday</v>
      </c>
      <c r="H2737" s="2">
        <v>0.54650462962962965</v>
      </c>
      <c r="I2737">
        <v>15.25</v>
      </c>
      <c r="J2737">
        <v>15.25</v>
      </c>
      <c r="K2737" t="s">
        <v>58</v>
      </c>
      <c r="L2737" t="s">
        <v>13</v>
      </c>
      <c r="M2737" t="s">
        <v>26</v>
      </c>
      <c r="N2737" t="s">
        <v>27</v>
      </c>
    </row>
    <row r="2738" spans="1:14" x14ac:dyDescent="0.25">
      <c r="A2738">
        <v>21946</v>
      </c>
      <c r="B2738">
        <v>9637</v>
      </c>
      <c r="C2738">
        <f>1/COUNTIF(B:B,pizza_sales[[#This Row],[order_id]])</f>
        <v>0.5</v>
      </c>
      <c r="D2738" t="s">
        <v>34</v>
      </c>
      <c r="E2738">
        <v>1</v>
      </c>
      <c r="F2738" s="1">
        <v>42314</v>
      </c>
      <c r="G2738" s="1" t="str">
        <f>TEXT(pizza_sales[[#This Row],[order_date]],"dddd")</f>
        <v>Friday</v>
      </c>
      <c r="H2738" s="2">
        <v>0.54983796296296295</v>
      </c>
      <c r="I2738">
        <v>16.25</v>
      </c>
      <c r="J2738">
        <v>16.25</v>
      </c>
      <c r="K2738" t="s">
        <v>59</v>
      </c>
      <c r="L2738" t="s">
        <v>35</v>
      </c>
      <c r="M2738" t="s">
        <v>36</v>
      </c>
      <c r="N2738" t="s">
        <v>37</v>
      </c>
    </row>
    <row r="2739" spans="1:14" x14ac:dyDescent="0.25">
      <c r="A2739">
        <v>21948</v>
      </c>
      <c r="B2739">
        <v>9637</v>
      </c>
      <c r="C2739">
        <f>1/COUNTIF(B:B,pizza_sales[[#This Row],[order_id]])</f>
        <v>0.5</v>
      </c>
      <c r="D2739" t="s">
        <v>42</v>
      </c>
      <c r="E2739">
        <v>1</v>
      </c>
      <c r="F2739" s="1">
        <v>42314</v>
      </c>
      <c r="G2739" s="1" t="str">
        <f>TEXT(pizza_sales[[#This Row],[order_date]],"dddd")</f>
        <v>Friday</v>
      </c>
      <c r="H2739" s="2">
        <v>0.54983796296296295</v>
      </c>
      <c r="I2739">
        <v>12.5</v>
      </c>
      <c r="J2739">
        <v>12.5</v>
      </c>
      <c r="K2739" t="s">
        <v>59</v>
      </c>
      <c r="L2739" t="s">
        <v>13</v>
      </c>
      <c r="M2739" t="s">
        <v>26</v>
      </c>
      <c r="N2739" t="s">
        <v>27</v>
      </c>
    </row>
    <row r="2740" spans="1:14" x14ac:dyDescent="0.25">
      <c r="A2740">
        <v>21950</v>
      </c>
      <c r="B2740">
        <v>9638</v>
      </c>
      <c r="C2740">
        <f>1/COUNTIF(B:B,pizza_sales[[#This Row],[order_id]])</f>
        <v>0.5</v>
      </c>
      <c r="D2740" t="s">
        <v>24</v>
      </c>
      <c r="E2740">
        <v>1</v>
      </c>
      <c r="F2740" s="1">
        <v>42314</v>
      </c>
      <c r="G2740" s="1" t="str">
        <f>TEXT(pizza_sales[[#This Row],[order_date]],"dddd")</f>
        <v>Friday</v>
      </c>
      <c r="H2740" s="2">
        <v>0.55072916666666671</v>
      </c>
      <c r="I2740">
        <v>20.25</v>
      </c>
      <c r="J2740">
        <v>20.25</v>
      </c>
      <c r="K2740" t="s">
        <v>58</v>
      </c>
      <c r="L2740" t="s">
        <v>17</v>
      </c>
      <c r="M2740" t="s">
        <v>18</v>
      </c>
      <c r="N2740" t="s">
        <v>19</v>
      </c>
    </row>
    <row r="2741" spans="1:14" x14ac:dyDescent="0.25">
      <c r="A2741">
        <v>21951</v>
      </c>
      <c r="B2741">
        <v>9638</v>
      </c>
      <c r="C2741">
        <f>1/COUNTIF(B:B,pizza_sales[[#This Row],[order_id]])</f>
        <v>0.5</v>
      </c>
      <c r="D2741" t="s">
        <v>46</v>
      </c>
      <c r="E2741">
        <v>1</v>
      </c>
      <c r="F2741" s="1">
        <v>42314</v>
      </c>
      <c r="G2741" s="1" t="str">
        <f>TEXT(pizza_sales[[#This Row],[order_date]],"dddd")</f>
        <v>Friday</v>
      </c>
      <c r="H2741" s="2">
        <v>0.55072916666666671</v>
      </c>
      <c r="I2741">
        <v>25.5</v>
      </c>
      <c r="J2741">
        <v>25.5</v>
      </c>
      <c r="K2741" t="s">
        <v>61</v>
      </c>
      <c r="L2741" t="s">
        <v>13</v>
      </c>
      <c r="M2741" t="s">
        <v>21</v>
      </c>
      <c r="N2741" t="s">
        <v>22</v>
      </c>
    </row>
    <row r="2742" spans="1:14" x14ac:dyDescent="0.25">
      <c r="A2742">
        <v>21952</v>
      </c>
      <c r="B2742">
        <v>9639</v>
      </c>
      <c r="C2742">
        <f>1/COUNTIF(B:B,pizza_sales[[#This Row],[order_id]])</f>
        <v>1</v>
      </c>
      <c r="D2742" t="s">
        <v>46</v>
      </c>
      <c r="E2742">
        <v>1</v>
      </c>
      <c r="F2742" s="1">
        <v>42314</v>
      </c>
      <c r="G2742" s="1" t="str">
        <f>TEXT(pizza_sales[[#This Row],[order_date]],"dddd")</f>
        <v>Friday</v>
      </c>
      <c r="H2742" s="2">
        <v>0.55843750000000003</v>
      </c>
      <c r="I2742">
        <v>25.5</v>
      </c>
      <c r="J2742">
        <v>25.5</v>
      </c>
      <c r="K2742" t="s">
        <v>61</v>
      </c>
      <c r="L2742" t="s">
        <v>13</v>
      </c>
      <c r="M2742" t="s">
        <v>21</v>
      </c>
      <c r="N2742" t="s">
        <v>22</v>
      </c>
    </row>
    <row r="2743" spans="1:14" x14ac:dyDescent="0.25">
      <c r="A2743">
        <v>21954</v>
      </c>
      <c r="B2743">
        <v>9640</v>
      </c>
      <c r="C2743">
        <f>1/COUNTIF(B:B,pizza_sales[[#This Row],[order_id]])</f>
        <v>0.5</v>
      </c>
      <c r="D2743" t="s">
        <v>50</v>
      </c>
      <c r="E2743">
        <v>1</v>
      </c>
      <c r="F2743" s="1">
        <v>42314</v>
      </c>
      <c r="G2743" s="1" t="str">
        <f>TEXT(pizza_sales[[#This Row],[order_date]],"dddd")</f>
        <v>Friday</v>
      </c>
      <c r="H2743" s="2">
        <v>0.55891203703703707</v>
      </c>
      <c r="I2743">
        <v>16</v>
      </c>
      <c r="J2743">
        <v>16</v>
      </c>
      <c r="K2743" t="s">
        <v>59</v>
      </c>
      <c r="L2743" t="s">
        <v>13</v>
      </c>
      <c r="M2743" t="s">
        <v>32</v>
      </c>
      <c r="N2743" t="s">
        <v>33</v>
      </c>
    </row>
    <row r="2744" spans="1:14" x14ac:dyDescent="0.25">
      <c r="A2744">
        <v>21955</v>
      </c>
      <c r="B2744">
        <v>9640</v>
      </c>
      <c r="C2744">
        <f>1/COUNTIF(B:B,pizza_sales[[#This Row],[order_id]])</f>
        <v>0.5</v>
      </c>
      <c r="D2744" t="s">
        <v>39</v>
      </c>
      <c r="E2744">
        <v>1</v>
      </c>
      <c r="F2744" s="1">
        <v>42314</v>
      </c>
      <c r="G2744" s="1" t="str">
        <f>TEXT(pizza_sales[[#This Row],[order_date]],"dddd")</f>
        <v>Friday</v>
      </c>
      <c r="H2744" s="2">
        <v>0.55891203703703707</v>
      </c>
      <c r="I2744">
        <v>20.25</v>
      </c>
      <c r="J2744">
        <v>20.25</v>
      </c>
      <c r="K2744" t="s">
        <v>58</v>
      </c>
      <c r="L2744" t="s">
        <v>35</v>
      </c>
      <c r="M2744" t="s">
        <v>40</v>
      </c>
      <c r="N2744" t="s">
        <v>41</v>
      </c>
    </row>
    <row r="2745" spans="1:14" x14ac:dyDescent="0.25">
      <c r="A2745">
        <v>21960</v>
      </c>
      <c r="B2745">
        <v>9642</v>
      </c>
      <c r="C2745">
        <f>1/COUNTIF(B:B,pizza_sales[[#This Row],[order_id]])</f>
        <v>1</v>
      </c>
      <c r="D2745" t="s">
        <v>48</v>
      </c>
      <c r="E2745">
        <v>1</v>
      </c>
      <c r="F2745" s="1">
        <v>42314</v>
      </c>
      <c r="G2745" s="1" t="str">
        <f>TEXT(pizza_sales[[#This Row],[order_date]],"dddd")</f>
        <v>Friday</v>
      </c>
      <c r="H2745" s="2">
        <v>0.56535879629629626</v>
      </c>
      <c r="I2745">
        <v>12.25</v>
      </c>
      <c r="J2745">
        <v>12.25</v>
      </c>
      <c r="K2745" t="s">
        <v>60</v>
      </c>
      <c r="L2745" t="s">
        <v>35</v>
      </c>
      <c r="M2745" t="s">
        <v>40</v>
      </c>
      <c r="N2745" t="s">
        <v>41</v>
      </c>
    </row>
    <row r="2746" spans="1:14" x14ac:dyDescent="0.25">
      <c r="A2746">
        <v>21965</v>
      </c>
      <c r="B2746">
        <v>9644</v>
      </c>
      <c r="C2746">
        <f>1/COUNTIF(B:B,pizza_sales[[#This Row],[order_id]])</f>
        <v>1</v>
      </c>
      <c r="D2746" t="s">
        <v>28</v>
      </c>
      <c r="E2746">
        <v>1</v>
      </c>
      <c r="F2746" s="1">
        <v>42314</v>
      </c>
      <c r="G2746" s="1" t="str">
        <f>TEXT(pizza_sales[[#This Row],[order_date]],"dddd")</f>
        <v>Friday</v>
      </c>
      <c r="H2746" s="2">
        <v>0.58112268518518517</v>
      </c>
      <c r="I2746">
        <v>12</v>
      </c>
      <c r="J2746">
        <v>12</v>
      </c>
      <c r="K2746" t="s">
        <v>60</v>
      </c>
      <c r="L2746" t="s">
        <v>13</v>
      </c>
      <c r="M2746" t="s">
        <v>29</v>
      </c>
      <c r="N2746" t="s">
        <v>30</v>
      </c>
    </row>
    <row r="2747" spans="1:14" x14ac:dyDescent="0.25">
      <c r="A2747">
        <v>21968</v>
      </c>
      <c r="B2747">
        <v>9646</v>
      </c>
      <c r="C2747">
        <f>1/COUNTIF(B:B,pizza_sales[[#This Row],[order_id]])</f>
        <v>1</v>
      </c>
      <c r="D2747" t="s">
        <v>47</v>
      </c>
      <c r="E2747">
        <v>1</v>
      </c>
      <c r="F2747" s="1">
        <v>42314</v>
      </c>
      <c r="G2747" s="1" t="str">
        <f>TEXT(pizza_sales[[#This Row],[order_date]],"dddd")</f>
        <v>Friday</v>
      </c>
      <c r="H2747" s="2">
        <v>0.6008796296296296</v>
      </c>
      <c r="I2747">
        <v>16.5</v>
      </c>
      <c r="J2747">
        <v>16.5</v>
      </c>
      <c r="K2747" t="s">
        <v>58</v>
      </c>
      <c r="L2747" t="s">
        <v>13</v>
      </c>
      <c r="M2747" t="s">
        <v>14</v>
      </c>
      <c r="N2747" t="s">
        <v>15</v>
      </c>
    </row>
    <row r="2748" spans="1:14" x14ac:dyDescent="0.25">
      <c r="A2748">
        <v>21970</v>
      </c>
      <c r="B2748">
        <v>9647</v>
      </c>
      <c r="C2748">
        <f>1/COUNTIF(B:B,pizza_sales[[#This Row],[order_id]])</f>
        <v>1</v>
      </c>
      <c r="D2748" t="s">
        <v>24</v>
      </c>
      <c r="E2748">
        <v>1</v>
      </c>
      <c r="F2748" s="1">
        <v>42314</v>
      </c>
      <c r="G2748" s="1" t="str">
        <f>TEXT(pizza_sales[[#This Row],[order_date]],"dddd")</f>
        <v>Friday</v>
      </c>
      <c r="H2748" s="2">
        <v>0.60146990740740736</v>
      </c>
      <c r="I2748">
        <v>20.25</v>
      </c>
      <c r="J2748">
        <v>20.25</v>
      </c>
      <c r="K2748" t="s">
        <v>58</v>
      </c>
      <c r="L2748" t="s">
        <v>17</v>
      </c>
      <c r="M2748" t="s">
        <v>18</v>
      </c>
      <c r="N2748" t="s">
        <v>19</v>
      </c>
    </row>
    <row r="2749" spans="1:14" x14ac:dyDescent="0.25">
      <c r="A2749">
        <v>21979</v>
      </c>
      <c r="B2749">
        <v>9650</v>
      </c>
      <c r="C2749">
        <f>1/COUNTIF(B:B,pizza_sales[[#This Row],[order_id]])</f>
        <v>0.16666666666666666</v>
      </c>
      <c r="D2749" t="s">
        <v>28</v>
      </c>
      <c r="E2749">
        <v>1</v>
      </c>
      <c r="F2749" s="1">
        <v>42314</v>
      </c>
      <c r="G2749" s="1" t="str">
        <f>TEXT(pizza_sales[[#This Row],[order_date]],"dddd")</f>
        <v>Friday</v>
      </c>
      <c r="H2749" s="2">
        <v>0.62027777777777782</v>
      </c>
      <c r="I2749">
        <v>12</v>
      </c>
      <c r="J2749">
        <v>12</v>
      </c>
      <c r="K2749" t="s">
        <v>60</v>
      </c>
      <c r="L2749" t="s">
        <v>13</v>
      </c>
      <c r="M2749" t="s">
        <v>29</v>
      </c>
      <c r="N2749" t="s">
        <v>30</v>
      </c>
    </row>
    <row r="2750" spans="1:14" x14ac:dyDescent="0.25">
      <c r="A2750">
        <v>21984</v>
      </c>
      <c r="B2750">
        <v>9650</v>
      </c>
      <c r="C2750">
        <f>1/COUNTIF(B:B,pizza_sales[[#This Row],[order_id]])</f>
        <v>0.16666666666666666</v>
      </c>
      <c r="D2750" t="s">
        <v>24</v>
      </c>
      <c r="E2750">
        <v>1</v>
      </c>
      <c r="F2750" s="1">
        <v>42314</v>
      </c>
      <c r="G2750" s="1" t="str">
        <f>TEXT(pizza_sales[[#This Row],[order_date]],"dddd")</f>
        <v>Friday</v>
      </c>
      <c r="H2750" s="2">
        <v>0.62027777777777782</v>
      </c>
      <c r="I2750">
        <v>20.25</v>
      </c>
      <c r="J2750">
        <v>20.25</v>
      </c>
      <c r="K2750" t="s">
        <v>58</v>
      </c>
      <c r="L2750" t="s">
        <v>17</v>
      </c>
      <c r="M2750" t="s">
        <v>18</v>
      </c>
      <c r="N2750" t="s">
        <v>19</v>
      </c>
    </row>
    <row r="2751" spans="1:14" x14ac:dyDescent="0.25">
      <c r="A2751">
        <v>21985</v>
      </c>
      <c r="B2751">
        <v>9650</v>
      </c>
      <c r="C2751">
        <f>1/COUNTIF(B:B,pizza_sales[[#This Row],[order_id]])</f>
        <v>0.16666666666666666</v>
      </c>
      <c r="D2751" t="s">
        <v>38</v>
      </c>
      <c r="E2751">
        <v>1</v>
      </c>
      <c r="F2751" s="1">
        <v>42314</v>
      </c>
      <c r="G2751" s="1" t="str">
        <f>TEXT(pizza_sales[[#This Row],[order_date]],"dddd")</f>
        <v>Friday</v>
      </c>
      <c r="H2751" s="2">
        <v>0.62027777777777782</v>
      </c>
      <c r="I2751">
        <v>20.5</v>
      </c>
      <c r="J2751">
        <v>20.5</v>
      </c>
      <c r="K2751" t="s">
        <v>58</v>
      </c>
      <c r="L2751" t="s">
        <v>13</v>
      </c>
      <c r="M2751" t="s">
        <v>32</v>
      </c>
      <c r="N2751" t="s">
        <v>33</v>
      </c>
    </row>
    <row r="2752" spans="1:14" x14ac:dyDescent="0.25">
      <c r="A2752">
        <v>21986</v>
      </c>
      <c r="B2752">
        <v>9650</v>
      </c>
      <c r="C2752">
        <f>1/COUNTIF(B:B,pizza_sales[[#This Row],[order_id]])</f>
        <v>0.16666666666666666</v>
      </c>
      <c r="D2752" t="s">
        <v>44</v>
      </c>
      <c r="E2752">
        <v>1</v>
      </c>
      <c r="F2752" s="1">
        <v>42314</v>
      </c>
      <c r="G2752" s="1" t="str">
        <f>TEXT(pizza_sales[[#This Row],[order_date]],"dddd")</f>
        <v>Friday</v>
      </c>
      <c r="H2752" s="2">
        <v>0.62027777777777782</v>
      </c>
      <c r="I2752">
        <v>9.75</v>
      </c>
      <c r="J2752">
        <v>9.75</v>
      </c>
      <c r="K2752" t="s">
        <v>60</v>
      </c>
      <c r="L2752" t="s">
        <v>13</v>
      </c>
      <c r="M2752" t="s">
        <v>26</v>
      </c>
      <c r="N2752" t="s">
        <v>27</v>
      </c>
    </row>
    <row r="2753" spans="1:14" x14ac:dyDescent="0.25">
      <c r="A2753">
        <v>21988</v>
      </c>
      <c r="B2753">
        <v>9650</v>
      </c>
      <c r="C2753">
        <f>1/COUNTIF(B:B,pizza_sales[[#This Row],[order_id]])</f>
        <v>0.16666666666666666</v>
      </c>
      <c r="D2753" t="s">
        <v>48</v>
      </c>
      <c r="E2753">
        <v>1</v>
      </c>
      <c r="F2753" s="1">
        <v>42314</v>
      </c>
      <c r="G2753" s="1" t="str">
        <f>TEXT(pizza_sales[[#This Row],[order_date]],"dddd")</f>
        <v>Friday</v>
      </c>
      <c r="H2753" s="2">
        <v>0.62027777777777782</v>
      </c>
      <c r="I2753">
        <v>12.25</v>
      </c>
      <c r="J2753">
        <v>12.25</v>
      </c>
      <c r="K2753" t="s">
        <v>60</v>
      </c>
      <c r="L2753" t="s">
        <v>35</v>
      </c>
      <c r="M2753" t="s">
        <v>40</v>
      </c>
      <c r="N2753" t="s">
        <v>41</v>
      </c>
    </row>
    <row r="2754" spans="1:14" x14ac:dyDescent="0.25">
      <c r="A2754">
        <v>21991</v>
      </c>
      <c r="B2754">
        <v>9650</v>
      </c>
      <c r="C2754">
        <f>1/COUNTIF(B:B,pizza_sales[[#This Row],[order_id]])</f>
        <v>0.16666666666666666</v>
      </c>
      <c r="D2754" t="s">
        <v>46</v>
      </c>
      <c r="E2754">
        <v>1</v>
      </c>
      <c r="F2754" s="1">
        <v>42314</v>
      </c>
      <c r="G2754" s="1" t="str">
        <f>TEXT(pizza_sales[[#This Row],[order_date]],"dddd")</f>
        <v>Friday</v>
      </c>
      <c r="H2754" s="2">
        <v>0.62027777777777782</v>
      </c>
      <c r="I2754">
        <v>25.5</v>
      </c>
      <c r="J2754">
        <v>25.5</v>
      </c>
      <c r="K2754" t="s">
        <v>61</v>
      </c>
      <c r="L2754" t="s">
        <v>13</v>
      </c>
      <c r="M2754" t="s">
        <v>21</v>
      </c>
      <c r="N2754" t="s">
        <v>22</v>
      </c>
    </row>
    <row r="2755" spans="1:14" x14ac:dyDescent="0.25">
      <c r="A2755">
        <v>21996</v>
      </c>
      <c r="B2755">
        <v>9652</v>
      </c>
      <c r="C2755">
        <f>1/COUNTIF(B:B,pizza_sales[[#This Row],[order_id]])</f>
        <v>1</v>
      </c>
      <c r="D2755" t="s">
        <v>25</v>
      </c>
      <c r="E2755">
        <v>1</v>
      </c>
      <c r="F2755" s="1">
        <v>42314</v>
      </c>
      <c r="G2755" s="1" t="str">
        <f>TEXT(pizza_sales[[#This Row],[order_date]],"dddd")</f>
        <v>Friday</v>
      </c>
      <c r="H2755" s="2">
        <v>0.64248842592592592</v>
      </c>
      <c r="I2755">
        <v>15.25</v>
      </c>
      <c r="J2755">
        <v>15.25</v>
      </c>
      <c r="K2755" t="s">
        <v>58</v>
      </c>
      <c r="L2755" t="s">
        <v>13</v>
      </c>
      <c r="M2755" t="s">
        <v>26</v>
      </c>
      <c r="N2755" t="s">
        <v>27</v>
      </c>
    </row>
    <row r="2756" spans="1:14" x14ac:dyDescent="0.25">
      <c r="A2756">
        <v>22000</v>
      </c>
      <c r="B2756">
        <v>9653</v>
      </c>
      <c r="C2756">
        <f>1/COUNTIF(B:B,pizza_sales[[#This Row],[order_id]])</f>
        <v>1</v>
      </c>
      <c r="D2756" t="s">
        <v>23</v>
      </c>
      <c r="E2756">
        <v>1</v>
      </c>
      <c r="F2756" s="1">
        <v>42314</v>
      </c>
      <c r="G2756" s="1" t="str">
        <f>TEXT(pizza_sales[[#This Row],[order_date]],"dddd")</f>
        <v>Friday</v>
      </c>
      <c r="H2756" s="2">
        <v>0.66523148148148148</v>
      </c>
      <c r="I2756">
        <v>12</v>
      </c>
      <c r="J2756">
        <v>12</v>
      </c>
      <c r="K2756" t="s">
        <v>60</v>
      </c>
      <c r="L2756" t="s">
        <v>17</v>
      </c>
      <c r="M2756" t="s">
        <v>18</v>
      </c>
      <c r="N2756" t="s">
        <v>19</v>
      </c>
    </row>
    <row r="2757" spans="1:14" x14ac:dyDescent="0.25">
      <c r="A2757">
        <v>22009</v>
      </c>
      <c r="B2757">
        <v>9659</v>
      </c>
      <c r="C2757">
        <f>1/COUNTIF(B:B,pizza_sales[[#This Row],[order_id]])</f>
        <v>1</v>
      </c>
      <c r="D2757" t="s">
        <v>56</v>
      </c>
      <c r="E2757">
        <v>1</v>
      </c>
      <c r="F2757" s="1">
        <v>42314</v>
      </c>
      <c r="G2757" s="1" t="str">
        <f>TEXT(pizza_sales[[#This Row],[order_date]],"dddd")</f>
        <v>Friday</v>
      </c>
      <c r="H2757" s="2">
        <v>0.69020833333333331</v>
      </c>
      <c r="I2757">
        <v>20.25</v>
      </c>
      <c r="J2757">
        <v>20.25</v>
      </c>
      <c r="K2757" t="s">
        <v>58</v>
      </c>
      <c r="L2757" t="s">
        <v>35</v>
      </c>
      <c r="M2757" t="s">
        <v>36</v>
      </c>
      <c r="N2757" t="s">
        <v>37</v>
      </c>
    </row>
    <row r="2758" spans="1:14" x14ac:dyDescent="0.25">
      <c r="A2758">
        <v>22013</v>
      </c>
      <c r="B2758">
        <v>9661</v>
      </c>
      <c r="C2758">
        <f>1/COUNTIF(B:B,pizza_sales[[#This Row],[order_id]])</f>
        <v>1</v>
      </c>
      <c r="D2758" t="s">
        <v>42</v>
      </c>
      <c r="E2758">
        <v>1</v>
      </c>
      <c r="F2758" s="1">
        <v>42314</v>
      </c>
      <c r="G2758" s="1" t="str">
        <f>TEXT(pizza_sales[[#This Row],[order_date]],"dddd")</f>
        <v>Friday</v>
      </c>
      <c r="H2758" s="2">
        <v>0.71878472222222223</v>
      </c>
      <c r="I2758">
        <v>12.5</v>
      </c>
      <c r="J2758">
        <v>12.5</v>
      </c>
      <c r="K2758" t="s">
        <v>59</v>
      </c>
      <c r="L2758" t="s">
        <v>13</v>
      </c>
      <c r="M2758" t="s">
        <v>26</v>
      </c>
      <c r="N2758" t="s">
        <v>27</v>
      </c>
    </row>
    <row r="2759" spans="1:14" x14ac:dyDescent="0.25">
      <c r="A2759">
        <v>22015</v>
      </c>
      <c r="B2759">
        <v>9662</v>
      </c>
      <c r="C2759">
        <f>1/COUNTIF(B:B,pizza_sales[[#This Row],[order_id]])</f>
        <v>1</v>
      </c>
      <c r="D2759" t="s">
        <v>47</v>
      </c>
      <c r="E2759">
        <v>1</v>
      </c>
      <c r="F2759" s="1">
        <v>42314</v>
      </c>
      <c r="G2759" s="1" t="str">
        <f>TEXT(pizza_sales[[#This Row],[order_date]],"dddd")</f>
        <v>Friday</v>
      </c>
      <c r="H2759" s="2">
        <v>0.72685185185185186</v>
      </c>
      <c r="I2759">
        <v>16.5</v>
      </c>
      <c r="J2759">
        <v>16.5</v>
      </c>
      <c r="K2759" t="s">
        <v>58</v>
      </c>
      <c r="L2759" t="s">
        <v>13</v>
      </c>
      <c r="M2759" t="s">
        <v>14</v>
      </c>
      <c r="N2759" t="s">
        <v>15</v>
      </c>
    </row>
    <row r="2760" spans="1:14" x14ac:dyDescent="0.25">
      <c r="A2760">
        <v>22021</v>
      </c>
      <c r="B2760">
        <v>9663</v>
      </c>
      <c r="C2760">
        <f>1/COUNTIF(B:B,pizza_sales[[#This Row],[order_id]])</f>
        <v>1</v>
      </c>
      <c r="D2760" t="s">
        <v>16</v>
      </c>
      <c r="E2760">
        <v>1</v>
      </c>
      <c r="F2760" s="1">
        <v>42314</v>
      </c>
      <c r="G2760" s="1" t="str">
        <f>TEXT(pizza_sales[[#This Row],[order_date]],"dddd")</f>
        <v>Friday</v>
      </c>
      <c r="H2760" s="2">
        <v>0.72822916666666671</v>
      </c>
      <c r="I2760">
        <v>16</v>
      </c>
      <c r="J2760">
        <v>16</v>
      </c>
      <c r="K2760" t="s">
        <v>59</v>
      </c>
      <c r="L2760" t="s">
        <v>17</v>
      </c>
      <c r="M2760" t="s">
        <v>18</v>
      </c>
      <c r="N2760" t="s">
        <v>19</v>
      </c>
    </row>
    <row r="2761" spans="1:14" x14ac:dyDescent="0.25">
      <c r="A2761">
        <v>22024</v>
      </c>
      <c r="B2761">
        <v>9664</v>
      </c>
      <c r="C2761">
        <f>1/COUNTIF(B:B,pizza_sales[[#This Row],[order_id]])</f>
        <v>1</v>
      </c>
      <c r="D2761" t="s">
        <v>46</v>
      </c>
      <c r="E2761">
        <v>1</v>
      </c>
      <c r="F2761" s="1">
        <v>42314</v>
      </c>
      <c r="G2761" s="1" t="str">
        <f>TEXT(pizza_sales[[#This Row],[order_date]],"dddd")</f>
        <v>Friday</v>
      </c>
      <c r="H2761" s="2">
        <v>0.73177083333333337</v>
      </c>
      <c r="I2761">
        <v>25.5</v>
      </c>
      <c r="J2761">
        <v>25.5</v>
      </c>
      <c r="K2761" t="s">
        <v>61</v>
      </c>
      <c r="L2761" t="s">
        <v>13</v>
      </c>
      <c r="M2761" t="s">
        <v>21</v>
      </c>
      <c r="N2761" t="s">
        <v>22</v>
      </c>
    </row>
    <row r="2762" spans="1:14" x14ac:dyDescent="0.25">
      <c r="A2762">
        <v>22025</v>
      </c>
      <c r="B2762">
        <v>9665</v>
      </c>
      <c r="C2762">
        <f>1/COUNTIF(B:B,pizza_sales[[#This Row],[order_id]])</f>
        <v>1</v>
      </c>
      <c r="D2762" t="s">
        <v>39</v>
      </c>
      <c r="E2762">
        <v>1</v>
      </c>
      <c r="F2762" s="1">
        <v>42314</v>
      </c>
      <c r="G2762" s="1" t="str">
        <f>TEXT(pizza_sales[[#This Row],[order_date]],"dddd")</f>
        <v>Friday</v>
      </c>
      <c r="H2762" s="2">
        <v>0.73287037037037039</v>
      </c>
      <c r="I2762">
        <v>20.25</v>
      </c>
      <c r="J2762">
        <v>20.25</v>
      </c>
      <c r="K2762" t="s">
        <v>58</v>
      </c>
      <c r="L2762" t="s">
        <v>35</v>
      </c>
      <c r="M2762" t="s">
        <v>40</v>
      </c>
      <c r="N2762" t="s">
        <v>41</v>
      </c>
    </row>
    <row r="2763" spans="1:14" x14ac:dyDescent="0.25">
      <c r="A2763">
        <v>22027</v>
      </c>
      <c r="B2763">
        <v>9667</v>
      </c>
      <c r="C2763">
        <f>1/COUNTIF(B:B,pizza_sales[[#This Row],[order_id]])</f>
        <v>1</v>
      </c>
      <c r="D2763" t="s">
        <v>38</v>
      </c>
      <c r="E2763">
        <v>1</v>
      </c>
      <c r="F2763" s="1">
        <v>42314</v>
      </c>
      <c r="G2763" s="1" t="str">
        <f>TEXT(pizza_sales[[#This Row],[order_date]],"dddd")</f>
        <v>Friday</v>
      </c>
      <c r="H2763" s="2">
        <v>0.74137731481481484</v>
      </c>
      <c r="I2763">
        <v>20.5</v>
      </c>
      <c r="J2763">
        <v>20.5</v>
      </c>
      <c r="K2763" t="s">
        <v>58</v>
      </c>
      <c r="L2763" t="s">
        <v>13</v>
      </c>
      <c r="M2763" t="s">
        <v>32</v>
      </c>
      <c r="N2763" t="s">
        <v>33</v>
      </c>
    </row>
    <row r="2764" spans="1:14" x14ac:dyDescent="0.25">
      <c r="A2764">
        <v>22028</v>
      </c>
      <c r="B2764">
        <v>9668</v>
      </c>
      <c r="C2764">
        <f>1/COUNTIF(B:B,pizza_sales[[#This Row],[order_id]])</f>
        <v>1</v>
      </c>
      <c r="D2764" t="s">
        <v>47</v>
      </c>
      <c r="E2764">
        <v>1</v>
      </c>
      <c r="F2764" s="1">
        <v>42314</v>
      </c>
      <c r="G2764" s="1" t="str">
        <f>TEXT(pizza_sales[[#This Row],[order_date]],"dddd")</f>
        <v>Friday</v>
      </c>
      <c r="H2764" s="2">
        <v>0.75394675925925925</v>
      </c>
      <c r="I2764">
        <v>16.5</v>
      </c>
      <c r="J2764">
        <v>16.5</v>
      </c>
      <c r="K2764" t="s">
        <v>58</v>
      </c>
      <c r="L2764" t="s">
        <v>13</v>
      </c>
      <c r="M2764" t="s">
        <v>14</v>
      </c>
      <c r="N2764" t="s">
        <v>15</v>
      </c>
    </row>
    <row r="2765" spans="1:14" x14ac:dyDescent="0.25">
      <c r="A2765">
        <v>22029</v>
      </c>
      <c r="B2765">
        <v>9669</v>
      </c>
      <c r="C2765">
        <f>1/COUNTIF(B:B,pizza_sales[[#This Row],[order_id]])</f>
        <v>0.5</v>
      </c>
      <c r="D2765" t="s">
        <v>56</v>
      </c>
      <c r="E2765">
        <v>1</v>
      </c>
      <c r="F2765" s="1">
        <v>42314</v>
      </c>
      <c r="G2765" s="1" t="str">
        <f>TEXT(pizza_sales[[#This Row],[order_date]],"dddd")</f>
        <v>Friday</v>
      </c>
      <c r="H2765" s="2">
        <v>0.75973379629629634</v>
      </c>
      <c r="I2765">
        <v>20.25</v>
      </c>
      <c r="J2765">
        <v>20.25</v>
      </c>
      <c r="K2765" t="s">
        <v>58</v>
      </c>
      <c r="L2765" t="s">
        <v>35</v>
      </c>
      <c r="M2765" t="s">
        <v>36</v>
      </c>
      <c r="N2765" t="s">
        <v>37</v>
      </c>
    </row>
    <row r="2766" spans="1:14" x14ac:dyDescent="0.25">
      <c r="A2766">
        <v>22030</v>
      </c>
      <c r="B2766">
        <v>9669</v>
      </c>
      <c r="C2766">
        <f>1/COUNTIF(B:B,pizza_sales[[#This Row],[order_id]])</f>
        <v>0.5</v>
      </c>
      <c r="D2766" t="s">
        <v>44</v>
      </c>
      <c r="E2766">
        <v>1</v>
      </c>
      <c r="F2766" s="1">
        <v>42314</v>
      </c>
      <c r="G2766" s="1" t="str">
        <f>TEXT(pizza_sales[[#This Row],[order_date]],"dddd")</f>
        <v>Friday</v>
      </c>
      <c r="H2766" s="2">
        <v>0.75973379629629634</v>
      </c>
      <c r="I2766">
        <v>9.75</v>
      </c>
      <c r="J2766">
        <v>9.75</v>
      </c>
      <c r="K2766" t="s">
        <v>60</v>
      </c>
      <c r="L2766" t="s">
        <v>13</v>
      </c>
      <c r="M2766" t="s">
        <v>26</v>
      </c>
      <c r="N2766" t="s">
        <v>27</v>
      </c>
    </row>
    <row r="2767" spans="1:14" x14ac:dyDescent="0.25">
      <c r="A2767">
        <v>22038</v>
      </c>
      <c r="B2767">
        <v>9673</v>
      </c>
      <c r="C2767">
        <f>1/COUNTIF(B:B,pizza_sales[[#This Row],[order_id]])</f>
        <v>1</v>
      </c>
      <c r="D2767" t="s">
        <v>25</v>
      </c>
      <c r="E2767">
        <v>1</v>
      </c>
      <c r="F2767" s="1">
        <v>42314</v>
      </c>
      <c r="G2767" s="1" t="str">
        <f>TEXT(pizza_sales[[#This Row],[order_date]],"dddd")</f>
        <v>Friday</v>
      </c>
      <c r="H2767" s="2">
        <v>0.76520833333333338</v>
      </c>
      <c r="I2767">
        <v>15.25</v>
      </c>
      <c r="J2767">
        <v>15.25</v>
      </c>
      <c r="K2767" t="s">
        <v>58</v>
      </c>
      <c r="L2767" t="s">
        <v>13</v>
      </c>
      <c r="M2767" t="s">
        <v>26</v>
      </c>
      <c r="N2767" t="s">
        <v>27</v>
      </c>
    </row>
    <row r="2768" spans="1:14" x14ac:dyDescent="0.25">
      <c r="A2768">
        <v>22040</v>
      </c>
      <c r="B2768">
        <v>9674</v>
      </c>
      <c r="C2768">
        <f>1/COUNTIF(B:B,pizza_sales[[#This Row],[order_id]])</f>
        <v>0.5</v>
      </c>
      <c r="D2768" t="s">
        <v>45</v>
      </c>
      <c r="E2768">
        <v>1</v>
      </c>
      <c r="F2768" s="1">
        <v>42314</v>
      </c>
      <c r="G2768" s="1" t="str">
        <f>TEXT(pizza_sales[[#This Row],[order_date]],"dddd")</f>
        <v>Friday</v>
      </c>
      <c r="H2768" s="2">
        <v>0.77113425925925927</v>
      </c>
      <c r="I2768">
        <v>10.5</v>
      </c>
      <c r="J2768">
        <v>10.5</v>
      </c>
      <c r="K2768" t="s">
        <v>60</v>
      </c>
      <c r="L2768" t="s">
        <v>13</v>
      </c>
      <c r="M2768" t="s">
        <v>14</v>
      </c>
      <c r="N2768" t="s">
        <v>15</v>
      </c>
    </row>
    <row r="2769" spans="1:14" x14ac:dyDescent="0.25">
      <c r="A2769">
        <v>22041</v>
      </c>
      <c r="B2769">
        <v>9674</v>
      </c>
      <c r="C2769">
        <f>1/COUNTIF(B:B,pizza_sales[[#This Row],[order_id]])</f>
        <v>0.5</v>
      </c>
      <c r="D2769" t="s">
        <v>43</v>
      </c>
      <c r="E2769">
        <v>1</v>
      </c>
      <c r="F2769" s="1">
        <v>42314</v>
      </c>
      <c r="G2769" s="1" t="str">
        <f>TEXT(pizza_sales[[#This Row],[order_date]],"dddd")</f>
        <v>Friday</v>
      </c>
      <c r="H2769" s="2">
        <v>0.77113425925925927</v>
      </c>
      <c r="I2769">
        <v>16.25</v>
      </c>
      <c r="J2769">
        <v>16.25</v>
      </c>
      <c r="K2769" t="s">
        <v>59</v>
      </c>
      <c r="L2769" t="s">
        <v>35</v>
      </c>
      <c r="M2769" t="s">
        <v>40</v>
      </c>
      <c r="N2769" t="s">
        <v>41</v>
      </c>
    </row>
    <row r="2770" spans="1:14" x14ac:dyDescent="0.25">
      <c r="A2770">
        <v>22042</v>
      </c>
      <c r="B2770">
        <v>9675</v>
      </c>
      <c r="C2770">
        <f>1/COUNTIF(B:B,pizza_sales[[#This Row],[order_id]])</f>
        <v>0.33333333333333331</v>
      </c>
      <c r="D2770" t="s">
        <v>28</v>
      </c>
      <c r="E2770">
        <v>1</v>
      </c>
      <c r="F2770" s="1">
        <v>42314</v>
      </c>
      <c r="G2770" s="1" t="str">
        <f>TEXT(pizza_sales[[#This Row],[order_date]],"dddd")</f>
        <v>Friday</v>
      </c>
      <c r="H2770" s="2">
        <v>0.77962962962962967</v>
      </c>
      <c r="I2770">
        <v>12</v>
      </c>
      <c r="J2770">
        <v>12</v>
      </c>
      <c r="K2770" t="s">
        <v>60</v>
      </c>
      <c r="L2770" t="s">
        <v>13</v>
      </c>
      <c r="M2770" t="s">
        <v>29</v>
      </c>
      <c r="N2770" t="s">
        <v>30</v>
      </c>
    </row>
    <row r="2771" spans="1:14" x14ac:dyDescent="0.25">
      <c r="A2771">
        <v>22043</v>
      </c>
      <c r="B2771">
        <v>9675</v>
      </c>
      <c r="C2771">
        <f>1/COUNTIF(B:B,pizza_sales[[#This Row],[order_id]])</f>
        <v>0.33333333333333331</v>
      </c>
      <c r="D2771" t="s">
        <v>34</v>
      </c>
      <c r="E2771">
        <v>1</v>
      </c>
      <c r="F2771" s="1">
        <v>42314</v>
      </c>
      <c r="G2771" s="1" t="str">
        <f>TEXT(pizza_sales[[#This Row],[order_date]],"dddd")</f>
        <v>Friday</v>
      </c>
      <c r="H2771" s="2">
        <v>0.77962962962962967</v>
      </c>
      <c r="I2771">
        <v>16.25</v>
      </c>
      <c r="J2771">
        <v>16.25</v>
      </c>
      <c r="K2771" t="s">
        <v>59</v>
      </c>
      <c r="L2771" t="s">
        <v>35</v>
      </c>
      <c r="M2771" t="s">
        <v>36</v>
      </c>
      <c r="N2771" t="s">
        <v>37</v>
      </c>
    </row>
    <row r="2772" spans="1:14" x14ac:dyDescent="0.25">
      <c r="A2772">
        <v>22045</v>
      </c>
      <c r="B2772">
        <v>9675</v>
      </c>
      <c r="C2772">
        <f>1/COUNTIF(B:B,pizza_sales[[#This Row],[order_id]])</f>
        <v>0.33333333333333331</v>
      </c>
      <c r="D2772" t="s">
        <v>25</v>
      </c>
      <c r="E2772">
        <v>1</v>
      </c>
      <c r="F2772" s="1">
        <v>42314</v>
      </c>
      <c r="G2772" s="1" t="str">
        <f>TEXT(pizza_sales[[#This Row],[order_date]],"dddd")</f>
        <v>Friday</v>
      </c>
      <c r="H2772" s="2">
        <v>0.77962962962962967</v>
      </c>
      <c r="I2772">
        <v>15.25</v>
      </c>
      <c r="J2772">
        <v>15.25</v>
      </c>
      <c r="K2772" t="s">
        <v>58</v>
      </c>
      <c r="L2772" t="s">
        <v>13</v>
      </c>
      <c r="M2772" t="s">
        <v>26</v>
      </c>
      <c r="N2772" t="s">
        <v>27</v>
      </c>
    </row>
    <row r="2773" spans="1:14" x14ac:dyDescent="0.25">
      <c r="A2773">
        <v>22047</v>
      </c>
      <c r="B2773">
        <v>9676</v>
      </c>
      <c r="C2773">
        <f>1/COUNTIF(B:B,pizza_sales[[#This Row],[order_id]])</f>
        <v>1</v>
      </c>
      <c r="D2773" t="s">
        <v>47</v>
      </c>
      <c r="E2773">
        <v>1</v>
      </c>
      <c r="F2773" s="1">
        <v>42314</v>
      </c>
      <c r="G2773" s="1" t="str">
        <f>TEXT(pizza_sales[[#This Row],[order_date]],"dddd")</f>
        <v>Friday</v>
      </c>
      <c r="H2773" s="2">
        <v>0.80143518518518519</v>
      </c>
      <c r="I2773">
        <v>16.5</v>
      </c>
      <c r="J2773">
        <v>16.5</v>
      </c>
      <c r="K2773" t="s">
        <v>58</v>
      </c>
      <c r="L2773" t="s">
        <v>13</v>
      </c>
      <c r="M2773" t="s">
        <v>14</v>
      </c>
      <c r="N2773" t="s">
        <v>15</v>
      </c>
    </row>
    <row r="2774" spans="1:14" x14ac:dyDescent="0.25">
      <c r="A2774">
        <v>22048</v>
      </c>
      <c r="B2774">
        <v>9677</v>
      </c>
      <c r="C2774">
        <f>1/COUNTIF(B:B,pizza_sales[[#This Row],[order_id]])</f>
        <v>1</v>
      </c>
      <c r="D2774" t="s">
        <v>25</v>
      </c>
      <c r="E2774">
        <v>1</v>
      </c>
      <c r="F2774" s="1">
        <v>42314</v>
      </c>
      <c r="G2774" s="1" t="str">
        <f>TEXT(pizza_sales[[#This Row],[order_date]],"dddd")</f>
        <v>Friday</v>
      </c>
      <c r="H2774" s="2">
        <v>0.81328703703703709</v>
      </c>
      <c r="I2774">
        <v>15.25</v>
      </c>
      <c r="J2774">
        <v>15.25</v>
      </c>
      <c r="K2774" t="s">
        <v>58</v>
      </c>
      <c r="L2774" t="s">
        <v>13</v>
      </c>
      <c r="M2774" t="s">
        <v>26</v>
      </c>
      <c r="N2774" t="s">
        <v>27</v>
      </c>
    </row>
    <row r="2775" spans="1:14" x14ac:dyDescent="0.25">
      <c r="A2775">
        <v>22052</v>
      </c>
      <c r="B2775">
        <v>9681</v>
      </c>
      <c r="C2775">
        <f>1/COUNTIF(B:B,pizza_sales[[#This Row],[order_id]])</f>
        <v>1</v>
      </c>
      <c r="D2775" t="s">
        <v>43</v>
      </c>
      <c r="E2775">
        <v>1</v>
      </c>
      <c r="F2775" s="1">
        <v>42314</v>
      </c>
      <c r="G2775" s="1" t="str">
        <f>TEXT(pizza_sales[[#This Row],[order_date]],"dddd")</f>
        <v>Friday</v>
      </c>
      <c r="H2775" s="2">
        <v>0.83660879629629625</v>
      </c>
      <c r="I2775">
        <v>16.25</v>
      </c>
      <c r="J2775">
        <v>16.25</v>
      </c>
      <c r="K2775" t="s">
        <v>59</v>
      </c>
      <c r="L2775" t="s">
        <v>35</v>
      </c>
      <c r="M2775" t="s">
        <v>40</v>
      </c>
      <c r="N2775" t="s">
        <v>41</v>
      </c>
    </row>
    <row r="2776" spans="1:14" x14ac:dyDescent="0.25">
      <c r="A2776">
        <v>22060</v>
      </c>
      <c r="B2776">
        <v>9686</v>
      </c>
      <c r="C2776">
        <f>1/COUNTIF(B:B,pizza_sales[[#This Row],[order_id]])</f>
        <v>1</v>
      </c>
      <c r="D2776" t="s">
        <v>47</v>
      </c>
      <c r="E2776">
        <v>1</v>
      </c>
      <c r="F2776" s="1">
        <v>42314</v>
      </c>
      <c r="G2776" s="1" t="str">
        <f>TEXT(pizza_sales[[#This Row],[order_date]],"dddd")</f>
        <v>Friday</v>
      </c>
      <c r="H2776" s="2">
        <v>0.8775694444444444</v>
      </c>
      <c r="I2776">
        <v>16.5</v>
      </c>
      <c r="J2776">
        <v>16.5</v>
      </c>
      <c r="K2776" t="s">
        <v>58</v>
      </c>
      <c r="L2776" t="s">
        <v>13</v>
      </c>
      <c r="M2776" t="s">
        <v>14</v>
      </c>
      <c r="N2776" t="s">
        <v>15</v>
      </c>
    </row>
    <row r="2777" spans="1:14" x14ac:dyDescent="0.25">
      <c r="A2777">
        <v>22062</v>
      </c>
      <c r="B2777">
        <v>9688</v>
      </c>
      <c r="C2777">
        <f>1/COUNTIF(B:B,pizza_sales[[#This Row],[order_id]])</f>
        <v>1</v>
      </c>
      <c r="D2777" t="s">
        <v>46</v>
      </c>
      <c r="E2777">
        <v>1</v>
      </c>
      <c r="F2777" s="1">
        <v>42314</v>
      </c>
      <c r="G2777" s="1" t="str">
        <f>TEXT(pizza_sales[[#This Row],[order_date]],"dddd")</f>
        <v>Friday</v>
      </c>
      <c r="H2777" s="2">
        <v>0.88563657407407403</v>
      </c>
      <c r="I2777">
        <v>25.5</v>
      </c>
      <c r="J2777">
        <v>25.5</v>
      </c>
      <c r="K2777" t="s">
        <v>61</v>
      </c>
      <c r="L2777" t="s">
        <v>13</v>
      </c>
      <c r="M2777" t="s">
        <v>21</v>
      </c>
      <c r="N2777" t="s">
        <v>22</v>
      </c>
    </row>
    <row r="2778" spans="1:14" x14ac:dyDescent="0.25">
      <c r="A2778">
        <v>22063</v>
      </c>
      <c r="B2778">
        <v>9689</v>
      </c>
      <c r="C2778">
        <f>1/COUNTIF(B:B,pizza_sales[[#This Row],[order_id]])</f>
        <v>1</v>
      </c>
      <c r="D2778" t="s">
        <v>44</v>
      </c>
      <c r="E2778">
        <v>1</v>
      </c>
      <c r="F2778" s="1">
        <v>42314</v>
      </c>
      <c r="G2778" s="1" t="str">
        <f>TEXT(pizza_sales[[#This Row],[order_date]],"dddd")</f>
        <v>Friday</v>
      </c>
      <c r="H2778" s="2">
        <v>0.8913888888888889</v>
      </c>
      <c r="I2778">
        <v>9.75</v>
      </c>
      <c r="J2778">
        <v>9.75</v>
      </c>
      <c r="K2778" t="s">
        <v>60</v>
      </c>
      <c r="L2778" t="s">
        <v>13</v>
      </c>
      <c r="M2778" t="s">
        <v>26</v>
      </c>
      <c r="N2778" t="s">
        <v>27</v>
      </c>
    </row>
    <row r="2779" spans="1:14" x14ac:dyDescent="0.25">
      <c r="A2779">
        <v>22064</v>
      </c>
      <c r="B2779">
        <v>9690</v>
      </c>
      <c r="C2779">
        <f>1/COUNTIF(B:B,pizza_sales[[#This Row],[order_id]])</f>
        <v>1</v>
      </c>
      <c r="D2779" t="s">
        <v>45</v>
      </c>
      <c r="E2779">
        <v>1</v>
      </c>
      <c r="F2779" s="1">
        <v>42314</v>
      </c>
      <c r="G2779" s="1" t="str">
        <f>TEXT(pizza_sales[[#This Row],[order_date]],"dddd")</f>
        <v>Friday</v>
      </c>
      <c r="H2779" s="2">
        <v>0.90530092592592593</v>
      </c>
      <c r="I2779">
        <v>10.5</v>
      </c>
      <c r="J2779">
        <v>10.5</v>
      </c>
      <c r="K2779" t="s">
        <v>60</v>
      </c>
      <c r="L2779" t="s">
        <v>13</v>
      </c>
      <c r="M2779" t="s">
        <v>14</v>
      </c>
      <c r="N2779" t="s">
        <v>15</v>
      </c>
    </row>
    <row r="2780" spans="1:14" x14ac:dyDescent="0.25">
      <c r="A2780">
        <v>22069</v>
      </c>
      <c r="B2780">
        <v>9693</v>
      </c>
      <c r="C2780">
        <f>1/COUNTIF(B:B,pizza_sales[[#This Row],[order_id]])</f>
        <v>1</v>
      </c>
      <c r="D2780" t="s">
        <v>48</v>
      </c>
      <c r="E2780">
        <v>1</v>
      </c>
      <c r="F2780" s="1">
        <v>42344</v>
      </c>
      <c r="G2780" s="1" t="str">
        <f>TEXT(pizza_sales[[#This Row],[order_date]],"dddd")</f>
        <v>Sunday</v>
      </c>
      <c r="H2780" s="2">
        <v>0.50662037037037033</v>
      </c>
      <c r="I2780">
        <v>12.25</v>
      </c>
      <c r="J2780">
        <v>12.25</v>
      </c>
      <c r="K2780" t="s">
        <v>60</v>
      </c>
      <c r="L2780" t="s">
        <v>35</v>
      </c>
      <c r="M2780" t="s">
        <v>40</v>
      </c>
      <c r="N2780" t="s">
        <v>41</v>
      </c>
    </row>
    <row r="2781" spans="1:14" x14ac:dyDescent="0.25">
      <c r="A2781">
        <v>22070</v>
      </c>
      <c r="B2781">
        <v>9694</v>
      </c>
      <c r="C2781">
        <f>1/COUNTIF(B:B,pizza_sales[[#This Row],[order_id]])</f>
        <v>1</v>
      </c>
      <c r="D2781" t="s">
        <v>54</v>
      </c>
      <c r="E2781">
        <v>1</v>
      </c>
      <c r="F2781" s="1">
        <v>42344</v>
      </c>
      <c r="G2781" s="1" t="str">
        <f>TEXT(pizza_sales[[#This Row],[order_date]],"dddd")</f>
        <v>Sunday</v>
      </c>
      <c r="H2781" s="2">
        <v>0.51009259259259254</v>
      </c>
      <c r="I2781">
        <v>12.25</v>
      </c>
      <c r="J2781">
        <v>12.25</v>
      </c>
      <c r="K2781" t="s">
        <v>60</v>
      </c>
      <c r="L2781" t="s">
        <v>35</v>
      </c>
      <c r="M2781" t="s">
        <v>36</v>
      </c>
      <c r="N2781" t="s">
        <v>37</v>
      </c>
    </row>
    <row r="2782" spans="1:14" x14ac:dyDescent="0.25">
      <c r="A2782">
        <v>22076</v>
      </c>
      <c r="B2782">
        <v>9695</v>
      </c>
      <c r="C2782">
        <f>1/COUNTIF(B:B,pizza_sales[[#This Row],[order_id]])</f>
        <v>1</v>
      </c>
      <c r="D2782" t="s">
        <v>43</v>
      </c>
      <c r="E2782">
        <v>1</v>
      </c>
      <c r="F2782" s="1">
        <v>42344</v>
      </c>
      <c r="G2782" s="1" t="str">
        <f>TEXT(pizza_sales[[#This Row],[order_date]],"dddd")</f>
        <v>Sunday</v>
      </c>
      <c r="H2782" s="2">
        <v>0.51959490740740744</v>
      </c>
      <c r="I2782">
        <v>16.25</v>
      </c>
      <c r="J2782">
        <v>16.25</v>
      </c>
      <c r="K2782" t="s">
        <v>59</v>
      </c>
      <c r="L2782" t="s">
        <v>35</v>
      </c>
      <c r="M2782" t="s">
        <v>40</v>
      </c>
      <c r="N2782" t="s">
        <v>41</v>
      </c>
    </row>
    <row r="2783" spans="1:14" x14ac:dyDescent="0.25">
      <c r="A2783">
        <v>22077</v>
      </c>
      <c r="B2783">
        <v>9696</v>
      </c>
      <c r="C2783">
        <f>1/COUNTIF(B:B,pizza_sales[[#This Row],[order_id]])</f>
        <v>1</v>
      </c>
      <c r="D2783" t="s">
        <v>34</v>
      </c>
      <c r="E2783">
        <v>1</v>
      </c>
      <c r="F2783" s="1">
        <v>42344</v>
      </c>
      <c r="G2783" s="1" t="str">
        <f>TEXT(pizza_sales[[#This Row],[order_date]],"dddd")</f>
        <v>Sunday</v>
      </c>
      <c r="H2783" s="2">
        <v>0.5220717592592593</v>
      </c>
      <c r="I2783">
        <v>16.25</v>
      </c>
      <c r="J2783">
        <v>16.25</v>
      </c>
      <c r="K2783" t="s">
        <v>59</v>
      </c>
      <c r="L2783" t="s">
        <v>35</v>
      </c>
      <c r="M2783" t="s">
        <v>36</v>
      </c>
      <c r="N2783" t="s">
        <v>37</v>
      </c>
    </row>
    <row r="2784" spans="1:14" x14ac:dyDescent="0.25">
      <c r="A2784">
        <v>22082</v>
      </c>
      <c r="B2784">
        <v>9699</v>
      </c>
      <c r="C2784">
        <f>1/COUNTIF(B:B,pizza_sales[[#This Row],[order_id]])</f>
        <v>1</v>
      </c>
      <c r="D2784" t="s">
        <v>16</v>
      </c>
      <c r="E2784">
        <v>1</v>
      </c>
      <c r="F2784" s="1">
        <v>42344</v>
      </c>
      <c r="G2784" s="1" t="str">
        <f>TEXT(pizza_sales[[#This Row],[order_date]],"dddd")</f>
        <v>Sunday</v>
      </c>
      <c r="H2784" s="2">
        <v>0.54083333333333339</v>
      </c>
      <c r="I2784">
        <v>16</v>
      </c>
      <c r="J2784">
        <v>16</v>
      </c>
      <c r="K2784" t="s">
        <v>59</v>
      </c>
      <c r="L2784" t="s">
        <v>17</v>
      </c>
      <c r="M2784" t="s">
        <v>18</v>
      </c>
      <c r="N2784" t="s">
        <v>19</v>
      </c>
    </row>
    <row r="2785" spans="1:14" x14ac:dyDescent="0.25">
      <c r="A2785">
        <v>22084</v>
      </c>
      <c r="B2785">
        <v>9701</v>
      </c>
      <c r="C2785">
        <f>1/COUNTIF(B:B,pizza_sales[[#This Row],[order_id]])</f>
        <v>1</v>
      </c>
      <c r="D2785" t="s">
        <v>38</v>
      </c>
      <c r="E2785">
        <v>1</v>
      </c>
      <c r="F2785" s="1">
        <v>42344</v>
      </c>
      <c r="G2785" s="1" t="str">
        <f>TEXT(pizza_sales[[#This Row],[order_date]],"dddd")</f>
        <v>Sunday</v>
      </c>
      <c r="H2785" s="2">
        <v>0.54768518518518516</v>
      </c>
      <c r="I2785">
        <v>20.5</v>
      </c>
      <c r="J2785">
        <v>20.5</v>
      </c>
      <c r="K2785" t="s">
        <v>58</v>
      </c>
      <c r="L2785" t="s">
        <v>13</v>
      </c>
      <c r="M2785" t="s">
        <v>32</v>
      </c>
      <c r="N2785" t="s">
        <v>33</v>
      </c>
    </row>
    <row r="2786" spans="1:14" x14ac:dyDescent="0.25">
      <c r="A2786">
        <v>22094</v>
      </c>
      <c r="B2786">
        <v>9705</v>
      </c>
      <c r="C2786">
        <f>1/COUNTIF(B:B,pizza_sales[[#This Row],[order_id]])</f>
        <v>0.25</v>
      </c>
      <c r="D2786" t="s">
        <v>47</v>
      </c>
      <c r="E2786">
        <v>1</v>
      </c>
      <c r="F2786" s="1">
        <v>42344</v>
      </c>
      <c r="G2786" s="1" t="str">
        <f>TEXT(pizza_sales[[#This Row],[order_date]],"dddd")</f>
        <v>Sunday</v>
      </c>
      <c r="H2786" s="2">
        <v>0.56126157407407407</v>
      </c>
      <c r="I2786">
        <v>16.5</v>
      </c>
      <c r="J2786">
        <v>16.5</v>
      </c>
      <c r="K2786" t="s">
        <v>58</v>
      </c>
      <c r="L2786" t="s">
        <v>13</v>
      </c>
      <c r="M2786" t="s">
        <v>14</v>
      </c>
      <c r="N2786" t="s">
        <v>15</v>
      </c>
    </row>
    <row r="2787" spans="1:14" x14ac:dyDescent="0.25">
      <c r="A2787">
        <v>22095</v>
      </c>
      <c r="B2787">
        <v>9705</v>
      </c>
      <c r="C2787">
        <f>1/COUNTIF(B:B,pizza_sales[[#This Row],[order_id]])</f>
        <v>0.25</v>
      </c>
      <c r="D2787" t="s">
        <v>45</v>
      </c>
      <c r="E2787">
        <v>1</v>
      </c>
      <c r="F2787" s="1">
        <v>42344</v>
      </c>
      <c r="G2787" s="1" t="str">
        <f>TEXT(pizza_sales[[#This Row],[order_date]],"dddd")</f>
        <v>Sunday</v>
      </c>
      <c r="H2787" s="2">
        <v>0.56126157407407407</v>
      </c>
      <c r="I2787">
        <v>10.5</v>
      </c>
      <c r="J2787">
        <v>10.5</v>
      </c>
      <c r="K2787" t="s">
        <v>60</v>
      </c>
      <c r="L2787" t="s">
        <v>13</v>
      </c>
      <c r="M2787" t="s">
        <v>14</v>
      </c>
      <c r="N2787" t="s">
        <v>15</v>
      </c>
    </row>
    <row r="2788" spans="1:14" x14ac:dyDescent="0.25">
      <c r="A2788">
        <v>22098</v>
      </c>
      <c r="B2788">
        <v>9705</v>
      </c>
      <c r="C2788">
        <f>1/COUNTIF(B:B,pizza_sales[[#This Row],[order_id]])</f>
        <v>0.25</v>
      </c>
      <c r="D2788" t="s">
        <v>16</v>
      </c>
      <c r="E2788">
        <v>2</v>
      </c>
      <c r="F2788" s="1">
        <v>42344</v>
      </c>
      <c r="G2788" s="1" t="str">
        <f>TEXT(pizza_sales[[#This Row],[order_date]],"dddd")</f>
        <v>Sunday</v>
      </c>
      <c r="H2788" s="2">
        <v>0.56126157407407407</v>
      </c>
      <c r="I2788">
        <v>16</v>
      </c>
      <c r="J2788">
        <v>32</v>
      </c>
      <c r="K2788" t="s">
        <v>59</v>
      </c>
      <c r="L2788" t="s">
        <v>17</v>
      </c>
      <c r="M2788" t="s">
        <v>18</v>
      </c>
      <c r="N2788" t="s">
        <v>19</v>
      </c>
    </row>
    <row r="2789" spans="1:14" x14ac:dyDescent="0.25">
      <c r="A2789">
        <v>22099</v>
      </c>
      <c r="B2789">
        <v>9705</v>
      </c>
      <c r="C2789">
        <f>1/COUNTIF(B:B,pizza_sales[[#This Row],[order_id]])</f>
        <v>0.25</v>
      </c>
      <c r="D2789" t="s">
        <v>38</v>
      </c>
      <c r="E2789">
        <v>1</v>
      </c>
      <c r="F2789" s="1">
        <v>42344</v>
      </c>
      <c r="G2789" s="1" t="str">
        <f>TEXT(pizza_sales[[#This Row],[order_date]],"dddd")</f>
        <v>Sunday</v>
      </c>
      <c r="H2789" s="2">
        <v>0.56126157407407407</v>
      </c>
      <c r="I2789">
        <v>20.5</v>
      </c>
      <c r="J2789">
        <v>20.5</v>
      </c>
      <c r="K2789" t="s">
        <v>58</v>
      </c>
      <c r="L2789" t="s">
        <v>13</v>
      </c>
      <c r="M2789" t="s">
        <v>32</v>
      </c>
      <c r="N2789" t="s">
        <v>33</v>
      </c>
    </row>
    <row r="2790" spans="1:14" x14ac:dyDescent="0.25">
      <c r="A2790">
        <v>22105</v>
      </c>
      <c r="B2790">
        <v>9710</v>
      </c>
      <c r="C2790">
        <f>1/COUNTIF(B:B,pizza_sales[[#This Row],[order_id]])</f>
        <v>0.5</v>
      </c>
      <c r="D2790" t="s">
        <v>16</v>
      </c>
      <c r="E2790">
        <v>1</v>
      </c>
      <c r="F2790" s="1">
        <v>42344</v>
      </c>
      <c r="G2790" s="1" t="str">
        <f>TEXT(pizza_sales[[#This Row],[order_date]],"dddd")</f>
        <v>Sunday</v>
      </c>
      <c r="H2790" s="2">
        <v>0.60701388888888885</v>
      </c>
      <c r="I2790">
        <v>16</v>
      </c>
      <c r="J2790">
        <v>16</v>
      </c>
      <c r="K2790" t="s">
        <v>59</v>
      </c>
      <c r="L2790" t="s">
        <v>17</v>
      </c>
      <c r="M2790" t="s">
        <v>18</v>
      </c>
      <c r="N2790" t="s">
        <v>19</v>
      </c>
    </row>
    <row r="2791" spans="1:14" x14ac:dyDescent="0.25">
      <c r="A2791">
        <v>22107</v>
      </c>
      <c r="B2791">
        <v>9710</v>
      </c>
      <c r="C2791">
        <f>1/COUNTIF(B:B,pizza_sales[[#This Row],[order_id]])</f>
        <v>0.5</v>
      </c>
      <c r="D2791" t="s">
        <v>20</v>
      </c>
      <c r="E2791">
        <v>1</v>
      </c>
      <c r="F2791" s="1">
        <v>42344</v>
      </c>
      <c r="G2791" s="1" t="str">
        <f>TEXT(pizza_sales[[#This Row],[order_date]],"dddd")</f>
        <v>Sunday</v>
      </c>
      <c r="H2791" s="2">
        <v>0.60701388888888885</v>
      </c>
      <c r="I2791">
        <v>12</v>
      </c>
      <c r="J2791">
        <v>12</v>
      </c>
      <c r="K2791" t="s">
        <v>60</v>
      </c>
      <c r="L2791" t="s">
        <v>13</v>
      </c>
      <c r="M2791" t="s">
        <v>21</v>
      </c>
      <c r="N2791" t="s">
        <v>22</v>
      </c>
    </row>
    <row r="2792" spans="1:14" x14ac:dyDescent="0.25">
      <c r="A2792">
        <v>22111</v>
      </c>
      <c r="B2792">
        <v>9713</v>
      </c>
      <c r="C2792">
        <f>1/COUNTIF(B:B,pizza_sales[[#This Row],[order_id]])</f>
        <v>1</v>
      </c>
      <c r="D2792" t="s">
        <v>45</v>
      </c>
      <c r="E2792">
        <v>1</v>
      </c>
      <c r="F2792" s="1">
        <v>42344</v>
      </c>
      <c r="G2792" s="1" t="str">
        <f>TEXT(pizza_sales[[#This Row],[order_date]],"dddd")</f>
        <v>Sunday</v>
      </c>
      <c r="H2792" s="2">
        <v>0.64557870370370374</v>
      </c>
      <c r="I2792">
        <v>10.5</v>
      </c>
      <c r="J2792">
        <v>10.5</v>
      </c>
      <c r="K2792" t="s">
        <v>60</v>
      </c>
      <c r="L2792" t="s">
        <v>13</v>
      </c>
      <c r="M2792" t="s">
        <v>14</v>
      </c>
      <c r="N2792" t="s">
        <v>15</v>
      </c>
    </row>
    <row r="2793" spans="1:14" x14ac:dyDescent="0.25">
      <c r="A2793">
        <v>22114</v>
      </c>
      <c r="B2793">
        <v>9715</v>
      </c>
      <c r="C2793">
        <f>1/COUNTIF(B:B,pizza_sales[[#This Row],[order_id]])</f>
        <v>1</v>
      </c>
      <c r="D2793" t="s">
        <v>28</v>
      </c>
      <c r="E2793">
        <v>1</v>
      </c>
      <c r="F2793" s="1">
        <v>42344</v>
      </c>
      <c r="G2793" s="1" t="str">
        <f>TEXT(pizza_sales[[#This Row],[order_date]],"dddd")</f>
        <v>Sunday</v>
      </c>
      <c r="H2793" s="2">
        <v>0.6507060185185185</v>
      </c>
      <c r="I2793">
        <v>12</v>
      </c>
      <c r="J2793">
        <v>12</v>
      </c>
      <c r="K2793" t="s">
        <v>60</v>
      </c>
      <c r="L2793" t="s">
        <v>13</v>
      </c>
      <c r="M2793" t="s">
        <v>29</v>
      </c>
      <c r="N2793" t="s">
        <v>30</v>
      </c>
    </row>
    <row r="2794" spans="1:14" x14ac:dyDescent="0.25">
      <c r="A2794">
        <v>22115</v>
      </c>
      <c r="B2794">
        <v>9716</v>
      </c>
      <c r="C2794">
        <f>1/COUNTIF(B:B,pizza_sales[[#This Row],[order_id]])</f>
        <v>1</v>
      </c>
      <c r="D2794" t="s">
        <v>12</v>
      </c>
      <c r="E2794">
        <v>1</v>
      </c>
      <c r="F2794" s="1">
        <v>42344</v>
      </c>
      <c r="G2794" s="1" t="str">
        <f>TEXT(pizza_sales[[#This Row],[order_date]],"dddd")</f>
        <v>Sunday</v>
      </c>
      <c r="H2794" s="2">
        <v>0.65255787037037039</v>
      </c>
      <c r="I2794">
        <v>13.25</v>
      </c>
      <c r="J2794">
        <v>13.25</v>
      </c>
      <c r="K2794" t="s">
        <v>59</v>
      </c>
      <c r="L2794" t="s">
        <v>13</v>
      </c>
      <c r="M2794" t="s">
        <v>14</v>
      </c>
      <c r="N2794" t="s">
        <v>15</v>
      </c>
    </row>
    <row r="2795" spans="1:14" x14ac:dyDescent="0.25">
      <c r="A2795">
        <v>22116</v>
      </c>
      <c r="B2795">
        <v>9717</v>
      </c>
      <c r="C2795">
        <f>1/COUNTIF(B:B,pizza_sales[[#This Row],[order_id]])</f>
        <v>0.5</v>
      </c>
      <c r="D2795" t="s">
        <v>28</v>
      </c>
      <c r="E2795">
        <v>1</v>
      </c>
      <c r="F2795" s="1">
        <v>42344</v>
      </c>
      <c r="G2795" s="1" t="str">
        <f>TEXT(pizza_sales[[#This Row],[order_date]],"dddd")</f>
        <v>Sunday</v>
      </c>
      <c r="H2795" s="2">
        <v>0.65295138888888893</v>
      </c>
      <c r="I2795">
        <v>12</v>
      </c>
      <c r="J2795">
        <v>12</v>
      </c>
      <c r="K2795" t="s">
        <v>60</v>
      </c>
      <c r="L2795" t="s">
        <v>13</v>
      </c>
      <c r="M2795" t="s">
        <v>29</v>
      </c>
      <c r="N2795" t="s">
        <v>30</v>
      </c>
    </row>
    <row r="2796" spans="1:14" x14ac:dyDescent="0.25">
      <c r="A2796">
        <v>22117</v>
      </c>
      <c r="B2796">
        <v>9717</v>
      </c>
      <c r="C2796">
        <f>1/COUNTIF(B:B,pizza_sales[[#This Row],[order_id]])</f>
        <v>0.5</v>
      </c>
      <c r="D2796" t="s">
        <v>34</v>
      </c>
      <c r="E2796">
        <v>1</v>
      </c>
      <c r="F2796" s="1">
        <v>42344</v>
      </c>
      <c r="G2796" s="1" t="str">
        <f>TEXT(pizza_sales[[#This Row],[order_date]],"dddd")</f>
        <v>Sunday</v>
      </c>
      <c r="H2796" s="2">
        <v>0.65295138888888893</v>
      </c>
      <c r="I2796">
        <v>16.25</v>
      </c>
      <c r="J2796">
        <v>16.25</v>
      </c>
      <c r="K2796" t="s">
        <v>59</v>
      </c>
      <c r="L2796" t="s">
        <v>35</v>
      </c>
      <c r="M2796" t="s">
        <v>36</v>
      </c>
      <c r="N2796" t="s">
        <v>37</v>
      </c>
    </row>
    <row r="2797" spans="1:14" x14ac:dyDescent="0.25">
      <c r="A2797">
        <v>22121</v>
      </c>
      <c r="B2797">
        <v>9718</v>
      </c>
      <c r="C2797">
        <f>1/COUNTIF(B:B,pizza_sales[[#This Row],[order_id]])</f>
        <v>1</v>
      </c>
      <c r="D2797" t="s">
        <v>42</v>
      </c>
      <c r="E2797">
        <v>1</v>
      </c>
      <c r="F2797" s="1">
        <v>42344</v>
      </c>
      <c r="G2797" s="1" t="str">
        <f>TEXT(pizza_sales[[#This Row],[order_date]],"dddd")</f>
        <v>Sunday</v>
      </c>
      <c r="H2797" s="2">
        <v>0.6615509259259259</v>
      </c>
      <c r="I2797">
        <v>12.5</v>
      </c>
      <c r="J2797">
        <v>12.5</v>
      </c>
      <c r="K2797" t="s">
        <v>59</v>
      </c>
      <c r="L2797" t="s">
        <v>13</v>
      </c>
      <c r="M2797" t="s">
        <v>26</v>
      </c>
      <c r="N2797" t="s">
        <v>27</v>
      </c>
    </row>
    <row r="2798" spans="1:14" x14ac:dyDescent="0.25">
      <c r="A2798">
        <v>22129</v>
      </c>
      <c r="B2798">
        <v>9723</v>
      </c>
      <c r="C2798">
        <f>1/COUNTIF(B:B,pizza_sales[[#This Row],[order_id]])</f>
        <v>1</v>
      </c>
      <c r="D2798" t="s">
        <v>51</v>
      </c>
      <c r="E2798">
        <v>1</v>
      </c>
      <c r="F2798" s="1">
        <v>42344</v>
      </c>
      <c r="G2798" s="1" t="str">
        <f>TEXT(pizza_sales[[#This Row],[order_date]],"dddd")</f>
        <v>Sunday</v>
      </c>
      <c r="H2798" s="2">
        <v>0.70521990740740736</v>
      </c>
      <c r="I2798">
        <v>23.65</v>
      </c>
      <c r="J2798">
        <v>23.65</v>
      </c>
      <c r="K2798" t="s">
        <v>60</v>
      </c>
      <c r="L2798" t="s">
        <v>35</v>
      </c>
      <c r="M2798" t="s">
        <v>52</v>
      </c>
      <c r="N2798" t="s">
        <v>53</v>
      </c>
    </row>
    <row r="2799" spans="1:14" x14ac:dyDescent="0.25">
      <c r="A2799">
        <v>22132</v>
      </c>
      <c r="B2799">
        <v>9724</v>
      </c>
      <c r="C2799">
        <f>1/COUNTIF(B:B,pizza_sales[[#This Row],[order_id]])</f>
        <v>1</v>
      </c>
      <c r="D2799" t="s">
        <v>28</v>
      </c>
      <c r="E2799">
        <v>1</v>
      </c>
      <c r="F2799" s="1">
        <v>42344</v>
      </c>
      <c r="G2799" s="1" t="str">
        <f>TEXT(pizza_sales[[#This Row],[order_date]],"dddd")</f>
        <v>Sunday</v>
      </c>
      <c r="H2799" s="2">
        <v>0.71414351851851854</v>
      </c>
      <c r="I2799">
        <v>12</v>
      </c>
      <c r="J2799">
        <v>12</v>
      </c>
      <c r="K2799" t="s">
        <v>60</v>
      </c>
      <c r="L2799" t="s">
        <v>13</v>
      </c>
      <c r="M2799" t="s">
        <v>29</v>
      </c>
      <c r="N2799" t="s">
        <v>30</v>
      </c>
    </row>
    <row r="2800" spans="1:14" x14ac:dyDescent="0.25">
      <c r="A2800">
        <v>22135</v>
      </c>
      <c r="B2800">
        <v>9725</v>
      </c>
      <c r="C2800">
        <f>1/COUNTIF(B:B,pizza_sales[[#This Row],[order_id]])</f>
        <v>0.25</v>
      </c>
      <c r="D2800" t="s">
        <v>34</v>
      </c>
      <c r="E2800">
        <v>1</v>
      </c>
      <c r="F2800" s="1">
        <v>42344</v>
      </c>
      <c r="G2800" s="1" t="str">
        <f>TEXT(pizza_sales[[#This Row],[order_date]],"dddd")</f>
        <v>Sunday</v>
      </c>
      <c r="H2800" s="2">
        <v>0.71693287037037035</v>
      </c>
      <c r="I2800">
        <v>16.25</v>
      </c>
      <c r="J2800">
        <v>16.25</v>
      </c>
      <c r="K2800" t="s">
        <v>59</v>
      </c>
      <c r="L2800" t="s">
        <v>35</v>
      </c>
      <c r="M2800" t="s">
        <v>36</v>
      </c>
      <c r="N2800" t="s">
        <v>37</v>
      </c>
    </row>
    <row r="2801" spans="1:14" x14ac:dyDescent="0.25">
      <c r="A2801">
        <v>22136</v>
      </c>
      <c r="B2801">
        <v>9725</v>
      </c>
      <c r="C2801">
        <f>1/COUNTIF(B:B,pizza_sales[[#This Row],[order_id]])</f>
        <v>0.25</v>
      </c>
      <c r="D2801" t="s">
        <v>45</v>
      </c>
      <c r="E2801">
        <v>1</v>
      </c>
      <c r="F2801" s="1">
        <v>42344</v>
      </c>
      <c r="G2801" s="1" t="str">
        <f>TEXT(pizza_sales[[#This Row],[order_date]],"dddd")</f>
        <v>Sunday</v>
      </c>
      <c r="H2801" s="2">
        <v>0.71693287037037035</v>
      </c>
      <c r="I2801">
        <v>10.5</v>
      </c>
      <c r="J2801">
        <v>10.5</v>
      </c>
      <c r="K2801" t="s">
        <v>60</v>
      </c>
      <c r="L2801" t="s">
        <v>13</v>
      </c>
      <c r="M2801" t="s">
        <v>14</v>
      </c>
      <c r="N2801" t="s">
        <v>15</v>
      </c>
    </row>
    <row r="2802" spans="1:14" x14ac:dyDescent="0.25">
      <c r="A2802">
        <v>22137</v>
      </c>
      <c r="B2802">
        <v>9725</v>
      </c>
      <c r="C2802">
        <f>1/COUNTIF(B:B,pizza_sales[[#This Row],[order_id]])</f>
        <v>0.25</v>
      </c>
      <c r="D2802" t="s">
        <v>24</v>
      </c>
      <c r="E2802">
        <v>1</v>
      </c>
      <c r="F2802" s="1">
        <v>42344</v>
      </c>
      <c r="G2802" s="1" t="str">
        <f>TEXT(pizza_sales[[#This Row],[order_date]],"dddd")</f>
        <v>Sunday</v>
      </c>
      <c r="H2802" s="2">
        <v>0.71693287037037035</v>
      </c>
      <c r="I2802">
        <v>20.25</v>
      </c>
      <c r="J2802">
        <v>20.25</v>
      </c>
      <c r="K2802" t="s">
        <v>58</v>
      </c>
      <c r="L2802" t="s">
        <v>17</v>
      </c>
      <c r="M2802" t="s">
        <v>18</v>
      </c>
      <c r="N2802" t="s">
        <v>19</v>
      </c>
    </row>
    <row r="2803" spans="1:14" x14ac:dyDescent="0.25">
      <c r="A2803">
        <v>22138</v>
      </c>
      <c r="B2803">
        <v>9725</v>
      </c>
      <c r="C2803">
        <f>1/COUNTIF(B:B,pizza_sales[[#This Row],[order_id]])</f>
        <v>0.25</v>
      </c>
      <c r="D2803" t="s">
        <v>50</v>
      </c>
      <c r="E2803">
        <v>1</v>
      </c>
      <c r="F2803" s="1">
        <v>42344</v>
      </c>
      <c r="G2803" s="1" t="str">
        <f>TEXT(pizza_sales[[#This Row],[order_date]],"dddd")</f>
        <v>Sunday</v>
      </c>
      <c r="H2803" s="2">
        <v>0.71693287037037035</v>
      </c>
      <c r="I2803">
        <v>16</v>
      </c>
      <c r="J2803">
        <v>16</v>
      </c>
      <c r="K2803" t="s">
        <v>59</v>
      </c>
      <c r="L2803" t="s">
        <v>13</v>
      </c>
      <c r="M2803" t="s">
        <v>32</v>
      </c>
      <c r="N2803" t="s">
        <v>33</v>
      </c>
    </row>
    <row r="2804" spans="1:14" x14ac:dyDescent="0.25">
      <c r="A2804">
        <v>22139</v>
      </c>
      <c r="B2804">
        <v>9726</v>
      </c>
      <c r="C2804">
        <f>1/COUNTIF(B:B,pizza_sales[[#This Row],[order_id]])</f>
        <v>0.33333333333333331</v>
      </c>
      <c r="D2804" t="s">
        <v>28</v>
      </c>
      <c r="E2804">
        <v>1</v>
      </c>
      <c r="F2804" s="1">
        <v>42344</v>
      </c>
      <c r="G2804" s="1" t="str">
        <f>TEXT(pizza_sales[[#This Row],[order_date]],"dddd")</f>
        <v>Sunday</v>
      </c>
      <c r="H2804" s="2">
        <v>0.71785879629629634</v>
      </c>
      <c r="I2804">
        <v>12</v>
      </c>
      <c r="J2804">
        <v>12</v>
      </c>
      <c r="K2804" t="s">
        <v>60</v>
      </c>
      <c r="L2804" t="s">
        <v>13</v>
      </c>
      <c r="M2804" t="s">
        <v>29</v>
      </c>
      <c r="N2804" t="s">
        <v>30</v>
      </c>
    </row>
    <row r="2805" spans="1:14" x14ac:dyDescent="0.25">
      <c r="A2805">
        <v>22140</v>
      </c>
      <c r="B2805">
        <v>9726</v>
      </c>
      <c r="C2805">
        <f>1/COUNTIF(B:B,pizza_sales[[#This Row],[order_id]])</f>
        <v>0.33333333333333331</v>
      </c>
      <c r="D2805" t="s">
        <v>45</v>
      </c>
      <c r="E2805">
        <v>1</v>
      </c>
      <c r="F2805" s="1">
        <v>42344</v>
      </c>
      <c r="G2805" s="1" t="str">
        <f>TEXT(pizza_sales[[#This Row],[order_date]],"dddd")</f>
        <v>Sunday</v>
      </c>
      <c r="H2805" s="2">
        <v>0.71785879629629634</v>
      </c>
      <c r="I2805">
        <v>10.5</v>
      </c>
      <c r="J2805">
        <v>10.5</v>
      </c>
      <c r="K2805" t="s">
        <v>60</v>
      </c>
      <c r="L2805" t="s">
        <v>13</v>
      </c>
      <c r="M2805" t="s">
        <v>14</v>
      </c>
      <c r="N2805" t="s">
        <v>15</v>
      </c>
    </row>
    <row r="2806" spans="1:14" x14ac:dyDescent="0.25">
      <c r="A2806">
        <v>22141</v>
      </c>
      <c r="B2806">
        <v>9726</v>
      </c>
      <c r="C2806">
        <f>1/COUNTIF(B:B,pizza_sales[[#This Row],[order_id]])</f>
        <v>0.33333333333333331</v>
      </c>
      <c r="D2806" t="s">
        <v>31</v>
      </c>
      <c r="E2806">
        <v>1</v>
      </c>
      <c r="F2806" s="1">
        <v>42344</v>
      </c>
      <c r="G2806" s="1" t="str">
        <f>TEXT(pizza_sales[[#This Row],[order_date]],"dddd")</f>
        <v>Sunday</v>
      </c>
      <c r="H2806" s="2">
        <v>0.71785879629629634</v>
      </c>
      <c r="I2806">
        <v>12</v>
      </c>
      <c r="J2806">
        <v>12</v>
      </c>
      <c r="K2806" t="s">
        <v>60</v>
      </c>
      <c r="L2806" t="s">
        <v>13</v>
      </c>
      <c r="M2806" t="s">
        <v>32</v>
      </c>
      <c r="N2806" t="s">
        <v>33</v>
      </c>
    </row>
    <row r="2807" spans="1:14" x14ac:dyDescent="0.25">
      <c r="A2807">
        <v>22145</v>
      </c>
      <c r="B2807">
        <v>9728</v>
      </c>
      <c r="C2807">
        <f>1/COUNTIF(B:B,pizza_sales[[#This Row],[order_id]])</f>
        <v>0.5</v>
      </c>
      <c r="D2807" t="s">
        <v>47</v>
      </c>
      <c r="E2807">
        <v>1</v>
      </c>
      <c r="F2807" s="1">
        <v>42344</v>
      </c>
      <c r="G2807" s="1" t="str">
        <f>TEXT(pizza_sales[[#This Row],[order_date]],"dddd")</f>
        <v>Sunday</v>
      </c>
      <c r="H2807" s="2">
        <v>0.73564814814814816</v>
      </c>
      <c r="I2807">
        <v>16.5</v>
      </c>
      <c r="J2807">
        <v>16.5</v>
      </c>
      <c r="K2807" t="s">
        <v>58</v>
      </c>
      <c r="L2807" t="s">
        <v>13</v>
      </c>
      <c r="M2807" t="s">
        <v>14</v>
      </c>
      <c r="N2807" t="s">
        <v>15</v>
      </c>
    </row>
    <row r="2808" spans="1:14" x14ac:dyDescent="0.25">
      <c r="A2808">
        <v>22146</v>
      </c>
      <c r="B2808">
        <v>9728</v>
      </c>
      <c r="C2808">
        <f>1/COUNTIF(B:B,pizza_sales[[#This Row],[order_id]])</f>
        <v>0.5</v>
      </c>
      <c r="D2808" t="s">
        <v>50</v>
      </c>
      <c r="E2808">
        <v>1</v>
      </c>
      <c r="F2808" s="1">
        <v>42344</v>
      </c>
      <c r="G2808" s="1" t="str">
        <f>TEXT(pizza_sales[[#This Row],[order_date]],"dddd")</f>
        <v>Sunday</v>
      </c>
      <c r="H2808" s="2">
        <v>0.73564814814814816</v>
      </c>
      <c r="I2808">
        <v>16</v>
      </c>
      <c r="J2808">
        <v>16</v>
      </c>
      <c r="K2808" t="s">
        <v>59</v>
      </c>
      <c r="L2808" t="s">
        <v>13</v>
      </c>
      <c r="M2808" t="s">
        <v>32</v>
      </c>
      <c r="N2808" t="s">
        <v>33</v>
      </c>
    </row>
    <row r="2809" spans="1:14" x14ac:dyDescent="0.25">
      <c r="A2809">
        <v>22149</v>
      </c>
      <c r="B2809">
        <v>9730</v>
      </c>
      <c r="C2809">
        <f>1/COUNTIF(B:B,pizza_sales[[#This Row],[order_id]])</f>
        <v>0.5</v>
      </c>
      <c r="D2809" t="s">
        <v>28</v>
      </c>
      <c r="E2809">
        <v>1</v>
      </c>
      <c r="F2809" s="1">
        <v>42344</v>
      </c>
      <c r="G2809" s="1" t="str">
        <f>TEXT(pizza_sales[[#This Row],[order_date]],"dddd")</f>
        <v>Sunday</v>
      </c>
      <c r="H2809" s="2">
        <v>0.74964120370370368</v>
      </c>
      <c r="I2809">
        <v>12</v>
      </c>
      <c r="J2809">
        <v>12</v>
      </c>
      <c r="K2809" t="s">
        <v>60</v>
      </c>
      <c r="L2809" t="s">
        <v>13</v>
      </c>
      <c r="M2809" t="s">
        <v>29</v>
      </c>
      <c r="N2809" t="s">
        <v>30</v>
      </c>
    </row>
    <row r="2810" spans="1:14" x14ac:dyDescent="0.25">
      <c r="A2810">
        <v>22150</v>
      </c>
      <c r="B2810">
        <v>9730</v>
      </c>
      <c r="C2810">
        <f>1/COUNTIF(B:B,pizza_sales[[#This Row],[order_id]])</f>
        <v>0.5</v>
      </c>
      <c r="D2810" t="s">
        <v>25</v>
      </c>
      <c r="E2810">
        <v>1</v>
      </c>
      <c r="F2810" s="1">
        <v>42344</v>
      </c>
      <c r="G2810" s="1" t="str">
        <f>TEXT(pizza_sales[[#This Row],[order_date]],"dddd")</f>
        <v>Sunday</v>
      </c>
      <c r="H2810" s="2">
        <v>0.74964120370370368</v>
      </c>
      <c r="I2810">
        <v>15.25</v>
      </c>
      <c r="J2810">
        <v>15.25</v>
      </c>
      <c r="K2810" t="s">
        <v>58</v>
      </c>
      <c r="L2810" t="s">
        <v>13</v>
      </c>
      <c r="M2810" t="s">
        <v>26</v>
      </c>
      <c r="N2810" t="s">
        <v>27</v>
      </c>
    </row>
    <row r="2811" spans="1:14" x14ac:dyDescent="0.25">
      <c r="A2811">
        <v>22151</v>
      </c>
      <c r="B2811">
        <v>9731</v>
      </c>
      <c r="C2811">
        <f>1/COUNTIF(B:B,pizza_sales[[#This Row],[order_id]])</f>
        <v>1</v>
      </c>
      <c r="D2811" t="s">
        <v>42</v>
      </c>
      <c r="E2811">
        <v>2</v>
      </c>
      <c r="F2811" s="1">
        <v>42344</v>
      </c>
      <c r="G2811" s="1" t="str">
        <f>TEXT(pizza_sales[[#This Row],[order_date]],"dddd")</f>
        <v>Sunday</v>
      </c>
      <c r="H2811" s="2">
        <v>0.75571759259259264</v>
      </c>
      <c r="I2811">
        <v>12.5</v>
      </c>
      <c r="J2811">
        <v>25</v>
      </c>
      <c r="K2811" t="s">
        <v>59</v>
      </c>
      <c r="L2811" t="s">
        <v>13</v>
      </c>
      <c r="M2811" t="s">
        <v>26</v>
      </c>
      <c r="N2811" t="s">
        <v>27</v>
      </c>
    </row>
    <row r="2812" spans="1:14" x14ac:dyDescent="0.25">
      <c r="A2812">
        <v>22153</v>
      </c>
      <c r="B2812">
        <v>9732</v>
      </c>
      <c r="C2812">
        <f>1/COUNTIF(B:B,pizza_sales[[#This Row],[order_id]])</f>
        <v>1</v>
      </c>
      <c r="D2812" t="s">
        <v>56</v>
      </c>
      <c r="E2812">
        <v>1</v>
      </c>
      <c r="F2812" s="1">
        <v>42344</v>
      </c>
      <c r="G2812" s="1" t="str">
        <f>TEXT(pizza_sales[[#This Row],[order_date]],"dddd")</f>
        <v>Sunday</v>
      </c>
      <c r="H2812" s="2">
        <v>0.76292824074074073</v>
      </c>
      <c r="I2812">
        <v>20.25</v>
      </c>
      <c r="J2812">
        <v>20.25</v>
      </c>
      <c r="K2812" t="s">
        <v>58</v>
      </c>
      <c r="L2812" t="s">
        <v>35</v>
      </c>
      <c r="M2812" t="s">
        <v>36</v>
      </c>
      <c r="N2812" t="s">
        <v>37</v>
      </c>
    </row>
    <row r="2813" spans="1:14" x14ac:dyDescent="0.25">
      <c r="A2813">
        <v>22156</v>
      </c>
      <c r="B2813">
        <v>9734</v>
      </c>
      <c r="C2813">
        <f>1/COUNTIF(B:B,pizza_sales[[#This Row],[order_id]])</f>
        <v>1</v>
      </c>
      <c r="D2813" t="s">
        <v>47</v>
      </c>
      <c r="E2813">
        <v>1</v>
      </c>
      <c r="F2813" s="1">
        <v>42344</v>
      </c>
      <c r="G2813" s="1" t="str">
        <f>TEXT(pizza_sales[[#This Row],[order_date]],"dddd")</f>
        <v>Sunday</v>
      </c>
      <c r="H2813" s="2">
        <v>0.78042824074074069</v>
      </c>
      <c r="I2813">
        <v>16.5</v>
      </c>
      <c r="J2813">
        <v>16.5</v>
      </c>
      <c r="K2813" t="s">
        <v>58</v>
      </c>
      <c r="L2813" t="s">
        <v>13</v>
      </c>
      <c r="M2813" t="s">
        <v>14</v>
      </c>
      <c r="N2813" t="s">
        <v>15</v>
      </c>
    </row>
    <row r="2814" spans="1:14" x14ac:dyDescent="0.25">
      <c r="A2814">
        <v>22160</v>
      </c>
      <c r="B2814">
        <v>9735</v>
      </c>
      <c r="C2814">
        <f>1/COUNTIF(B:B,pizza_sales[[#This Row],[order_id]])</f>
        <v>0.5</v>
      </c>
      <c r="D2814" t="s">
        <v>12</v>
      </c>
      <c r="E2814">
        <v>1</v>
      </c>
      <c r="F2814" s="1">
        <v>42344</v>
      </c>
      <c r="G2814" s="1" t="str">
        <f>TEXT(pizza_sales[[#This Row],[order_date]],"dddd")</f>
        <v>Sunday</v>
      </c>
      <c r="H2814" s="2">
        <v>0.78689814814814818</v>
      </c>
      <c r="I2814">
        <v>13.25</v>
      </c>
      <c r="J2814">
        <v>13.25</v>
      </c>
      <c r="K2814" t="s">
        <v>59</v>
      </c>
      <c r="L2814" t="s">
        <v>13</v>
      </c>
      <c r="M2814" t="s">
        <v>14</v>
      </c>
      <c r="N2814" t="s">
        <v>15</v>
      </c>
    </row>
    <row r="2815" spans="1:14" x14ac:dyDescent="0.25">
      <c r="A2815">
        <v>22161</v>
      </c>
      <c r="B2815">
        <v>9735</v>
      </c>
      <c r="C2815">
        <f>1/COUNTIF(B:B,pizza_sales[[#This Row],[order_id]])</f>
        <v>0.5</v>
      </c>
      <c r="D2815" t="s">
        <v>16</v>
      </c>
      <c r="E2815">
        <v>1</v>
      </c>
      <c r="F2815" s="1">
        <v>42344</v>
      </c>
      <c r="G2815" s="1" t="str">
        <f>TEXT(pizza_sales[[#This Row],[order_date]],"dddd")</f>
        <v>Sunday</v>
      </c>
      <c r="H2815" s="2">
        <v>0.78689814814814818</v>
      </c>
      <c r="I2815">
        <v>16</v>
      </c>
      <c r="J2815">
        <v>16</v>
      </c>
      <c r="K2815" t="s">
        <v>59</v>
      </c>
      <c r="L2815" t="s">
        <v>17</v>
      </c>
      <c r="M2815" t="s">
        <v>18</v>
      </c>
      <c r="N2815" t="s">
        <v>19</v>
      </c>
    </row>
    <row r="2816" spans="1:14" x14ac:dyDescent="0.25">
      <c r="A2816">
        <v>22162</v>
      </c>
      <c r="B2816">
        <v>9736</v>
      </c>
      <c r="C2816">
        <f>1/COUNTIF(B:B,pizza_sales[[#This Row],[order_id]])</f>
        <v>0.5</v>
      </c>
      <c r="D2816" t="s">
        <v>50</v>
      </c>
      <c r="E2816">
        <v>1</v>
      </c>
      <c r="F2816" s="1">
        <v>42344</v>
      </c>
      <c r="G2816" s="1" t="str">
        <f>TEXT(pizza_sales[[#This Row],[order_date]],"dddd")</f>
        <v>Sunday</v>
      </c>
      <c r="H2816" s="2">
        <v>0.79677083333333332</v>
      </c>
      <c r="I2816">
        <v>16</v>
      </c>
      <c r="J2816">
        <v>16</v>
      </c>
      <c r="K2816" t="s">
        <v>59</v>
      </c>
      <c r="L2816" t="s">
        <v>13</v>
      </c>
      <c r="M2816" t="s">
        <v>32</v>
      </c>
      <c r="N2816" t="s">
        <v>33</v>
      </c>
    </row>
    <row r="2817" spans="1:14" x14ac:dyDescent="0.25">
      <c r="A2817">
        <v>22163</v>
      </c>
      <c r="B2817">
        <v>9736</v>
      </c>
      <c r="C2817">
        <f>1/COUNTIF(B:B,pizza_sales[[#This Row],[order_id]])</f>
        <v>0.5</v>
      </c>
      <c r="D2817" t="s">
        <v>46</v>
      </c>
      <c r="E2817">
        <v>1</v>
      </c>
      <c r="F2817" s="1">
        <v>42344</v>
      </c>
      <c r="G2817" s="1" t="str">
        <f>TEXT(pizza_sales[[#This Row],[order_date]],"dddd")</f>
        <v>Sunday</v>
      </c>
      <c r="H2817" s="2">
        <v>0.79677083333333332</v>
      </c>
      <c r="I2817">
        <v>25.5</v>
      </c>
      <c r="J2817">
        <v>25.5</v>
      </c>
      <c r="K2817" t="s">
        <v>61</v>
      </c>
      <c r="L2817" t="s">
        <v>13</v>
      </c>
      <c r="M2817" t="s">
        <v>21</v>
      </c>
      <c r="N2817" t="s">
        <v>22</v>
      </c>
    </row>
    <row r="2818" spans="1:14" x14ac:dyDescent="0.25">
      <c r="A2818">
        <v>22164</v>
      </c>
      <c r="B2818">
        <v>9737</v>
      </c>
      <c r="C2818">
        <f>1/COUNTIF(B:B,pizza_sales[[#This Row],[order_id]])</f>
        <v>1</v>
      </c>
      <c r="D2818" t="s">
        <v>48</v>
      </c>
      <c r="E2818">
        <v>1</v>
      </c>
      <c r="F2818" s="1">
        <v>42344</v>
      </c>
      <c r="G2818" s="1" t="str">
        <f>TEXT(pizza_sales[[#This Row],[order_date]],"dddd")</f>
        <v>Sunday</v>
      </c>
      <c r="H2818" s="2">
        <v>0.80576388888888884</v>
      </c>
      <c r="I2818">
        <v>12.25</v>
      </c>
      <c r="J2818">
        <v>12.25</v>
      </c>
      <c r="K2818" t="s">
        <v>60</v>
      </c>
      <c r="L2818" t="s">
        <v>35</v>
      </c>
      <c r="M2818" t="s">
        <v>40</v>
      </c>
      <c r="N2818" t="s">
        <v>41</v>
      </c>
    </row>
    <row r="2819" spans="1:14" x14ac:dyDescent="0.25">
      <c r="A2819">
        <v>22166</v>
      </c>
      <c r="B2819">
        <v>9738</v>
      </c>
      <c r="C2819">
        <f>1/COUNTIF(B:B,pizza_sales[[#This Row],[order_id]])</f>
        <v>1</v>
      </c>
      <c r="D2819" t="s">
        <v>39</v>
      </c>
      <c r="E2819">
        <v>1</v>
      </c>
      <c r="F2819" s="1">
        <v>42344</v>
      </c>
      <c r="G2819" s="1" t="str">
        <f>TEXT(pizza_sales[[#This Row],[order_date]],"dddd")</f>
        <v>Sunday</v>
      </c>
      <c r="H2819" s="2">
        <v>0.80581018518518521</v>
      </c>
      <c r="I2819">
        <v>20.25</v>
      </c>
      <c r="J2819">
        <v>20.25</v>
      </c>
      <c r="K2819" t="s">
        <v>58</v>
      </c>
      <c r="L2819" t="s">
        <v>35</v>
      </c>
      <c r="M2819" t="s">
        <v>40</v>
      </c>
      <c r="N2819" t="s">
        <v>41</v>
      </c>
    </row>
    <row r="2820" spans="1:14" x14ac:dyDescent="0.25">
      <c r="A2820">
        <v>22172</v>
      </c>
      <c r="B2820">
        <v>9740</v>
      </c>
      <c r="C2820">
        <f>1/COUNTIF(B:B,pizza_sales[[#This Row],[order_id]])</f>
        <v>1</v>
      </c>
      <c r="D2820" t="s">
        <v>48</v>
      </c>
      <c r="E2820">
        <v>1</v>
      </c>
      <c r="F2820" s="1">
        <v>42344</v>
      </c>
      <c r="G2820" s="1" t="str">
        <f>TEXT(pizza_sales[[#This Row],[order_date]],"dddd")</f>
        <v>Sunday</v>
      </c>
      <c r="H2820" s="2">
        <v>0.83368055555555554</v>
      </c>
      <c r="I2820">
        <v>12.25</v>
      </c>
      <c r="J2820">
        <v>12.25</v>
      </c>
      <c r="K2820" t="s">
        <v>60</v>
      </c>
      <c r="L2820" t="s">
        <v>35</v>
      </c>
      <c r="M2820" t="s">
        <v>40</v>
      </c>
      <c r="N2820" t="s">
        <v>41</v>
      </c>
    </row>
    <row r="2821" spans="1:14" x14ac:dyDescent="0.25">
      <c r="A2821">
        <v>22180</v>
      </c>
      <c r="B2821">
        <v>9744</v>
      </c>
      <c r="C2821">
        <f>1/COUNTIF(B:B,pizza_sales[[#This Row],[order_id]])</f>
        <v>1</v>
      </c>
      <c r="D2821" t="s">
        <v>42</v>
      </c>
      <c r="E2821">
        <v>1</v>
      </c>
      <c r="F2821" s="1">
        <v>42344</v>
      </c>
      <c r="G2821" s="1" t="str">
        <f>TEXT(pizza_sales[[#This Row],[order_date]],"dddd")</f>
        <v>Sunday</v>
      </c>
      <c r="H2821" s="2">
        <v>0.8442708333333333</v>
      </c>
      <c r="I2821">
        <v>12.5</v>
      </c>
      <c r="J2821">
        <v>12.5</v>
      </c>
      <c r="K2821" t="s">
        <v>59</v>
      </c>
      <c r="L2821" t="s">
        <v>13</v>
      </c>
      <c r="M2821" t="s">
        <v>26</v>
      </c>
      <c r="N2821" t="s">
        <v>27</v>
      </c>
    </row>
    <row r="2822" spans="1:14" x14ac:dyDescent="0.25">
      <c r="A2822">
        <v>22181</v>
      </c>
      <c r="B2822">
        <v>9745</v>
      </c>
      <c r="C2822">
        <f>1/COUNTIF(B:B,pizza_sales[[#This Row],[order_id]])</f>
        <v>0.5</v>
      </c>
      <c r="D2822" t="s">
        <v>34</v>
      </c>
      <c r="E2822">
        <v>1</v>
      </c>
      <c r="F2822" s="1">
        <v>42344</v>
      </c>
      <c r="G2822" s="1" t="str">
        <f>TEXT(pizza_sales[[#This Row],[order_date]],"dddd")</f>
        <v>Sunday</v>
      </c>
      <c r="H2822" s="2">
        <v>0.84660879629629626</v>
      </c>
      <c r="I2822">
        <v>16.25</v>
      </c>
      <c r="J2822">
        <v>16.25</v>
      </c>
      <c r="K2822" t="s">
        <v>59</v>
      </c>
      <c r="L2822" t="s">
        <v>35</v>
      </c>
      <c r="M2822" t="s">
        <v>36</v>
      </c>
      <c r="N2822" t="s">
        <v>37</v>
      </c>
    </row>
    <row r="2823" spans="1:14" x14ac:dyDescent="0.25">
      <c r="A2823">
        <v>22184</v>
      </c>
      <c r="B2823">
        <v>9745</v>
      </c>
      <c r="C2823">
        <f>1/COUNTIF(B:B,pizza_sales[[#This Row],[order_id]])</f>
        <v>0.5</v>
      </c>
      <c r="D2823" t="s">
        <v>48</v>
      </c>
      <c r="E2823">
        <v>1</v>
      </c>
      <c r="F2823" s="1">
        <v>42344</v>
      </c>
      <c r="G2823" s="1" t="str">
        <f>TEXT(pizza_sales[[#This Row],[order_date]],"dddd")</f>
        <v>Sunday</v>
      </c>
      <c r="H2823" s="2">
        <v>0.84660879629629626</v>
      </c>
      <c r="I2823">
        <v>12.25</v>
      </c>
      <c r="J2823">
        <v>12.25</v>
      </c>
      <c r="K2823" t="s">
        <v>60</v>
      </c>
      <c r="L2823" t="s">
        <v>35</v>
      </c>
      <c r="M2823" t="s">
        <v>40</v>
      </c>
      <c r="N2823" t="s">
        <v>41</v>
      </c>
    </row>
    <row r="2824" spans="1:14" x14ac:dyDescent="0.25">
      <c r="A2824">
        <v>22189</v>
      </c>
      <c r="B2824">
        <v>9749</v>
      </c>
      <c r="C2824">
        <f>1/COUNTIF(B:B,pizza_sales[[#This Row],[order_id]])</f>
        <v>1</v>
      </c>
      <c r="D2824" t="s">
        <v>24</v>
      </c>
      <c r="E2824">
        <v>1</v>
      </c>
      <c r="F2824" s="1">
        <v>42344</v>
      </c>
      <c r="G2824" s="1" t="str">
        <f>TEXT(pizza_sales[[#This Row],[order_date]],"dddd")</f>
        <v>Sunday</v>
      </c>
      <c r="H2824" s="2">
        <v>0.89729166666666671</v>
      </c>
      <c r="I2824">
        <v>20.25</v>
      </c>
      <c r="J2824">
        <v>20.25</v>
      </c>
      <c r="K2824" t="s">
        <v>58</v>
      </c>
      <c r="L2824" t="s">
        <v>17</v>
      </c>
      <c r="M2824" t="s">
        <v>18</v>
      </c>
      <c r="N2824" t="s">
        <v>19</v>
      </c>
    </row>
    <row r="2825" spans="1:14" x14ac:dyDescent="0.25">
      <c r="A2825">
        <v>22190</v>
      </c>
      <c r="B2825">
        <v>9750</v>
      </c>
      <c r="C2825">
        <f>1/COUNTIF(B:B,pizza_sales[[#This Row],[order_id]])</f>
        <v>1</v>
      </c>
      <c r="D2825" t="s">
        <v>24</v>
      </c>
      <c r="E2825">
        <v>1</v>
      </c>
      <c r="F2825" s="1">
        <v>42344</v>
      </c>
      <c r="G2825" s="1" t="str">
        <f>TEXT(pizza_sales[[#This Row],[order_date]],"dddd")</f>
        <v>Sunday</v>
      </c>
      <c r="H2825" s="2">
        <v>0.89784722222222224</v>
      </c>
      <c r="I2825">
        <v>20.25</v>
      </c>
      <c r="J2825">
        <v>20.25</v>
      </c>
      <c r="K2825" t="s">
        <v>58</v>
      </c>
      <c r="L2825" t="s">
        <v>17</v>
      </c>
      <c r="M2825" t="s">
        <v>18</v>
      </c>
      <c r="N2825" t="s">
        <v>19</v>
      </c>
    </row>
    <row r="2826" spans="1:14" x14ac:dyDescent="0.25">
      <c r="A2826">
        <v>22194</v>
      </c>
      <c r="B2826">
        <v>9751</v>
      </c>
      <c r="C2826">
        <f>1/COUNTIF(B:B,pizza_sales[[#This Row],[order_id]])</f>
        <v>1</v>
      </c>
      <c r="D2826" t="s">
        <v>43</v>
      </c>
      <c r="E2826">
        <v>1</v>
      </c>
      <c r="F2826" s="1">
        <v>42344</v>
      </c>
      <c r="G2826" s="1" t="str">
        <f>TEXT(pizza_sales[[#This Row],[order_date]],"dddd")</f>
        <v>Sunday</v>
      </c>
      <c r="H2826" s="2">
        <v>0.93532407407407403</v>
      </c>
      <c r="I2826">
        <v>16.25</v>
      </c>
      <c r="J2826">
        <v>16.25</v>
      </c>
      <c r="K2826" t="s">
        <v>59</v>
      </c>
      <c r="L2826" t="s">
        <v>35</v>
      </c>
      <c r="M2826" t="s">
        <v>40</v>
      </c>
      <c r="N2826" t="s">
        <v>41</v>
      </c>
    </row>
    <row r="2827" spans="1:14" x14ac:dyDescent="0.25">
      <c r="A2827">
        <v>24567</v>
      </c>
      <c r="B2827">
        <v>10796</v>
      </c>
      <c r="C2827">
        <f>1/COUNTIF(B:B,pizza_sales[[#This Row],[order_id]])</f>
        <v>0.5</v>
      </c>
      <c r="D2827" t="s">
        <v>12</v>
      </c>
      <c r="E2827">
        <v>1</v>
      </c>
      <c r="F2827" s="1">
        <v>42011</v>
      </c>
      <c r="G2827" s="1" t="str">
        <f>TEXT(pizza_sales[[#This Row],[order_date]],"dddd")</f>
        <v>Wednesday</v>
      </c>
      <c r="H2827" s="2">
        <v>0.46983796296296299</v>
      </c>
      <c r="I2827">
        <v>13.25</v>
      </c>
      <c r="J2827">
        <v>13.25</v>
      </c>
      <c r="K2827" t="s">
        <v>59</v>
      </c>
      <c r="L2827" t="s">
        <v>13</v>
      </c>
      <c r="M2827" t="s">
        <v>14</v>
      </c>
      <c r="N2827" t="s">
        <v>15</v>
      </c>
    </row>
    <row r="2828" spans="1:14" x14ac:dyDescent="0.25">
      <c r="A2828">
        <v>24572</v>
      </c>
      <c r="B2828">
        <v>10796</v>
      </c>
      <c r="C2828">
        <f>1/COUNTIF(B:B,pizza_sales[[#This Row],[order_id]])</f>
        <v>0.5</v>
      </c>
      <c r="D2828" t="s">
        <v>55</v>
      </c>
      <c r="E2828">
        <v>1</v>
      </c>
      <c r="F2828" s="1">
        <v>42011</v>
      </c>
      <c r="G2828" s="1" t="str">
        <f>TEXT(pizza_sales[[#This Row],[order_date]],"dddd")</f>
        <v>Wednesday</v>
      </c>
      <c r="H2828" s="2">
        <v>0.46983796296296299</v>
      </c>
      <c r="I2828">
        <v>20.5</v>
      </c>
      <c r="J2828">
        <v>20.5</v>
      </c>
      <c r="K2828" t="s">
        <v>58</v>
      </c>
      <c r="L2828" t="s">
        <v>13</v>
      </c>
      <c r="M2828" t="s">
        <v>21</v>
      </c>
      <c r="N2828" t="s">
        <v>22</v>
      </c>
    </row>
    <row r="2829" spans="1:14" x14ac:dyDescent="0.25">
      <c r="A2829">
        <v>24581</v>
      </c>
      <c r="B2829">
        <v>10805</v>
      </c>
      <c r="C2829">
        <f>1/COUNTIF(B:B,pizza_sales[[#This Row],[order_id]])</f>
        <v>0.5</v>
      </c>
      <c r="D2829" t="s">
        <v>24</v>
      </c>
      <c r="E2829">
        <v>1</v>
      </c>
      <c r="F2829" s="1">
        <v>42011</v>
      </c>
      <c r="G2829" s="1" t="str">
        <f>TEXT(pizza_sales[[#This Row],[order_date]],"dddd")</f>
        <v>Wednesday</v>
      </c>
      <c r="H2829" s="2">
        <v>0.52609953703703705</v>
      </c>
      <c r="I2829">
        <v>20.25</v>
      </c>
      <c r="J2829">
        <v>20.25</v>
      </c>
      <c r="K2829" t="s">
        <v>58</v>
      </c>
      <c r="L2829" t="s">
        <v>17</v>
      </c>
      <c r="M2829" t="s">
        <v>18</v>
      </c>
      <c r="N2829" t="s">
        <v>19</v>
      </c>
    </row>
    <row r="2830" spans="1:14" x14ac:dyDescent="0.25">
      <c r="A2830">
        <v>24582</v>
      </c>
      <c r="B2830">
        <v>10805</v>
      </c>
      <c r="C2830">
        <f>1/COUNTIF(B:B,pizza_sales[[#This Row],[order_id]])</f>
        <v>0.5</v>
      </c>
      <c r="D2830" t="s">
        <v>42</v>
      </c>
      <c r="E2830">
        <v>1</v>
      </c>
      <c r="F2830" s="1">
        <v>42011</v>
      </c>
      <c r="G2830" s="1" t="str">
        <f>TEXT(pizza_sales[[#This Row],[order_date]],"dddd")</f>
        <v>Wednesday</v>
      </c>
      <c r="H2830" s="2">
        <v>0.52609953703703705</v>
      </c>
      <c r="I2830">
        <v>12.5</v>
      </c>
      <c r="J2830">
        <v>12.5</v>
      </c>
      <c r="K2830" t="s">
        <v>59</v>
      </c>
      <c r="L2830" t="s">
        <v>13</v>
      </c>
      <c r="M2830" t="s">
        <v>26</v>
      </c>
      <c r="N2830" t="s">
        <v>27</v>
      </c>
    </row>
    <row r="2831" spans="1:14" x14ac:dyDescent="0.25">
      <c r="A2831">
        <v>24584</v>
      </c>
      <c r="B2831">
        <v>10807</v>
      </c>
      <c r="C2831">
        <f>1/COUNTIF(B:B,pizza_sales[[#This Row],[order_id]])</f>
        <v>1</v>
      </c>
      <c r="D2831" t="s">
        <v>28</v>
      </c>
      <c r="E2831">
        <v>1</v>
      </c>
      <c r="F2831" s="1">
        <v>42011</v>
      </c>
      <c r="G2831" s="1" t="str">
        <f>TEXT(pizza_sales[[#This Row],[order_date]],"dddd")</f>
        <v>Wednesday</v>
      </c>
      <c r="H2831" s="2">
        <v>0.54265046296296293</v>
      </c>
      <c r="I2831">
        <v>12</v>
      </c>
      <c r="J2831">
        <v>12</v>
      </c>
      <c r="K2831" t="s">
        <v>60</v>
      </c>
      <c r="L2831" t="s">
        <v>13</v>
      </c>
      <c r="M2831" t="s">
        <v>29</v>
      </c>
      <c r="N2831" t="s">
        <v>30</v>
      </c>
    </row>
    <row r="2832" spans="1:14" x14ac:dyDescent="0.25">
      <c r="A2832">
        <v>24588</v>
      </c>
      <c r="B2832">
        <v>10810</v>
      </c>
      <c r="C2832">
        <f>1/COUNTIF(B:B,pizza_sales[[#This Row],[order_id]])</f>
        <v>1</v>
      </c>
      <c r="D2832" t="s">
        <v>45</v>
      </c>
      <c r="E2832">
        <v>1</v>
      </c>
      <c r="F2832" s="1">
        <v>42011</v>
      </c>
      <c r="G2832" s="1" t="str">
        <f>TEXT(pizza_sales[[#This Row],[order_date]],"dddd")</f>
        <v>Wednesday</v>
      </c>
      <c r="H2832" s="2">
        <v>0.55506944444444439</v>
      </c>
      <c r="I2832">
        <v>10.5</v>
      </c>
      <c r="J2832">
        <v>10.5</v>
      </c>
      <c r="K2832" t="s">
        <v>60</v>
      </c>
      <c r="L2832" t="s">
        <v>13</v>
      </c>
      <c r="M2832" t="s">
        <v>14</v>
      </c>
      <c r="N2832" t="s">
        <v>15</v>
      </c>
    </row>
    <row r="2833" spans="1:14" x14ac:dyDescent="0.25">
      <c r="A2833">
        <v>24590</v>
      </c>
      <c r="B2833">
        <v>10812</v>
      </c>
      <c r="C2833">
        <f>1/COUNTIF(B:B,pizza_sales[[#This Row],[order_id]])</f>
        <v>1</v>
      </c>
      <c r="D2833" t="s">
        <v>28</v>
      </c>
      <c r="E2833">
        <v>1</v>
      </c>
      <c r="F2833" s="1">
        <v>42011</v>
      </c>
      <c r="G2833" s="1" t="str">
        <f>TEXT(pizza_sales[[#This Row],[order_date]],"dddd")</f>
        <v>Wednesday</v>
      </c>
      <c r="H2833" s="2">
        <v>0.55961805555555555</v>
      </c>
      <c r="I2833">
        <v>12</v>
      </c>
      <c r="J2833">
        <v>12</v>
      </c>
      <c r="K2833" t="s">
        <v>60</v>
      </c>
      <c r="L2833" t="s">
        <v>13</v>
      </c>
      <c r="M2833" t="s">
        <v>29</v>
      </c>
      <c r="N2833" t="s">
        <v>30</v>
      </c>
    </row>
    <row r="2834" spans="1:14" x14ac:dyDescent="0.25">
      <c r="A2834">
        <v>24593</v>
      </c>
      <c r="B2834">
        <v>10813</v>
      </c>
      <c r="C2834">
        <f>1/COUNTIF(B:B,pizza_sales[[#This Row],[order_id]])</f>
        <v>0.33333333333333331</v>
      </c>
      <c r="D2834" t="s">
        <v>28</v>
      </c>
      <c r="E2834">
        <v>1</v>
      </c>
      <c r="F2834" s="1">
        <v>42011</v>
      </c>
      <c r="G2834" s="1" t="str">
        <f>TEXT(pizza_sales[[#This Row],[order_date]],"dddd")</f>
        <v>Wednesday</v>
      </c>
      <c r="H2834" s="2">
        <v>0.56498842592592591</v>
      </c>
      <c r="I2834">
        <v>12</v>
      </c>
      <c r="J2834">
        <v>12</v>
      </c>
      <c r="K2834" t="s">
        <v>60</v>
      </c>
      <c r="L2834" t="s">
        <v>13</v>
      </c>
      <c r="M2834" t="s">
        <v>29</v>
      </c>
      <c r="N2834" t="s">
        <v>30</v>
      </c>
    </row>
    <row r="2835" spans="1:14" x14ac:dyDescent="0.25">
      <c r="A2835">
        <v>24596</v>
      </c>
      <c r="B2835">
        <v>10813</v>
      </c>
      <c r="C2835">
        <f>1/COUNTIF(B:B,pizza_sales[[#This Row],[order_id]])</f>
        <v>0.33333333333333331</v>
      </c>
      <c r="D2835" t="s">
        <v>47</v>
      </c>
      <c r="E2835">
        <v>1</v>
      </c>
      <c r="F2835" s="1">
        <v>42011</v>
      </c>
      <c r="G2835" s="1" t="str">
        <f>TEXT(pizza_sales[[#This Row],[order_date]],"dddd")</f>
        <v>Wednesday</v>
      </c>
      <c r="H2835" s="2">
        <v>0.56498842592592591</v>
      </c>
      <c r="I2835">
        <v>16.5</v>
      </c>
      <c r="J2835">
        <v>16.5</v>
      </c>
      <c r="K2835" t="s">
        <v>58</v>
      </c>
      <c r="L2835" t="s">
        <v>13</v>
      </c>
      <c r="M2835" t="s">
        <v>14</v>
      </c>
      <c r="N2835" t="s">
        <v>15</v>
      </c>
    </row>
    <row r="2836" spans="1:14" x14ac:dyDescent="0.25">
      <c r="A2836">
        <v>24602</v>
      </c>
      <c r="B2836">
        <v>10813</v>
      </c>
      <c r="C2836">
        <f>1/COUNTIF(B:B,pizza_sales[[#This Row],[order_id]])</f>
        <v>0.33333333333333331</v>
      </c>
      <c r="D2836" t="s">
        <v>49</v>
      </c>
      <c r="E2836">
        <v>1</v>
      </c>
      <c r="F2836" s="1">
        <v>42011</v>
      </c>
      <c r="G2836" s="1" t="str">
        <f>TEXT(pizza_sales[[#This Row],[order_date]],"dddd")</f>
        <v>Wednesday</v>
      </c>
      <c r="H2836" s="2">
        <v>0.56498842592592591</v>
      </c>
      <c r="I2836">
        <v>16</v>
      </c>
      <c r="J2836">
        <v>16</v>
      </c>
      <c r="K2836" t="s">
        <v>59</v>
      </c>
      <c r="L2836" t="s">
        <v>13</v>
      </c>
      <c r="M2836" t="s">
        <v>21</v>
      </c>
      <c r="N2836" t="s">
        <v>22</v>
      </c>
    </row>
    <row r="2837" spans="1:14" x14ac:dyDescent="0.25">
      <c r="A2837">
        <v>24606</v>
      </c>
      <c r="B2837">
        <v>10815</v>
      </c>
      <c r="C2837">
        <f>1/COUNTIF(B:B,pizza_sales[[#This Row],[order_id]])</f>
        <v>1</v>
      </c>
      <c r="D2837" t="s">
        <v>25</v>
      </c>
      <c r="E2837">
        <v>1</v>
      </c>
      <c r="F2837" s="1">
        <v>42011</v>
      </c>
      <c r="G2837" s="1" t="str">
        <f>TEXT(pizza_sales[[#This Row],[order_date]],"dddd")</f>
        <v>Wednesday</v>
      </c>
      <c r="H2837" s="2">
        <v>0.5771412037037037</v>
      </c>
      <c r="I2837">
        <v>15.25</v>
      </c>
      <c r="J2837">
        <v>15.25</v>
      </c>
      <c r="K2837" t="s">
        <v>58</v>
      </c>
      <c r="L2837" t="s">
        <v>13</v>
      </c>
      <c r="M2837" t="s">
        <v>26</v>
      </c>
      <c r="N2837" t="s">
        <v>27</v>
      </c>
    </row>
    <row r="2838" spans="1:14" x14ac:dyDescent="0.25">
      <c r="A2838">
        <v>24614</v>
      </c>
      <c r="B2838">
        <v>10819</v>
      </c>
      <c r="C2838">
        <f>1/COUNTIF(B:B,pizza_sales[[#This Row],[order_id]])</f>
        <v>1</v>
      </c>
      <c r="D2838" t="s">
        <v>39</v>
      </c>
      <c r="E2838">
        <v>1</v>
      </c>
      <c r="F2838" s="1">
        <v>42011</v>
      </c>
      <c r="G2838" s="1" t="str">
        <f>TEXT(pizza_sales[[#This Row],[order_date]],"dddd")</f>
        <v>Wednesday</v>
      </c>
      <c r="H2838" s="2">
        <v>0.6330324074074074</v>
      </c>
      <c r="I2838">
        <v>20.25</v>
      </c>
      <c r="J2838">
        <v>20.25</v>
      </c>
      <c r="K2838" t="s">
        <v>58</v>
      </c>
      <c r="L2838" t="s">
        <v>35</v>
      </c>
      <c r="M2838" t="s">
        <v>40</v>
      </c>
      <c r="N2838" t="s">
        <v>41</v>
      </c>
    </row>
    <row r="2839" spans="1:14" x14ac:dyDescent="0.25">
      <c r="A2839">
        <v>24622</v>
      </c>
      <c r="B2839">
        <v>10824</v>
      </c>
      <c r="C2839">
        <f>1/COUNTIF(B:B,pizza_sales[[#This Row],[order_id]])</f>
        <v>0.5</v>
      </c>
      <c r="D2839" t="s">
        <v>34</v>
      </c>
      <c r="E2839">
        <v>1</v>
      </c>
      <c r="F2839" s="1">
        <v>42011</v>
      </c>
      <c r="G2839" s="1" t="str">
        <f>TEXT(pizza_sales[[#This Row],[order_date]],"dddd")</f>
        <v>Wednesday</v>
      </c>
      <c r="H2839" s="2">
        <v>0.66863425925925923</v>
      </c>
      <c r="I2839">
        <v>16.25</v>
      </c>
      <c r="J2839">
        <v>16.25</v>
      </c>
      <c r="K2839" t="s">
        <v>59</v>
      </c>
      <c r="L2839" t="s">
        <v>35</v>
      </c>
      <c r="M2839" t="s">
        <v>36</v>
      </c>
      <c r="N2839" t="s">
        <v>37</v>
      </c>
    </row>
    <row r="2840" spans="1:14" x14ac:dyDescent="0.25">
      <c r="A2840">
        <v>24623</v>
      </c>
      <c r="B2840">
        <v>10824</v>
      </c>
      <c r="C2840">
        <f>1/COUNTIF(B:B,pizza_sales[[#This Row],[order_id]])</f>
        <v>0.5</v>
      </c>
      <c r="D2840" t="s">
        <v>47</v>
      </c>
      <c r="E2840">
        <v>1</v>
      </c>
      <c r="F2840" s="1">
        <v>42011</v>
      </c>
      <c r="G2840" s="1" t="str">
        <f>TEXT(pizza_sales[[#This Row],[order_date]],"dddd")</f>
        <v>Wednesday</v>
      </c>
      <c r="H2840" s="2">
        <v>0.66863425925925923</v>
      </c>
      <c r="I2840">
        <v>16.5</v>
      </c>
      <c r="J2840">
        <v>16.5</v>
      </c>
      <c r="K2840" t="s">
        <v>58</v>
      </c>
      <c r="L2840" t="s">
        <v>13</v>
      </c>
      <c r="M2840" t="s">
        <v>14</v>
      </c>
      <c r="N2840" t="s">
        <v>15</v>
      </c>
    </row>
    <row r="2841" spans="1:14" x14ac:dyDescent="0.25">
      <c r="A2841">
        <v>24626</v>
      </c>
      <c r="B2841">
        <v>10826</v>
      </c>
      <c r="C2841">
        <f>1/COUNTIF(B:B,pizza_sales[[#This Row],[order_id]])</f>
        <v>1</v>
      </c>
      <c r="D2841" t="s">
        <v>42</v>
      </c>
      <c r="E2841">
        <v>1</v>
      </c>
      <c r="F2841" s="1">
        <v>42011</v>
      </c>
      <c r="G2841" s="1" t="str">
        <f>TEXT(pizza_sales[[#This Row],[order_date]],"dddd")</f>
        <v>Wednesday</v>
      </c>
      <c r="H2841" s="2">
        <v>0.67942129629629633</v>
      </c>
      <c r="I2841">
        <v>12.5</v>
      </c>
      <c r="J2841">
        <v>12.5</v>
      </c>
      <c r="K2841" t="s">
        <v>59</v>
      </c>
      <c r="L2841" t="s">
        <v>13</v>
      </c>
      <c r="M2841" t="s">
        <v>26</v>
      </c>
      <c r="N2841" t="s">
        <v>27</v>
      </c>
    </row>
    <row r="2842" spans="1:14" x14ac:dyDescent="0.25">
      <c r="A2842">
        <v>24631</v>
      </c>
      <c r="B2842">
        <v>10830</v>
      </c>
      <c r="C2842">
        <f>1/COUNTIF(B:B,pizza_sales[[#This Row],[order_id]])</f>
        <v>0.5</v>
      </c>
      <c r="D2842" t="s">
        <v>47</v>
      </c>
      <c r="E2842">
        <v>1</v>
      </c>
      <c r="F2842" s="1">
        <v>42011</v>
      </c>
      <c r="G2842" s="1" t="str">
        <f>TEXT(pizza_sales[[#This Row],[order_date]],"dddd")</f>
        <v>Wednesday</v>
      </c>
      <c r="H2842" s="2">
        <v>0.70621527777777782</v>
      </c>
      <c r="I2842">
        <v>16.5</v>
      </c>
      <c r="J2842">
        <v>16.5</v>
      </c>
      <c r="K2842" t="s">
        <v>58</v>
      </c>
      <c r="L2842" t="s">
        <v>13</v>
      </c>
      <c r="M2842" t="s">
        <v>14</v>
      </c>
      <c r="N2842" t="s">
        <v>15</v>
      </c>
    </row>
    <row r="2843" spans="1:14" x14ac:dyDescent="0.25">
      <c r="A2843">
        <v>24632</v>
      </c>
      <c r="B2843">
        <v>10830</v>
      </c>
      <c r="C2843">
        <f>1/COUNTIF(B:B,pizza_sales[[#This Row],[order_id]])</f>
        <v>0.5</v>
      </c>
      <c r="D2843" t="s">
        <v>55</v>
      </c>
      <c r="E2843">
        <v>1</v>
      </c>
      <c r="F2843" s="1">
        <v>42011</v>
      </c>
      <c r="G2843" s="1" t="str">
        <f>TEXT(pizza_sales[[#This Row],[order_date]],"dddd")</f>
        <v>Wednesday</v>
      </c>
      <c r="H2843" s="2">
        <v>0.70621527777777782</v>
      </c>
      <c r="I2843">
        <v>20.5</v>
      </c>
      <c r="J2843">
        <v>20.5</v>
      </c>
      <c r="K2843" t="s">
        <v>58</v>
      </c>
      <c r="L2843" t="s">
        <v>13</v>
      </c>
      <c r="M2843" t="s">
        <v>21</v>
      </c>
      <c r="N2843" t="s">
        <v>22</v>
      </c>
    </row>
    <row r="2844" spans="1:14" x14ac:dyDescent="0.25">
      <c r="A2844">
        <v>24633</v>
      </c>
      <c r="B2844">
        <v>10831</v>
      </c>
      <c r="C2844">
        <f>1/COUNTIF(B:B,pizza_sales[[#This Row],[order_id]])</f>
        <v>1</v>
      </c>
      <c r="D2844" t="s">
        <v>28</v>
      </c>
      <c r="E2844">
        <v>1</v>
      </c>
      <c r="F2844" s="1">
        <v>42011</v>
      </c>
      <c r="G2844" s="1" t="str">
        <f>TEXT(pizza_sales[[#This Row],[order_date]],"dddd")</f>
        <v>Wednesday</v>
      </c>
      <c r="H2844" s="2">
        <v>0.71545138888888893</v>
      </c>
      <c r="I2844">
        <v>12</v>
      </c>
      <c r="J2844">
        <v>12</v>
      </c>
      <c r="K2844" t="s">
        <v>60</v>
      </c>
      <c r="L2844" t="s">
        <v>13</v>
      </c>
      <c r="M2844" t="s">
        <v>29</v>
      </c>
      <c r="N2844" t="s">
        <v>30</v>
      </c>
    </row>
    <row r="2845" spans="1:14" x14ac:dyDescent="0.25">
      <c r="A2845">
        <v>24637</v>
      </c>
      <c r="B2845">
        <v>10833</v>
      </c>
      <c r="C2845">
        <f>1/COUNTIF(B:B,pizza_sales[[#This Row],[order_id]])</f>
        <v>0.5</v>
      </c>
      <c r="D2845" t="s">
        <v>31</v>
      </c>
      <c r="E2845">
        <v>1</v>
      </c>
      <c r="F2845" s="1">
        <v>42011</v>
      </c>
      <c r="G2845" s="1" t="str">
        <f>TEXT(pizza_sales[[#This Row],[order_date]],"dddd")</f>
        <v>Wednesday</v>
      </c>
      <c r="H2845" s="2">
        <v>0.72327546296296297</v>
      </c>
      <c r="I2845">
        <v>12</v>
      </c>
      <c r="J2845">
        <v>12</v>
      </c>
      <c r="K2845" t="s">
        <v>60</v>
      </c>
      <c r="L2845" t="s">
        <v>13</v>
      </c>
      <c r="M2845" t="s">
        <v>32</v>
      </c>
      <c r="N2845" t="s">
        <v>33</v>
      </c>
    </row>
    <row r="2846" spans="1:14" x14ac:dyDescent="0.25">
      <c r="A2846">
        <v>24638</v>
      </c>
      <c r="B2846">
        <v>10833</v>
      </c>
      <c r="C2846">
        <f>1/COUNTIF(B:B,pizza_sales[[#This Row],[order_id]])</f>
        <v>0.5</v>
      </c>
      <c r="D2846" t="s">
        <v>25</v>
      </c>
      <c r="E2846">
        <v>1</v>
      </c>
      <c r="F2846" s="1">
        <v>42011</v>
      </c>
      <c r="G2846" s="1" t="str">
        <f>TEXT(pizza_sales[[#This Row],[order_date]],"dddd")</f>
        <v>Wednesday</v>
      </c>
      <c r="H2846" s="2">
        <v>0.72327546296296297</v>
      </c>
      <c r="I2846">
        <v>15.25</v>
      </c>
      <c r="J2846">
        <v>15.25</v>
      </c>
      <c r="K2846" t="s">
        <v>58</v>
      </c>
      <c r="L2846" t="s">
        <v>13</v>
      </c>
      <c r="M2846" t="s">
        <v>26</v>
      </c>
      <c r="N2846" t="s">
        <v>27</v>
      </c>
    </row>
    <row r="2847" spans="1:14" x14ac:dyDescent="0.25">
      <c r="A2847">
        <v>24640</v>
      </c>
      <c r="B2847">
        <v>10834</v>
      </c>
      <c r="C2847">
        <f>1/COUNTIF(B:B,pizza_sales[[#This Row],[order_id]])</f>
        <v>1</v>
      </c>
      <c r="D2847" t="s">
        <v>44</v>
      </c>
      <c r="E2847">
        <v>1</v>
      </c>
      <c r="F2847" s="1">
        <v>42011</v>
      </c>
      <c r="G2847" s="1" t="str">
        <f>TEXT(pizza_sales[[#This Row],[order_date]],"dddd")</f>
        <v>Wednesday</v>
      </c>
      <c r="H2847" s="2">
        <v>0.72396990740740741</v>
      </c>
      <c r="I2847">
        <v>9.75</v>
      </c>
      <c r="J2847">
        <v>9.75</v>
      </c>
      <c r="K2847" t="s">
        <v>60</v>
      </c>
      <c r="L2847" t="s">
        <v>13</v>
      </c>
      <c r="M2847" t="s">
        <v>26</v>
      </c>
      <c r="N2847" t="s">
        <v>27</v>
      </c>
    </row>
    <row r="2848" spans="1:14" x14ac:dyDescent="0.25">
      <c r="A2848">
        <v>24641</v>
      </c>
      <c r="B2848">
        <v>10835</v>
      </c>
      <c r="C2848">
        <f>1/COUNTIF(B:B,pizza_sales[[#This Row],[order_id]])</f>
        <v>1</v>
      </c>
      <c r="D2848" t="s">
        <v>16</v>
      </c>
      <c r="E2848">
        <v>1</v>
      </c>
      <c r="F2848" s="1">
        <v>42011</v>
      </c>
      <c r="G2848" s="1" t="str">
        <f>TEXT(pizza_sales[[#This Row],[order_date]],"dddd")</f>
        <v>Wednesday</v>
      </c>
      <c r="H2848" s="2">
        <v>0.72591435185185182</v>
      </c>
      <c r="I2848">
        <v>16</v>
      </c>
      <c r="J2848">
        <v>16</v>
      </c>
      <c r="K2848" t="s">
        <v>59</v>
      </c>
      <c r="L2848" t="s">
        <v>17</v>
      </c>
      <c r="M2848" t="s">
        <v>18</v>
      </c>
      <c r="N2848" t="s">
        <v>19</v>
      </c>
    </row>
    <row r="2849" spans="1:14" x14ac:dyDescent="0.25">
      <c r="A2849">
        <v>24646</v>
      </c>
      <c r="B2849">
        <v>10837</v>
      </c>
      <c r="C2849">
        <f>1/COUNTIF(B:B,pizza_sales[[#This Row],[order_id]])</f>
        <v>0.5</v>
      </c>
      <c r="D2849" t="s">
        <v>28</v>
      </c>
      <c r="E2849">
        <v>1</v>
      </c>
      <c r="F2849" s="1">
        <v>42011</v>
      </c>
      <c r="G2849" s="1" t="str">
        <f>TEXT(pizza_sales[[#This Row],[order_date]],"dddd")</f>
        <v>Wednesday</v>
      </c>
      <c r="H2849" s="2">
        <v>0.73248842592592589</v>
      </c>
      <c r="I2849">
        <v>12</v>
      </c>
      <c r="J2849">
        <v>12</v>
      </c>
      <c r="K2849" t="s">
        <v>60</v>
      </c>
      <c r="L2849" t="s">
        <v>13</v>
      </c>
      <c r="M2849" t="s">
        <v>29</v>
      </c>
      <c r="N2849" t="s">
        <v>30</v>
      </c>
    </row>
    <row r="2850" spans="1:14" x14ac:dyDescent="0.25">
      <c r="A2850">
        <v>24648</v>
      </c>
      <c r="B2850">
        <v>10837</v>
      </c>
      <c r="C2850">
        <f>1/COUNTIF(B:B,pizza_sales[[#This Row],[order_id]])</f>
        <v>0.5</v>
      </c>
      <c r="D2850" t="s">
        <v>31</v>
      </c>
      <c r="E2850">
        <v>1</v>
      </c>
      <c r="F2850" s="1">
        <v>42011</v>
      </c>
      <c r="G2850" s="1" t="str">
        <f>TEXT(pizza_sales[[#This Row],[order_date]],"dddd")</f>
        <v>Wednesday</v>
      </c>
      <c r="H2850" s="2">
        <v>0.73248842592592589</v>
      </c>
      <c r="I2850">
        <v>12</v>
      </c>
      <c r="J2850">
        <v>12</v>
      </c>
      <c r="K2850" t="s">
        <v>60</v>
      </c>
      <c r="L2850" t="s">
        <v>13</v>
      </c>
      <c r="M2850" t="s">
        <v>32</v>
      </c>
      <c r="N2850" t="s">
        <v>33</v>
      </c>
    </row>
    <row r="2851" spans="1:14" x14ac:dyDescent="0.25">
      <c r="A2851">
        <v>24653</v>
      </c>
      <c r="B2851">
        <v>10839</v>
      </c>
      <c r="C2851">
        <f>1/COUNTIF(B:B,pizza_sales[[#This Row],[order_id]])</f>
        <v>1</v>
      </c>
      <c r="D2851" t="s">
        <v>48</v>
      </c>
      <c r="E2851">
        <v>1</v>
      </c>
      <c r="F2851" s="1">
        <v>42011</v>
      </c>
      <c r="G2851" s="1" t="str">
        <f>TEXT(pizza_sales[[#This Row],[order_date]],"dddd")</f>
        <v>Wednesday</v>
      </c>
      <c r="H2851" s="2">
        <v>0.74252314814814813</v>
      </c>
      <c r="I2851">
        <v>12.25</v>
      </c>
      <c r="J2851">
        <v>12.25</v>
      </c>
      <c r="K2851" t="s">
        <v>60</v>
      </c>
      <c r="L2851" t="s">
        <v>35</v>
      </c>
      <c r="M2851" t="s">
        <v>40</v>
      </c>
      <c r="N2851" t="s">
        <v>41</v>
      </c>
    </row>
    <row r="2852" spans="1:14" x14ac:dyDescent="0.25">
      <c r="A2852">
        <v>24655</v>
      </c>
      <c r="B2852">
        <v>10840</v>
      </c>
      <c r="C2852">
        <f>1/COUNTIF(B:B,pizza_sales[[#This Row],[order_id]])</f>
        <v>0.5</v>
      </c>
      <c r="D2852" t="s">
        <v>28</v>
      </c>
      <c r="E2852">
        <v>1</v>
      </c>
      <c r="F2852" s="1">
        <v>42011</v>
      </c>
      <c r="G2852" s="1" t="str">
        <f>TEXT(pizza_sales[[#This Row],[order_date]],"dddd")</f>
        <v>Wednesday</v>
      </c>
      <c r="H2852" s="2">
        <v>0.74652777777777779</v>
      </c>
      <c r="I2852">
        <v>12</v>
      </c>
      <c r="J2852">
        <v>12</v>
      </c>
      <c r="K2852" t="s">
        <v>60</v>
      </c>
      <c r="L2852" t="s">
        <v>13</v>
      </c>
      <c r="M2852" t="s">
        <v>29</v>
      </c>
      <c r="N2852" t="s">
        <v>30</v>
      </c>
    </row>
    <row r="2853" spans="1:14" x14ac:dyDescent="0.25">
      <c r="A2853">
        <v>24658</v>
      </c>
      <c r="B2853">
        <v>10840</v>
      </c>
      <c r="C2853">
        <f>1/COUNTIF(B:B,pizza_sales[[#This Row],[order_id]])</f>
        <v>0.5</v>
      </c>
      <c r="D2853" t="s">
        <v>42</v>
      </c>
      <c r="E2853">
        <v>1</v>
      </c>
      <c r="F2853" s="1">
        <v>42011</v>
      </c>
      <c r="G2853" s="1" t="str">
        <f>TEXT(pizza_sales[[#This Row],[order_date]],"dddd")</f>
        <v>Wednesday</v>
      </c>
      <c r="H2853" s="2">
        <v>0.74652777777777779</v>
      </c>
      <c r="I2853">
        <v>12.5</v>
      </c>
      <c r="J2853">
        <v>12.5</v>
      </c>
      <c r="K2853" t="s">
        <v>59</v>
      </c>
      <c r="L2853" t="s">
        <v>13</v>
      </c>
      <c r="M2853" t="s">
        <v>26</v>
      </c>
      <c r="N2853" t="s">
        <v>27</v>
      </c>
    </row>
    <row r="2854" spans="1:14" x14ac:dyDescent="0.25">
      <c r="A2854">
        <v>24659</v>
      </c>
      <c r="B2854">
        <v>10841</v>
      </c>
      <c r="C2854">
        <f>1/COUNTIF(B:B,pizza_sales[[#This Row],[order_id]])</f>
        <v>1</v>
      </c>
      <c r="D2854" t="s">
        <v>34</v>
      </c>
      <c r="E2854">
        <v>2</v>
      </c>
      <c r="F2854" s="1">
        <v>42011</v>
      </c>
      <c r="G2854" s="1" t="str">
        <f>TEXT(pizza_sales[[#This Row],[order_date]],"dddd")</f>
        <v>Wednesday</v>
      </c>
      <c r="H2854" s="2">
        <v>0.75255787037037036</v>
      </c>
      <c r="I2854">
        <v>16.25</v>
      </c>
      <c r="J2854">
        <v>32.5</v>
      </c>
      <c r="K2854" t="s">
        <v>59</v>
      </c>
      <c r="L2854" t="s">
        <v>35</v>
      </c>
      <c r="M2854" t="s">
        <v>36</v>
      </c>
      <c r="N2854" t="s">
        <v>37</v>
      </c>
    </row>
    <row r="2855" spans="1:14" x14ac:dyDescent="0.25">
      <c r="A2855">
        <v>24663</v>
      </c>
      <c r="B2855">
        <v>10842</v>
      </c>
      <c r="C2855">
        <f>1/COUNTIF(B:B,pizza_sales[[#This Row],[order_id]])</f>
        <v>1</v>
      </c>
      <c r="D2855" t="s">
        <v>47</v>
      </c>
      <c r="E2855">
        <v>1</v>
      </c>
      <c r="F2855" s="1">
        <v>42011</v>
      </c>
      <c r="G2855" s="1" t="str">
        <f>TEXT(pizza_sales[[#This Row],[order_date]],"dddd")</f>
        <v>Wednesday</v>
      </c>
      <c r="H2855" s="2">
        <v>0.76127314814814817</v>
      </c>
      <c r="I2855">
        <v>16.5</v>
      </c>
      <c r="J2855">
        <v>16.5</v>
      </c>
      <c r="K2855" t="s">
        <v>58</v>
      </c>
      <c r="L2855" t="s">
        <v>13</v>
      </c>
      <c r="M2855" t="s">
        <v>14</v>
      </c>
      <c r="N2855" t="s">
        <v>15</v>
      </c>
    </row>
    <row r="2856" spans="1:14" x14ac:dyDescent="0.25">
      <c r="A2856">
        <v>24668</v>
      </c>
      <c r="B2856">
        <v>10844</v>
      </c>
      <c r="C2856">
        <f>1/COUNTIF(B:B,pizza_sales[[#This Row],[order_id]])</f>
        <v>1</v>
      </c>
      <c r="D2856" t="s">
        <v>28</v>
      </c>
      <c r="E2856">
        <v>1</v>
      </c>
      <c r="F2856" s="1">
        <v>42011</v>
      </c>
      <c r="G2856" s="1" t="str">
        <f>TEXT(pizza_sales[[#This Row],[order_date]],"dddd")</f>
        <v>Wednesday</v>
      </c>
      <c r="H2856" s="2">
        <v>0.77015046296296297</v>
      </c>
      <c r="I2856">
        <v>12</v>
      </c>
      <c r="J2856">
        <v>12</v>
      </c>
      <c r="K2856" t="s">
        <v>60</v>
      </c>
      <c r="L2856" t="s">
        <v>13</v>
      </c>
      <c r="M2856" t="s">
        <v>29</v>
      </c>
      <c r="N2856" t="s">
        <v>30</v>
      </c>
    </row>
    <row r="2857" spans="1:14" x14ac:dyDescent="0.25">
      <c r="A2857">
        <v>24670</v>
      </c>
      <c r="B2857">
        <v>10846</v>
      </c>
      <c r="C2857">
        <f>1/COUNTIF(B:B,pizza_sales[[#This Row],[order_id]])</f>
        <v>0.5</v>
      </c>
      <c r="D2857" t="s">
        <v>28</v>
      </c>
      <c r="E2857">
        <v>1</v>
      </c>
      <c r="F2857" s="1">
        <v>42011</v>
      </c>
      <c r="G2857" s="1" t="str">
        <f>TEXT(pizza_sales[[#This Row],[order_date]],"dddd")</f>
        <v>Wednesday</v>
      </c>
      <c r="H2857" s="2">
        <v>0.77509259259259256</v>
      </c>
      <c r="I2857">
        <v>12</v>
      </c>
      <c r="J2857">
        <v>12</v>
      </c>
      <c r="K2857" t="s">
        <v>60</v>
      </c>
      <c r="L2857" t="s">
        <v>13</v>
      </c>
      <c r="M2857" t="s">
        <v>29</v>
      </c>
      <c r="N2857" t="s">
        <v>30</v>
      </c>
    </row>
    <row r="2858" spans="1:14" x14ac:dyDescent="0.25">
      <c r="A2858">
        <v>24671</v>
      </c>
      <c r="B2858">
        <v>10846</v>
      </c>
      <c r="C2858">
        <f>1/COUNTIF(B:B,pizza_sales[[#This Row],[order_id]])</f>
        <v>0.5</v>
      </c>
      <c r="D2858" t="s">
        <v>56</v>
      </c>
      <c r="E2858">
        <v>1</v>
      </c>
      <c r="F2858" s="1">
        <v>42011</v>
      </c>
      <c r="G2858" s="1" t="str">
        <f>TEXT(pizza_sales[[#This Row],[order_date]],"dddd")</f>
        <v>Wednesday</v>
      </c>
      <c r="H2858" s="2">
        <v>0.77509259259259256</v>
      </c>
      <c r="I2858">
        <v>20.25</v>
      </c>
      <c r="J2858">
        <v>20.25</v>
      </c>
      <c r="K2858" t="s">
        <v>58</v>
      </c>
      <c r="L2858" t="s">
        <v>35</v>
      </c>
      <c r="M2858" t="s">
        <v>36</v>
      </c>
      <c r="N2858" t="s">
        <v>37</v>
      </c>
    </row>
    <row r="2859" spans="1:14" x14ac:dyDescent="0.25">
      <c r="A2859">
        <v>24675</v>
      </c>
      <c r="B2859">
        <v>10847</v>
      </c>
      <c r="C2859">
        <f>1/COUNTIF(B:B,pizza_sales[[#This Row],[order_id]])</f>
        <v>1</v>
      </c>
      <c r="D2859" t="s">
        <v>55</v>
      </c>
      <c r="E2859">
        <v>1</v>
      </c>
      <c r="F2859" s="1">
        <v>42011</v>
      </c>
      <c r="G2859" s="1" t="str">
        <f>TEXT(pizza_sales[[#This Row],[order_date]],"dddd")</f>
        <v>Wednesday</v>
      </c>
      <c r="H2859" s="2">
        <v>0.77788194444444447</v>
      </c>
      <c r="I2859">
        <v>20.5</v>
      </c>
      <c r="J2859">
        <v>20.5</v>
      </c>
      <c r="K2859" t="s">
        <v>58</v>
      </c>
      <c r="L2859" t="s">
        <v>13</v>
      </c>
      <c r="M2859" t="s">
        <v>21</v>
      </c>
      <c r="N2859" t="s">
        <v>22</v>
      </c>
    </row>
    <row r="2860" spans="1:14" x14ac:dyDescent="0.25">
      <c r="A2860">
        <v>24681</v>
      </c>
      <c r="B2860">
        <v>10851</v>
      </c>
      <c r="C2860">
        <f>1/COUNTIF(B:B,pizza_sales[[#This Row],[order_id]])</f>
        <v>1</v>
      </c>
      <c r="D2860" t="s">
        <v>38</v>
      </c>
      <c r="E2860">
        <v>1</v>
      </c>
      <c r="F2860" s="1">
        <v>42011</v>
      </c>
      <c r="G2860" s="1" t="str">
        <f>TEXT(pizza_sales[[#This Row],[order_date]],"dddd")</f>
        <v>Wednesday</v>
      </c>
      <c r="H2860" s="2">
        <v>0.81729166666666664</v>
      </c>
      <c r="I2860">
        <v>20.5</v>
      </c>
      <c r="J2860">
        <v>20.5</v>
      </c>
      <c r="K2860" t="s">
        <v>58</v>
      </c>
      <c r="L2860" t="s">
        <v>13</v>
      </c>
      <c r="M2860" t="s">
        <v>32</v>
      </c>
      <c r="N2860" t="s">
        <v>33</v>
      </c>
    </row>
    <row r="2861" spans="1:14" x14ac:dyDescent="0.25">
      <c r="A2861">
        <v>24682</v>
      </c>
      <c r="B2861">
        <v>10852</v>
      </c>
      <c r="C2861">
        <f>1/COUNTIF(B:B,pizza_sales[[#This Row],[order_id]])</f>
        <v>1</v>
      </c>
      <c r="D2861" t="s">
        <v>28</v>
      </c>
      <c r="E2861">
        <v>1</v>
      </c>
      <c r="F2861" s="1">
        <v>42011</v>
      </c>
      <c r="G2861" s="1" t="str">
        <f>TEXT(pizza_sales[[#This Row],[order_date]],"dddd")</f>
        <v>Wednesday</v>
      </c>
      <c r="H2861" s="2">
        <v>0.81799768518518523</v>
      </c>
      <c r="I2861">
        <v>12</v>
      </c>
      <c r="J2861">
        <v>12</v>
      </c>
      <c r="K2861" t="s">
        <v>60</v>
      </c>
      <c r="L2861" t="s">
        <v>13</v>
      </c>
      <c r="M2861" t="s">
        <v>29</v>
      </c>
      <c r="N2861" t="s">
        <v>30</v>
      </c>
    </row>
    <row r="2862" spans="1:14" x14ac:dyDescent="0.25">
      <c r="A2862">
        <v>24687</v>
      </c>
      <c r="B2862">
        <v>10854</v>
      </c>
      <c r="C2862">
        <f>1/COUNTIF(B:B,pizza_sales[[#This Row],[order_id]])</f>
        <v>1</v>
      </c>
      <c r="D2862" t="s">
        <v>16</v>
      </c>
      <c r="E2862">
        <v>1</v>
      </c>
      <c r="F2862" s="1">
        <v>42011</v>
      </c>
      <c r="G2862" s="1" t="str">
        <f>TEXT(pizza_sales[[#This Row],[order_date]],"dddd")</f>
        <v>Wednesday</v>
      </c>
      <c r="H2862" s="2">
        <v>0.83270833333333338</v>
      </c>
      <c r="I2862">
        <v>16</v>
      </c>
      <c r="J2862">
        <v>16</v>
      </c>
      <c r="K2862" t="s">
        <v>59</v>
      </c>
      <c r="L2862" t="s">
        <v>17</v>
      </c>
      <c r="M2862" t="s">
        <v>18</v>
      </c>
      <c r="N2862" t="s">
        <v>19</v>
      </c>
    </row>
    <row r="2863" spans="1:14" x14ac:dyDescent="0.25">
      <c r="A2863">
        <v>24690</v>
      </c>
      <c r="B2863">
        <v>10857</v>
      </c>
      <c r="C2863">
        <f>1/COUNTIF(B:B,pizza_sales[[#This Row],[order_id]])</f>
        <v>1</v>
      </c>
      <c r="D2863" t="s">
        <v>28</v>
      </c>
      <c r="E2863">
        <v>1</v>
      </c>
      <c r="F2863" s="1">
        <v>42011</v>
      </c>
      <c r="G2863" s="1" t="str">
        <f>TEXT(pizza_sales[[#This Row],[order_date]],"dddd")</f>
        <v>Wednesday</v>
      </c>
      <c r="H2863" s="2">
        <v>0.849212962962963</v>
      </c>
      <c r="I2863">
        <v>12</v>
      </c>
      <c r="J2863">
        <v>12</v>
      </c>
      <c r="K2863" t="s">
        <v>60</v>
      </c>
      <c r="L2863" t="s">
        <v>13</v>
      </c>
      <c r="M2863" t="s">
        <v>29</v>
      </c>
      <c r="N2863" t="s">
        <v>30</v>
      </c>
    </row>
    <row r="2864" spans="1:14" x14ac:dyDescent="0.25">
      <c r="A2864">
        <v>24693</v>
      </c>
      <c r="B2864">
        <v>10858</v>
      </c>
      <c r="C2864">
        <f>1/COUNTIF(B:B,pizza_sales[[#This Row],[order_id]])</f>
        <v>1</v>
      </c>
      <c r="D2864" t="s">
        <v>42</v>
      </c>
      <c r="E2864">
        <v>1</v>
      </c>
      <c r="F2864" s="1">
        <v>42011</v>
      </c>
      <c r="G2864" s="1" t="str">
        <f>TEXT(pizza_sales[[#This Row],[order_date]],"dddd")</f>
        <v>Wednesday</v>
      </c>
      <c r="H2864" s="2">
        <v>0.86353009259259261</v>
      </c>
      <c r="I2864">
        <v>12.5</v>
      </c>
      <c r="J2864">
        <v>12.5</v>
      </c>
      <c r="K2864" t="s">
        <v>59</v>
      </c>
      <c r="L2864" t="s">
        <v>13</v>
      </c>
      <c r="M2864" t="s">
        <v>26</v>
      </c>
      <c r="N2864" t="s">
        <v>27</v>
      </c>
    </row>
    <row r="2865" spans="1:14" x14ac:dyDescent="0.25">
      <c r="A2865">
        <v>24710</v>
      </c>
      <c r="B2865">
        <v>10867</v>
      </c>
      <c r="C2865">
        <f>1/COUNTIF(B:B,pizza_sales[[#This Row],[order_id]])</f>
        <v>1</v>
      </c>
      <c r="D2865" t="s">
        <v>50</v>
      </c>
      <c r="E2865">
        <v>1</v>
      </c>
      <c r="F2865" s="1">
        <v>42042</v>
      </c>
      <c r="G2865" s="1" t="str">
        <f>TEXT(pizza_sales[[#This Row],[order_date]],"dddd")</f>
        <v>Saturday</v>
      </c>
      <c r="H2865" s="2">
        <v>0.48947916666666669</v>
      </c>
      <c r="I2865">
        <v>16</v>
      </c>
      <c r="J2865">
        <v>16</v>
      </c>
      <c r="K2865" t="s">
        <v>59</v>
      </c>
      <c r="L2865" t="s">
        <v>13</v>
      </c>
      <c r="M2865" t="s">
        <v>32</v>
      </c>
      <c r="N2865" t="s">
        <v>33</v>
      </c>
    </row>
    <row r="2866" spans="1:14" x14ac:dyDescent="0.25">
      <c r="A2866">
        <v>24711</v>
      </c>
      <c r="B2866">
        <v>10868</v>
      </c>
      <c r="C2866">
        <f>1/COUNTIF(B:B,pizza_sales[[#This Row],[order_id]])</f>
        <v>0.5</v>
      </c>
      <c r="D2866" t="s">
        <v>12</v>
      </c>
      <c r="E2866">
        <v>1</v>
      </c>
      <c r="F2866" s="1">
        <v>42042</v>
      </c>
      <c r="G2866" s="1" t="str">
        <f>TEXT(pizza_sales[[#This Row],[order_date]],"dddd")</f>
        <v>Saturday</v>
      </c>
      <c r="H2866" s="2">
        <v>0.49070601851851853</v>
      </c>
      <c r="I2866">
        <v>13.25</v>
      </c>
      <c r="J2866">
        <v>13.25</v>
      </c>
      <c r="K2866" t="s">
        <v>59</v>
      </c>
      <c r="L2866" t="s">
        <v>13</v>
      </c>
      <c r="M2866" t="s">
        <v>14</v>
      </c>
      <c r="N2866" t="s">
        <v>15</v>
      </c>
    </row>
    <row r="2867" spans="1:14" x14ac:dyDescent="0.25">
      <c r="A2867">
        <v>24712</v>
      </c>
      <c r="B2867">
        <v>10868</v>
      </c>
      <c r="C2867">
        <f>1/COUNTIF(B:B,pizza_sales[[#This Row],[order_id]])</f>
        <v>0.5</v>
      </c>
      <c r="D2867" t="s">
        <v>25</v>
      </c>
      <c r="E2867">
        <v>1</v>
      </c>
      <c r="F2867" s="1">
        <v>42042</v>
      </c>
      <c r="G2867" s="1" t="str">
        <f>TEXT(pizza_sales[[#This Row],[order_date]],"dddd")</f>
        <v>Saturday</v>
      </c>
      <c r="H2867" s="2">
        <v>0.49070601851851853</v>
      </c>
      <c r="I2867">
        <v>15.25</v>
      </c>
      <c r="J2867">
        <v>15.25</v>
      </c>
      <c r="K2867" t="s">
        <v>58</v>
      </c>
      <c r="L2867" t="s">
        <v>13</v>
      </c>
      <c r="M2867" t="s">
        <v>26</v>
      </c>
      <c r="N2867" t="s">
        <v>27</v>
      </c>
    </row>
    <row r="2868" spans="1:14" x14ac:dyDescent="0.25">
      <c r="A2868">
        <v>24718</v>
      </c>
      <c r="B2868">
        <v>10870</v>
      </c>
      <c r="C2868">
        <f>1/COUNTIF(B:B,pizza_sales[[#This Row],[order_id]])</f>
        <v>0.5</v>
      </c>
      <c r="D2868" t="s">
        <v>43</v>
      </c>
      <c r="E2868">
        <v>1</v>
      </c>
      <c r="F2868" s="1">
        <v>42042</v>
      </c>
      <c r="G2868" s="1" t="str">
        <f>TEXT(pizza_sales[[#This Row],[order_date]],"dddd")</f>
        <v>Saturday</v>
      </c>
      <c r="H2868" s="2">
        <v>0.49576388888888889</v>
      </c>
      <c r="I2868">
        <v>16.25</v>
      </c>
      <c r="J2868">
        <v>16.25</v>
      </c>
      <c r="K2868" t="s">
        <v>59</v>
      </c>
      <c r="L2868" t="s">
        <v>35</v>
      </c>
      <c r="M2868" t="s">
        <v>40</v>
      </c>
      <c r="N2868" t="s">
        <v>41</v>
      </c>
    </row>
    <row r="2869" spans="1:14" x14ac:dyDescent="0.25">
      <c r="A2869">
        <v>24719</v>
      </c>
      <c r="B2869">
        <v>10870</v>
      </c>
      <c r="C2869">
        <f>1/COUNTIF(B:B,pizza_sales[[#This Row],[order_id]])</f>
        <v>0.5</v>
      </c>
      <c r="D2869" t="s">
        <v>46</v>
      </c>
      <c r="E2869">
        <v>1</v>
      </c>
      <c r="F2869" s="1">
        <v>42042</v>
      </c>
      <c r="G2869" s="1" t="str">
        <f>TEXT(pizza_sales[[#This Row],[order_date]],"dddd")</f>
        <v>Saturday</v>
      </c>
      <c r="H2869" s="2">
        <v>0.49576388888888889</v>
      </c>
      <c r="I2869">
        <v>25.5</v>
      </c>
      <c r="J2869">
        <v>25.5</v>
      </c>
      <c r="K2869" t="s">
        <v>61</v>
      </c>
      <c r="L2869" t="s">
        <v>13</v>
      </c>
      <c r="M2869" t="s">
        <v>21</v>
      </c>
      <c r="N2869" t="s">
        <v>22</v>
      </c>
    </row>
    <row r="2870" spans="1:14" x14ac:dyDescent="0.25">
      <c r="A2870">
        <v>24720</v>
      </c>
      <c r="B2870">
        <v>10871</v>
      </c>
      <c r="C2870">
        <f>1/COUNTIF(B:B,pizza_sales[[#This Row],[order_id]])</f>
        <v>0.5</v>
      </c>
      <c r="D2870" t="s">
        <v>28</v>
      </c>
      <c r="E2870">
        <v>1</v>
      </c>
      <c r="F2870" s="1">
        <v>42042</v>
      </c>
      <c r="G2870" s="1" t="str">
        <f>TEXT(pizza_sales[[#This Row],[order_date]],"dddd")</f>
        <v>Saturday</v>
      </c>
      <c r="H2870" s="2">
        <v>0.5</v>
      </c>
      <c r="I2870">
        <v>12</v>
      </c>
      <c r="J2870">
        <v>12</v>
      </c>
      <c r="K2870" t="s">
        <v>60</v>
      </c>
      <c r="L2870" t="s">
        <v>13</v>
      </c>
      <c r="M2870" t="s">
        <v>29</v>
      </c>
      <c r="N2870" t="s">
        <v>30</v>
      </c>
    </row>
    <row r="2871" spans="1:14" x14ac:dyDescent="0.25">
      <c r="A2871">
        <v>24722</v>
      </c>
      <c r="B2871">
        <v>10871</v>
      </c>
      <c r="C2871">
        <f>1/COUNTIF(B:B,pizza_sales[[#This Row],[order_id]])</f>
        <v>0.5</v>
      </c>
      <c r="D2871" t="s">
        <v>47</v>
      </c>
      <c r="E2871">
        <v>1</v>
      </c>
      <c r="F2871" s="1">
        <v>42042</v>
      </c>
      <c r="G2871" s="1" t="str">
        <f>TEXT(pizza_sales[[#This Row],[order_date]],"dddd")</f>
        <v>Saturday</v>
      </c>
      <c r="H2871" s="2">
        <v>0.5</v>
      </c>
      <c r="I2871">
        <v>16.5</v>
      </c>
      <c r="J2871">
        <v>16.5</v>
      </c>
      <c r="K2871" t="s">
        <v>58</v>
      </c>
      <c r="L2871" t="s">
        <v>13</v>
      </c>
      <c r="M2871" t="s">
        <v>14</v>
      </c>
      <c r="N2871" t="s">
        <v>15</v>
      </c>
    </row>
    <row r="2872" spans="1:14" x14ac:dyDescent="0.25">
      <c r="A2872">
        <v>24723</v>
      </c>
      <c r="B2872">
        <v>10872</v>
      </c>
      <c r="C2872">
        <f>1/COUNTIF(B:B,pizza_sales[[#This Row],[order_id]])</f>
        <v>1</v>
      </c>
      <c r="D2872" t="s">
        <v>31</v>
      </c>
      <c r="E2872">
        <v>1</v>
      </c>
      <c r="F2872" s="1">
        <v>42042</v>
      </c>
      <c r="G2872" s="1" t="str">
        <f>TEXT(pizza_sales[[#This Row],[order_date]],"dddd")</f>
        <v>Saturday</v>
      </c>
      <c r="H2872" s="2">
        <v>0.5017476851851852</v>
      </c>
      <c r="I2872">
        <v>12</v>
      </c>
      <c r="J2872">
        <v>12</v>
      </c>
      <c r="K2872" t="s">
        <v>60</v>
      </c>
      <c r="L2872" t="s">
        <v>13</v>
      </c>
      <c r="M2872" t="s">
        <v>32</v>
      </c>
      <c r="N2872" t="s">
        <v>33</v>
      </c>
    </row>
    <row r="2873" spans="1:14" x14ac:dyDescent="0.25">
      <c r="A2873">
        <v>24728</v>
      </c>
      <c r="B2873">
        <v>10876</v>
      </c>
      <c r="C2873">
        <f>1/COUNTIF(B:B,pizza_sales[[#This Row],[order_id]])</f>
        <v>1</v>
      </c>
      <c r="D2873" t="s">
        <v>28</v>
      </c>
      <c r="E2873">
        <v>1</v>
      </c>
      <c r="F2873" s="1">
        <v>42042</v>
      </c>
      <c r="G2873" s="1" t="str">
        <f>TEXT(pizza_sales[[#This Row],[order_date]],"dddd")</f>
        <v>Saturday</v>
      </c>
      <c r="H2873" s="2">
        <v>0.52063657407407404</v>
      </c>
      <c r="I2873">
        <v>12</v>
      </c>
      <c r="J2873">
        <v>12</v>
      </c>
      <c r="K2873" t="s">
        <v>60</v>
      </c>
      <c r="L2873" t="s">
        <v>13</v>
      </c>
      <c r="M2873" t="s">
        <v>29</v>
      </c>
      <c r="N2873" t="s">
        <v>30</v>
      </c>
    </row>
    <row r="2874" spans="1:14" x14ac:dyDescent="0.25">
      <c r="A2874">
        <v>24732</v>
      </c>
      <c r="B2874">
        <v>10878</v>
      </c>
      <c r="C2874">
        <f>1/COUNTIF(B:B,pizza_sales[[#This Row],[order_id]])</f>
        <v>1</v>
      </c>
      <c r="D2874" t="s">
        <v>25</v>
      </c>
      <c r="E2874">
        <v>1</v>
      </c>
      <c r="F2874" s="1">
        <v>42042</v>
      </c>
      <c r="G2874" s="1" t="str">
        <f>TEXT(pizza_sales[[#This Row],[order_date]],"dddd")</f>
        <v>Saturday</v>
      </c>
      <c r="H2874" s="2">
        <v>0.52550925925925929</v>
      </c>
      <c r="I2874">
        <v>15.25</v>
      </c>
      <c r="J2874">
        <v>15.25</v>
      </c>
      <c r="K2874" t="s">
        <v>58</v>
      </c>
      <c r="L2874" t="s">
        <v>13</v>
      </c>
      <c r="M2874" t="s">
        <v>26</v>
      </c>
      <c r="N2874" t="s">
        <v>27</v>
      </c>
    </row>
    <row r="2875" spans="1:14" x14ac:dyDescent="0.25">
      <c r="A2875">
        <v>24742</v>
      </c>
      <c r="B2875">
        <v>10884</v>
      </c>
      <c r="C2875">
        <f>1/COUNTIF(B:B,pizza_sales[[#This Row],[order_id]])</f>
        <v>1</v>
      </c>
      <c r="D2875" t="s">
        <v>48</v>
      </c>
      <c r="E2875">
        <v>1</v>
      </c>
      <c r="F2875" s="1">
        <v>42042</v>
      </c>
      <c r="G2875" s="1" t="str">
        <f>TEXT(pizza_sales[[#This Row],[order_date]],"dddd")</f>
        <v>Saturday</v>
      </c>
      <c r="H2875" s="2">
        <v>0.54629629629629628</v>
      </c>
      <c r="I2875">
        <v>12.25</v>
      </c>
      <c r="J2875">
        <v>12.25</v>
      </c>
      <c r="K2875" t="s">
        <v>60</v>
      </c>
      <c r="L2875" t="s">
        <v>35</v>
      </c>
      <c r="M2875" t="s">
        <v>40</v>
      </c>
      <c r="N2875" t="s">
        <v>41</v>
      </c>
    </row>
    <row r="2876" spans="1:14" x14ac:dyDescent="0.25">
      <c r="A2876">
        <v>24743</v>
      </c>
      <c r="B2876">
        <v>10885</v>
      </c>
      <c r="C2876">
        <f>1/COUNTIF(B:B,pizza_sales[[#This Row],[order_id]])</f>
        <v>1</v>
      </c>
      <c r="D2876" t="s">
        <v>47</v>
      </c>
      <c r="E2876">
        <v>1</v>
      </c>
      <c r="F2876" s="1">
        <v>42042</v>
      </c>
      <c r="G2876" s="1" t="str">
        <f>TEXT(pizza_sales[[#This Row],[order_date]],"dddd")</f>
        <v>Saturday</v>
      </c>
      <c r="H2876" s="2">
        <v>0.54934027777777783</v>
      </c>
      <c r="I2876">
        <v>16.5</v>
      </c>
      <c r="J2876">
        <v>16.5</v>
      </c>
      <c r="K2876" t="s">
        <v>58</v>
      </c>
      <c r="L2876" t="s">
        <v>13</v>
      </c>
      <c r="M2876" t="s">
        <v>14</v>
      </c>
      <c r="N2876" t="s">
        <v>15</v>
      </c>
    </row>
    <row r="2877" spans="1:14" x14ac:dyDescent="0.25">
      <c r="A2877">
        <v>24746</v>
      </c>
      <c r="B2877">
        <v>10886</v>
      </c>
      <c r="C2877">
        <f>1/COUNTIF(B:B,pizza_sales[[#This Row],[order_id]])</f>
        <v>1</v>
      </c>
      <c r="D2877" t="s">
        <v>48</v>
      </c>
      <c r="E2877">
        <v>1</v>
      </c>
      <c r="F2877" s="1">
        <v>42042</v>
      </c>
      <c r="G2877" s="1" t="str">
        <f>TEXT(pizza_sales[[#This Row],[order_date]],"dddd")</f>
        <v>Saturday</v>
      </c>
      <c r="H2877" s="2">
        <v>0.56334490740740739</v>
      </c>
      <c r="I2877">
        <v>12.25</v>
      </c>
      <c r="J2877">
        <v>12.25</v>
      </c>
      <c r="K2877" t="s">
        <v>60</v>
      </c>
      <c r="L2877" t="s">
        <v>35</v>
      </c>
      <c r="M2877" t="s">
        <v>40</v>
      </c>
      <c r="N2877" t="s">
        <v>41</v>
      </c>
    </row>
    <row r="2878" spans="1:14" x14ac:dyDescent="0.25">
      <c r="A2878">
        <v>24749</v>
      </c>
      <c r="B2878">
        <v>10888</v>
      </c>
      <c r="C2878">
        <f>1/COUNTIF(B:B,pizza_sales[[#This Row],[order_id]])</f>
        <v>1</v>
      </c>
      <c r="D2878" t="s">
        <v>46</v>
      </c>
      <c r="E2878">
        <v>1</v>
      </c>
      <c r="F2878" s="1">
        <v>42042</v>
      </c>
      <c r="G2878" s="1" t="str">
        <f>TEXT(pizza_sales[[#This Row],[order_date]],"dddd")</f>
        <v>Saturday</v>
      </c>
      <c r="H2878" s="2">
        <v>0.57171296296296292</v>
      </c>
      <c r="I2878">
        <v>25.5</v>
      </c>
      <c r="J2878">
        <v>25.5</v>
      </c>
      <c r="K2878" t="s">
        <v>61</v>
      </c>
      <c r="L2878" t="s">
        <v>13</v>
      </c>
      <c r="M2878" t="s">
        <v>21</v>
      </c>
      <c r="N2878" t="s">
        <v>22</v>
      </c>
    </row>
    <row r="2879" spans="1:14" x14ac:dyDescent="0.25">
      <c r="A2879">
        <v>24751</v>
      </c>
      <c r="B2879">
        <v>10889</v>
      </c>
      <c r="C2879">
        <f>1/COUNTIF(B:B,pizza_sales[[#This Row],[order_id]])</f>
        <v>0.5</v>
      </c>
      <c r="D2879" t="s">
        <v>45</v>
      </c>
      <c r="E2879">
        <v>1</v>
      </c>
      <c r="F2879" s="1">
        <v>42042</v>
      </c>
      <c r="G2879" s="1" t="str">
        <f>TEXT(pizza_sales[[#This Row],[order_date]],"dddd")</f>
        <v>Saturday</v>
      </c>
      <c r="H2879" s="2">
        <v>0.5723611111111111</v>
      </c>
      <c r="I2879">
        <v>10.5</v>
      </c>
      <c r="J2879">
        <v>10.5</v>
      </c>
      <c r="K2879" t="s">
        <v>60</v>
      </c>
      <c r="L2879" t="s">
        <v>13</v>
      </c>
      <c r="M2879" t="s">
        <v>14</v>
      </c>
      <c r="N2879" t="s">
        <v>15</v>
      </c>
    </row>
    <row r="2880" spans="1:14" x14ac:dyDescent="0.25">
      <c r="A2880">
        <v>24753</v>
      </c>
      <c r="B2880">
        <v>10889</v>
      </c>
      <c r="C2880">
        <f>1/COUNTIF(B:B,pizza_sales[[#This Row],[order_id]])</f>
        <v>0.5</v>
      </c>
      <c r="D2880" t="s">
        <v>43</v>
      </c>
      <c r="E2880">
        <v>1</v>
      </c>
      <c r="F2880" s="1">
        <v>42042</v>
      </c>
      <c r="G2880" s="1" t="str">
        <f>TEXT(pizza_sales[[#This Row],[order_date]],"dddd")</f>
        <v>Saturday</v>
      </c>
      <c r="H2880" s="2">
        <v>0.5723611111111111</v>
      </c>
      <c r="I2880">
        <v>16.25</v>
      </c>
      <c r="J2880">
        <v>16.25</v>
      </c>
      <c r="K2880" t="s">
        <v>59</v>
      </c>
      <c r="L2880" t="s">
        <v>35</v>
      </c>
      <c r="M2880" t="s">
        <v>40</v>
      </c>
      <c r="N2880" t="s">
        <v>41</v>
      </c>
    </row>
    <row r="2881" spans="1:14" x14ac:dyDescent="0.25">
      <c r="A2881">
        <v>24774</v>
      </c>
      <c r="B2881">
        <v>10899</v>
      </c>
      <c r="C2881">
        <f>1/COUNTIF(B:B,pizza_sales[[#This Row],[order_id]])</f>
        <v>1</v>
      </c>
      <c r="D2881" t="s">
        <v>25</v>
      </c>
      <c r="E2881">
        <v>1</v>
      </c>
      <c r="F2881" s="1">
        <v>42042</v>
      </c>
      <c r="G2881" s="1" t="str">
        <f>TEXT(pizza_sales[[#This Row],[order_date]],"dddd")</f>
        <v>Saturday</v>
      </c>
      <c r="H2881" s="2">
        <v>0.68460648148148151</v>
      </c>
      <c r="I2881">
        <v>15.25</v>
      </c>
      <c r="J2881">
        <v>15.25</v>
      </c>
      <c r="K2881" t="s">
        <v>58</v>
      </c>
      <c r="L2881" t="s">
        <v>13</v>
      </c>
      <c r="M2881" t="s">
        <v>26</v>
      </c>
      <c r="N2881" t="s">
        <v>27</v>
      </c>
    </row>
    <row r="2882" spans="1:14" x14ac:dyDescent="0.25">
      <c r="A2882">
        <v>24777</v>
      </c>
      <c r="B2882">
        <v>10900</v>
      </c>
      <c r="C2882">
        <f>1/COUNTIF(B:B,pizza_sales[[#This Row],[order_id]])</f>
        <v>1</v>
      </c>
      <c r="D2882" t="s">
        <v>44</v>
      </c>
      <c r="E2882">
        <v>1</v>
      </c>
      <c r="F2882" s="1">
        <v>42042</v>
      </c>
      <c r="G2882" s="1" t="str">
        <f>TEXT(pizza_sales[[#This Row],[order_date]],"dddd")</f>
        <v>Saturday</v>
      </c>
      <c r="H2882" s="2">
        <v>0.68731481481481482</v>
      </c>
      <c r="I2882">
        <v>9.75</v>
      </c>
      <c r="J2882">
        <v>9.75</v>
      </c>
      <c r="K2882" t="s">
        <v>60</v>
      </c>
      <c r="L2882" t="s">
        <v>13</v>
      </c>
      <c r="M2882" t="s">
        <v>26</v>
      </c>
      <c r="N2882" t="s">
        <v>27</v>
      </c>
    </row>
    <row r="2883" spans="1:14" x14ac:dyDescent="0.25">
      <c r="A2883">
        <v>24779</v>
      </c>
      <c r="B2883">
        <v>10901</v>
      </c>
      <c r="C2883">
        <f>1/COUNTIF(B:B,pizza_sales[[#This Row],[order_id]])</f>
        <v>1</v>
      </c>
      <c r="D2883" t="s">
        <v>51</v>
      </c>
      <c r="E2883">
        <v>1</v>
      </c>
      <c r="F2883" s="1">
        <v>42042</v>
      </c>
      <c r="G2883" s="1" t="str">
        <f>TEXT(pizza_sales[[#This Row],[order_date]],"dddd")</f>
        <v>Saturday</v>
      </c>
      <c r="H2883" s="2">
        <v>0.69829861111111113</v>
      </c>
      <c r="I2883">
        <v>23.65</v>
      </c>
      <c r="J2883">
        <v>23.65</v>
      </c>
      <c r="K2883" t="s">
        <v>60</v>
      </c>
      <c r="L2883" t="s">
        <v>35</v>
      </c>
      <c r="M2883" t="s">
        <v>52</v>
      </c>
      <c r="N2883" t="s">
        <v>53</v>
      </c>
    </row>
    <row r="2884" spans="1:14" x14ac:dyDescent="0.25">
      <c r="A2884">
        <v>24782</v>
      </c>
      <c r="B2884">
        <v>10902</v>
      </c>
      <c r="C2884">
        <f>1/COUNTIF(B:B,pizza_sales[[#This Row],[order_id]])</f>
        <v>1</v>
      </c>
      <c r="D2884" t="s">
        <v>44</v>
      </c>
      <c r="E2884">
        <v>1</v>
      </c>
      <c r="F2884" s="1">
        <v>42042</v>
      </c>
      <c r="G2884" s="1" t="str">
        <f>TEXT(pizza_sales[[#This Row],[order_date]],"dddd")</f>
        <v>Saturday</v>
      </c>
      <c r="H2884" s="2">
        <v>0.70017361111111109</v>
      </c>
      <c r="I2884">
        <v>9.75</v>
      </c>
      <c r="J2884">
        <v>9.75</v>
      </c>
      <c r="K2884" t="s">
        <v>60</v>
      </c>
      <c r="L2884" t="s">
        <v>13</v>
      </c>
      <c r="M2884" t="s">
        <v>26</v>
      </c>
      <c r="N2884" t="s">
        <v>27</v>
      </c>
    </row>
    <row r="2885" spans="1:14" x14ac:dyDescent="0.25">
      <c r="A2885">
        <v>24784</v>
      </c>
      <c r="B2885">
        <v>10903</v>
      </c>
      <c r="C2885">
        <f>1/COUNTIF(B:B,pizza_sales[[#This Row],[order_id]])</f>
        <v>0.5</v>
      </c>
      <c r="D2885" t="s">
        <v>45</v>
      </c>
      <c r="E2885">
        <v>1</v>
      </c>
      <c r="F2885" s="1">
        <v>42042</v>
      </c>
      <c r="G2885" s="1" t="str">
        <f>TEXT(pizza_sales[[#This Row],[order_date]],"dddd")</f>
        <v>Saturday</v>
      </c>
      <c r="H2885" s="2">
        <v>0.70534722222222224</v>
      </c>
      <c r="I2885">
        <v>10.5</v>
      </c>
      <c r="J2885">
        <v>10.5</v>
      </c>
      <c r="K2885" t="s">
        <v>60</v>
      </c>
      <c r="L2885" t="s">
        <v>13</v>
      </c>
      <c r="M2885" t="s">
        <v>14</v>
      </c>
      <c r="N2885" t="s">
        <v>15</v>
      </c>
    </row>
    <row r="2886" spans="1:14" x14ac:dyDescent="0.25">
      <c r="A2886">
        <v>24786</v>
      </c>
      <c r="B2886">
        <v>10903</v>
      </c>
      <c r="C2886">
        <f>1/COUNTIF(B:B,pizza_sales[[#This Row],[order_id]])</f>
        <v>0.5</v>
      </c>
      <c r="D2886" t="s">
        <v>42</v>
      </c>
      <c r="E2886">
        <v>1</v>
      </c>
      <c r="F2886" s="1">
        <v>42042</v>
      </c>
      <c r="G2886" s="1" t="str">
        <f>TEXT(pizza_sales[[#This Row],[order_date]],"dddd")</f>
        <v>Saturday</v>
      </c>
      <c r="H2886" s="2">
        <v>0.70534722222222224</v>
      </c>
      <c r="I2886">
        <v>12.5</v>
      </c>
      <c r="J2886">
        <v>12.5</v>
      </c>
      <c r="K2886" t="s">
        <v>59</v>
      </c>
      <c r="L2886" t="s">
        <v>13</v>
      </c>
      <c r="M2886" t="s">
        <v>26</v>
      </c>
      <c r="N2886" t="s">
        <v>27</v>
      </c>
    </row>
    <row r="2887" spans="1:14" x14ac:dyDescent="0.25">
      <c r="A2887">
        <v>24787</v>
      </c>
      <c r="B2887">
        <v>10904</v>
      </c>
      <c r="C2887">
        <f>1/COUNTIF(B:B,pizza_sales[[#This Row],[order_id]])</f>
        <v>0.5</v>
      </c>
      <c r="D2887" t="s">
        <v>28</v>
      </c>
      <c r="E2887">
        <v>1</v>
      </c>
      <c r="F2887" s="1">
        <v>42042</v>
      </c>
      <c r="G2887" s="1" t="str">
        <f>TEXT(pizza_sales[[#This Row],[order_date]],"dddd")</f>
        <v>Saturday</v>
      </c>
      <c r="H2887" s="2">
        <v>0.71035879629629628</v>
      </c>
      <c r="I2887">
        <v>12</v>
      </c>
      <c r="J2887">
        <v>12</v>
      </c>
      <c r="K2887" t="s">
        <v>60</v>
      </c>
      <c r="L2887" t="s">
        <v>13</v>
      </c>
      <c r="M2887" t="s">
        <v>29</v>
      </c>
      <c r="N2887" t="s">
        <v>30</v>
      </c>
    </row>
    <row r="2888" spans="1:14" x14ac:dyDescent="0.25">
      <c r="A2888">
        <v>24788</v>
      </c>
      <c r="B2888">
        <v>10904</v>
      </c>
      <c r="C2888">
        <f>1/COUNTIF(B:B,pizza_sales[[#This Row],[order_id]])</f>
        <v>0.5</v>
      </c>
      <c r="D2888" t="s">
        <v>12</v>
      </c>
      <c r="E2888">
        <v>1</v>
      </c>
      <c r="F2888" s="1">
        <v>42042</v>
      </c>
      <c r="G2888" s="1" t="str">
        <f>TEXT(pizza_sales[[#This Row],[order_date]],"dddd")</f>
        <v>Saturday</v>
      </c>
      <c r="H2888" s="2">
        <v>0.71035879629629628</v>
      </c>
      <c r="I2888">
        <v>13.25</v>
      </c>
      <c r="J2888">
        <v>13.25</v>
      </c>
      <c r="K2888" t="s">
        <v>59</v>
      </c>
      <c r="L2888" t="s">
        <v>13</v>
      </c>
      <c r="M2888" t="s">
        <v>14</v>
      </c>
      <c r="N2888" t="s">
        <v>15</v>
      </c>
    </row>
    <row r="2889" spans="1:14" x14ac:dyDescent="0.25">
      <c r="A2889">
        <v>24789</v>
      </c>
      <c r="B2889">
        <v>10905</v>
      </c>
      <c r="C2889">
        <f>1/COUNTIF(B:B,pizza_sales[[#This Row],[order_id]])</f>
        <v>1</v>
      </c>
      <c r="D2889" t="s">
        <v>47</v>
      </c>
      <c r="E2889">
        <v>1</v>
      </c>
      <c r="F2889" s="1">
        <v>42042</v>
      </c>
      <c r="G2889" s="1" t="str">
        <f>TEXT(pizza_sales[[#This Row],[order_date]],"dddd")</f>
        <v>Saturday</v>
      </c>
      <c r="H2889" s="2">
        <v>0.71075231481481482</v>
      </c>
      <c r="I2889">
        <v>16.5</v>
      </c>
      <c r="J2889">
        <v>16.5</v>
      </c>
      <c r="K2889" t="s">
        <v>58</v>
      </c>
      <c r="L2889" t="s">
        <v>13</v>
      </c>
      <c r="M2889" t="s">
        <v>14</v>
      </c>
      <c r="N2889" t="s">
        <v>15</v>
      </c>
    </row>
    <row r="2890" spans="1:14" x14ac:dyDescent="0.25">
      <c r="A2890">
        <v>24794</v>
      </c>
      <c r="B2890">
        <v>10906</v>
      </c>
      <c r="C2890">
        <f>1/COUNTIF(B:B,pizza_sales[[#This Row],[order_id]])</f>
        <v>1</v>
      </c>
      <c r="D2890" t="s">
        <v>25</v>
      </c>
      <c r="E2890">
        <v>1</v>
      </c>
      <c r="F2890" s="1">
        <v>42042</v>
      </c>
      <c r="G2890" s="1" t="str">
        <f>TEXT(pizza_sales[[#This Row],[order_date]],"dddd")</f>
        <v>Saturday</v>
      </c>
      <c r="H2890" s="2">
        <v>0.7252777777777778</v>
      </c>
      <c r="I2890">
        <v>15.25</v>
      </c>
      <c r="J2890">
        <v>15.25</v>
      </c>
      <c r="K2890" t="s">
        <v>58</v>
      </c>
      <c r="L2890" t="s">
        <v>13</v>
      </c>
      <c r="M2890" t="s">
        <v>26</v>
      </c>
      <c r="N2890" t="s">
        <v>27</v>
      </c>
    </row>
    <row r="2891" spans="1:14" x14ac:dyDescent="0.25">
      <c r="A2891">
        <v>24796</v>
      </c>
      <c r="B2891">
        <v>10907</v>
      </c>
      <c r="C2891">
        <f>1/COUNTIF(B:B,pizza_sales[[#This Row],[order_id]])</f>
        <v>1</v>
      </c>
      <c r="D2891" t="s">
        <v>38</v>
      </c>
      <c r="E2891">
        <v>1</v>
      </c>
      <c r="F2891" s="1">
        <v>42042</v>
      </c>
      <c r="G2891" s="1" t="str">
        <f>TEXT(pizza_sales[[#This Row],[order_date]],"dddd")</f>
        <v>Saturday</v>
      </c>
      <c r="H2891" s="2">
        <v>0.72567129629629634</v>
      </c>
      <c r="I2891">
        <v>20.5</v>
      </c>
      <c r="J2891">
        <v>20.5</v>
      </c>
      <c r="K2891" t="s">
        <v>58</v>
      </c>
      <c r="L2891" t="s">
        <v>13</v>
      </c>
      <c r="M2891" t="s">
        <v>32</v>
      </c>
      <c r="N2891" t="s">
        <v>33</v>
      </c>
    </row>
    <row r="2892" spans="1:14" x14ac:dyDescent="0.25">
      <c r="A2892">
        <v>24798</v>
      </c>
      <c r="B2892">
        <v>10908</v>
      </c>
      <c r="C2892">
        <f>1/COUNTIF(B:B,pizza_sales[[#This Row],[order_id]])</f>
        <v>0.5</v>
      </c>
      <c r="D2892" t="s">
        <v>16</v>
      </c>
      <c r="E2892">
        <v>1</v>
      </c>
      <c r="F2892" s="1">
        <v>42042</v>
      </c>
      <c r="G2892" s="1" t="str">
        <f>TEXT(pizza_sales[[#This Row],[order_date]],"dddd")</f>
        <v>Saturday</v>
      </c>
      <c r="H2892" s="2">
        <v>0.72872685185185182</v>
      </c>
      <c r="I2892">
        <v>16</v>
      </c>
      <c r="J2892">
        <v>16</v>
      </c>
      <c r="K2892" t="s">
        <v>59</v>
      </c>
      <c r="L2892" t="s">
        <v>17</v>
      </c>
      <c r="M2892" t="s">
        <v>18</v>
      </c>
      <c r="N2892" t="s">
        <v>19</v>
      </c>
    </row>
    <row r="2893" spans="1:14" x14ac:dyDescent="0.25">
      <c r="A2893">
        <v>24799</v>
      </c>
      <c r="B2893">
        <v>10908</v>
      </c>
      <c r="C2893">
        <f>1/COUNTIF(B:B,pizza_sales[[#This Row],[order_id]])</f>
        <v>0.5</v>
      </c>
      <c r="D2893" t="s">
        <v>38</v>
      </c>
      <c r="E2893">
        <v>1</v>
      </c>
      <c r="F2893" s="1">
        <v>42042</v>
      </c>
      <c r="G2893" s="1" t="str">
        <f>TEXT(pizza_sales[[#This Row],[order_date]],"dddd")</f>
        <v>Saturday</v>
      </c>
      <c r="H2893" s="2">
        <v>0.72872685185185182</v>
      </c>
      <c r="I2893">
        <v>20.5</v>
      </c>
      <c r="J2893">
        <v>20.5</v>
      </c>
      <c r="K2893" t="s">
        <v>58</v>
      </c>
      <c r="L2893" t="s">
        <v>13</v>
      </c>
      <c r="M2893" t="s">
        <v>32</v>
      </c>
      <c r="N2893" t="s">
        <v>33</v>
      </c>
    </row>
    <row r="2894" spans="1:14" x14ac:dyDescent="0.25">
      <c r="A2894">
        <v>24803</v>
      </c>
      <c r="B2894">
        <v>10909</v>
      </c>
      <c r="C2894">
        <f>1/COUNTIF(B:B,pizza_sales[[#This Row],[order_id]])</f>
        <v>1</v>
      </c>
      <c r="D2894" t="s">
        <v>39</v>
      </c>
      <c r="E2894">
        <v>1</v>
      </c>
      <c r="F2894" s="1">
        <v>42042</v>
      </c>
      <c r="G2894" s="1" t="str">
        <f>TEXT(pizza_sales[[#This Row],[order_date]],"dddd")</f>
        <v>Saturday</v>
      </c>
      <c r="H2894" s="2">
        <v>0.73086805555555556</v>
      </c>
      <c r="I2894">
        <v>20.25</v>
      </c>
      <c r="J2894">
        <v>20.25</v>
      </c>
      <c r="K2894" t="s">
        <v>58</v>
      </c>
      <c r="L2894" t="s">
        <v>35</v>
      </c>
      <c r="M2894" t="s">
        <v>40</v>
      </c>
      <c r="N2894" t="s">
        <v>41</v>
      </c>
    </row>
    <row r="2895" spans="1:14" x14ac:dyDescent="0.25">
      <c r="A2895">
        <v>24805</v>
      </c>
      <c r="B2895">
        <v>10910</v>
      </c>
      <c r="C2895">
        <f>1/COUNTIF(B:B,pizza_sales[[#This Row],[order_id]])</f>
        <v>1</v>
      </c>
      <c r="D2895" t="s">
        <v>16</v>
      </c>
      <c r="E2895">
        <v>1</v>
      </c>
      <c r="F2895" s="1">
        <v>42042</v>
      </c>
      <c r="G2895" s="1" t="str">
        <f>TEXT(pizza_sales[[#This Row],[order_date]],"dddd")</f>
        <v>Saturday</v>
      </c>
      <c r="H2895" s="2">
        <v>0.7316435185185185</v>
      </c>
      <c r="I2895">
        <v>16</v>
      </c>
      <c r="J2895">
        <v>16</v>
      </c>
      <c r="K2895" t="s">
        <v>59</v>
      </c>
      <c r="L2895" t="s">
        <v>17</v>
      </c>
      <c r="M2895" t="s">
        <v>18</v>
      </c>
      <c r="N2895" t="s">
        <v>19</v>
      </c>
    </row>
    <row r="2896" spans="1:14" x14ac:dyDescent="0.25">
      <c r="A2896">
        <v>24806</v>
      </c>
      <c r="B2896">
        <v>10911</v>
      </c>
      <c r="C2896">
        <f>1/COUNTIF(B:B,pizza_sales[[#This Row],[order_id]])</f>
        <v>0.5</v>
      </c>
      <c r="D2896" t="s">
        <v>34</v>
      </c>
      <c r="E2896">
        <v>1</v>
      </c>
      <c r="F2896" s="1">
        <v>42042</v>
      </c>
      <c r="G2896" s="1" t="str">
        <f>TEXT(pizza_sales[[#This Row],[order_date]],"dddd")</f>
        <v>Saturday</v>
      </c>
      <c r="H2896" s="2">
        <v>0.73457175925925922</v>
      </c>
      <c r="I2896">
        <v>16.25</v>
      </c>
      <c r="J2896">
        <v>16.25</v>
      </c>
      <c r="K2896" t="s">
        <v>59</v>
      </c>
      <c r="L2896" t="s">
        <v>35</v>
      </c>
      <c r="M2896" t="s">
        <v>36</v>
      </c>
      <c r="N2896" t="s">
        <v>37</v>
      </c>
    </row>
    <row r="2897" spans="1:14" x14ac:dyDescent="0.25">
      <c r="A2897">
        <v>24807</v>
      </c>
      <c r="B2897">
        <v>10911</v>
      </c>
      <c r="C2897">
        <f>1/COUNTIF(B:B,pizza_sales[[#This Row],[order_id]])</f>
        <v>0.5</v>
      </c>
      <c r="D2897" t="s">
        <v>45</v>
      </c>
      <c r="E2897">
        <v>1</v>
      </c>
      <c r="F2897" s="1">
        <v>42042</v>
      </c>
      <c r="G2897" s="1" t="str">
        <f>TEXT(pizza_sales[[#This Row],[order_date]],"dddd")</f>
        <v>Saturday</v>
      </c>
      <c r="H2897" s="2">
        <v>0.73457175925925922</v>
      </c>
      <c r="I2897">
        <v>10.5</v>
      </c>
      <c r="J2897">
        <v>10.5</v>
      </c>
      <c r="K2897" t="s">
        <v>60</v>
      </c>
      <c r="L2897" t="s">
        <v>13</v>
      </c>
      <c r="M2897" t="s">
        <v>14</v>
      </c>
      <c r="N2897" t="s">
        <v>15</v>
      </c>
    </row>
    <row r="2898" spans="1:14" x14ac:dyDescent="0.25">
      <c r="A2898">
        <v>24809</v>
      </c>
      <c r="B2898">
        <v>10912</v>
      </c>
      <c r="C2898">
        <f>1/COUNTIF(B:B,pizza_sales[[#This Row],[order_id]])</f>
        <v>1</v>
      </c>
      <c r="D2898" t="s">
        <v>28</v>
      </c>
      <c r="E2898">
        <v>1</v>
      </c>
      <c r="F2898" s="1">
        <v>42042</v>
      </c>
      <c r="G2898" s="1" t="str">
        <f>TEXT(pizza_sales[[#This Row],[order_date]],"dddd")</f>
        <v>Saturday</v>
      </c>
      <c r="H2898" s="2">
        <v>0.74653935185185183</v>
      </c>
      <c r="I2898">
        <v>12</v>
      </c>
      <c r="J2898">
        <v>12</v>
      </c>
      <c r="K2898" t="s">
        <v>60</v>
      </c>
      <c r="L2898" t="s">
        <v>13</v>
      </c>
      <c r="M2898" t="s">
        <v>29</v>
      </c>
      <c r="N2898" t="s">
        <v>30</v>
      </c>
    </row>
    <row r="2899" spans="1:14" x14ac:dyDescent="0.25">
      <c r="A2899">
        <v>24810</v>
      </c>
      <c r="B2899">
        <v>10913</v>
      </c>
      <c r="C2899">
        <f>1/COUNTIF(B:B,pizza_sales[[#This Row],[order_id]])</f>
        <v>1</v>
      </c>
      <c r="D2899" t="s">
        <v>28</v>
      </c>
      <c r="E2899">
        <v>1</v>
      </c>
      <c r="F2899" s="1">
        <v>42042</v>
      </c>
      <c r="G2899" s="1" t="str">
        <f>TEXT(pizza_sales[[#This Row],[order_date]],"dddd")</f>
        <v>Saturday</v>
      </c>
      <c r="H2899" s="2">
        <v>0.76489583333333333</v>
      </c>
      <c r="I2899">
        <v>12</v>
      </c>
      <c r="J2899">
        <v>12</v>
      </c>
      <c r="K2899" t="s">
        <v>60</v>
      </c>
      <c r="L2899" t="s">
        <v>13</v>
      </c>
      <c r="M2899" t="s">
        <v>29</v>
      </c>
      <c r="N2899" t="s">
        <v>30</v>
      </c>
    </row>
    <row r="2900" spans="1:14" x14ac:dyDescent="0.25">
      <c r="A2900">
        <v>24811</v>
      </c>
      <c r="B2900">
        <v>10914</v>
      </c>
      <c r="C2900">
        <f>1/COUNTIF(B:B,pizza_sales[[#This Row],[order_id]])</f>
        <v>0.33333333333333331</v>
      </c>
      <c r="D2900" t="s">
        <v>28</v>
      </c>
      <c r="E2900">
        <v>1</v>
      </c>
      <c r="F2900" s="1">
        <v>42042</v>
      </c>
      <c r="G2900" s="1" t="str">
        <f>TEXT(pizza_sales[[#This Row],[order_date]],"dddd")</f>
        <v>Saturday</v>
      </c>
      <c r="H2900" s="2">
        <v>0.77486111111111111</v>
      </c>
      <c r="I2900">
        <v>12</v>
      </c>
      <c r="J2900">
        <v>12</v>
      </c>
      <c r="K2900" t="s">
        <v>60</v>
      </c>
      <c r="L2900" t="s">
        <v>13</v>
      </c>
      <c r="M2900" t="s">
        <v>29</v>
      </c>
      <c r="N2900" t="s">
        <v>30</v>
      </c>
    </row>
    <row r="2901" spans="1:14" x14ac:dyDescent="0.25">
      <c r="A2901">
        <v>24812</v>
      </c>
      <c r="B2901">
        <v>10914</v>
      </c>
      <c r="C2901">
        <f>1/COUNTIF(B:B,pizza_sales[[#This Row],[order_id]])</f>
        <v>0.33333333333333331</v>
      </c>
      <c r="D2901" t="s">
        <v>49</v>
      </c>
      <c r="E2901">
        <v>1</v>
      </c>
      <c r="F2901" s="1">
        <v>42042</v>
      </c>
      <c r="G2901" s="1" t="str">
        <f>TEXT(pizza_sales[[#This Row],[order_date]],"dddd")</f>
        <v>Saturday</v>
      </c>
      <c r="H2901" s="2">
        <v>0.77486111111111111</v>
      </c>
      <c r="I2901">
        <v>16</v>
      </c>
      <c r="J2901">
        <v>16</v>
      </c>
      <c r="K2901" t="s">
        <v>59</v>
      </c>
      <c r="L2901" t="s">
        <v>13</v>
      </c>
      <c r="M2901" t="s">
        <v>21</v>
      </c>
      <c r="N2901" t="s">
        <v>22</v>
      </c>
    </row>
    <row r="2902" spans="1:14" x14ac:dyDescent="0.25">
      <c r="A2902">
        <v>24813</v>
      </c>
      <c r="B2902">
        <v>10914</v>
      </c>
      <c r="C2902">
        <f>1/COUNTIF(B:B,pizza_sales[[#This Row],[order_id]])</f>
        <v>0.33333333333333331</v>
      </c>
      <c r="D2902" t="s">
        <v>20</v>
      </c>
      <c r="E2902">
        <v>1</v>
      </c>
      <c r="F2902" s="1">
        <v>42042</v>
      </c>
      <c r="G2902" s="1" t="str">
        <f>TEXT(pizza_sales[[#This Row],[order_date]],"dddd")</f>
        <v>Saturday</v>
      </c>
      <c r="H2902" s="2">
        <v>0.77486111111111111</v>
      </c>
      <c r="I2902">
        <v>12</v>
      </c>
      <c r="J2902">
        <v>12</v>
      </c>
      <c r="K2902" t="s">
        <v>60</v>
      </c>
      <c r="L2902" t="s">
        <v>13</v>
      </c>
      <c r="M2902" t="s">
        <v>21</v>
      </c>
      <c r="N2902" t="s">
        <v>22</v>
      </c>
    </row>
    <row r="2903" spans="1:14" x14ac:dyDescent="0.25">
      <c r="A2903">
        <v>24819</v>
      </c>
      <c r="B2903">
        <v>10917</v>
      </c>
      <c r="C2903">
        <f>1/COUNTIF(B:B,pizza_sales[[#This Row],[order_id]])</f>
        <v>1</v>
      </c>
      <c r="D2903" t="s">
        <v>48</v>
      </c>
      <c r="E2903">
        <v>1</v>
      </c>
      <c r="F2903" s="1">
        <v>42042</v>
      </c>
      <c r="G2903" s="1" t="str">
        <f>TEXT(pizza_sales[[#This Row],[order_date]],"dddd")</f>
        <v>Saturday</v>
      </c>
      <c r="H2903" s="2">
        <v>0.79642361111111115</v>
      </c>
      <c r="I2903">
        <v>12.25</v>
      </c>
      <c r="J2903">
        <v>12.25</v>
      </c>
      <c r="K2903" t="s">
        <v>60</v>
      </c>
      <c r="L2903" t="s">
        <v>35</v>
      </c>
      <c r="M2903" t="s">
        <v>40</v>
      </c>
      <c r="N2903" t="s">
        <v>41</v>
      </c>
    </row>
    <row r="2904" spans="1:14" x14ac:dyDescent="0.25">
      <c r="A2904">
        <v>24821</v>
      </c>
      <c r="B2904">
        <v>10918</v>
      </c>
      <c r="C2904">
        <f>1/COUNTIF(B:B,pizza_sales[[#This Row],[order_id]])</f>
        <v>0.5</v>
      </c>
      <c r="D2904" t="s">
        <v>47</v>
      </c>
      <c r="E2904">
        <v>1</v>
      </c>
      <c r="F2904" s="1">
        <v>42042</v>
      </c>
      <c r="G2904" s="1" t="str">
        <f>TEXT(pizza_sales[[#This Row],[order_date]],"dddd")</f>
        <v>Saturday</v>
      </c>
      <c r="H2904" s="2">
        <v>0.80275462962962962</v>
      </c>
      <c r="I2904">
        <v>16.5</v>
      </c>
      <c r="J2904">
        <v>16.5</v>
      </c>
      <c r="K2904" t="s">
        <v>58</v>
      </c>
      <c r="L2904" t="s">
        <v>13</v>
      </c>
      <c r="M2904" t="s">
        <v>14</v>
      </c>
      <c r="N2904" t="s">
        <v>15</v>
      </c>
    </row>
    <row r="2905" spans="1:14" x14ac:dyDescent="0.25">
      <c r="A2905">
        <v>24822</v>
      </c>
      <c r="B2905">
        <v>10918</v>
      </c>
      <c r="C2905">
        <f>1/COUNTIF(B:B,pizza_sales[[#This Row],[order_id]])</f>
        <v>0.5</v>
      </c>
      <c r="D2905" t="s">
        <v>25</v>
      </c>
      <c r="E2905">
        <v>1</v>
      </c>
      <c r="F2905" s="1">
        <v>42042</v>
      </c>
      <c r="G2905" s="1" t="str">
        <f>TEXT(pizza_sales[[#This Row],[order_date]],"dddd")</f>
        <v>Saturday</v>
      </c>
      <c r="H2905" s="2">
        <v>0.80275462962962962</v>
      </c>
      <c r="I2905">
        <v>15.25</v>
      </c>
      <c r="J2905">
        <v>15.25</v>
      </c>
      <c r="K2905" t="s">
        <v>58</v>
      </c>
      <c r="L2905" t="s">
        <v>13</v>
      </c>
      <c r="M2905" t="s">
        <v>26</v>
      </c>
      <c r="N2905" t="s">
        <v>27</v>
      </c>
    </row>
    <row r="2906" spans="1:14" x14ac:dyDescent="0.25">
      <c r="A2906">
        <v>24832</v>
      </c>
      <c r="B2906">
        <v>10922</v>
      </c>
      <c r="C2906">
        <f>1/COUNTIF(B:B,pizza_sales[[#This Row],[order_id]])</f>
        <v>1</v>
      </c>
      <c r="D2906" t="s">
        <v>46</v>
      </c>
      <c r="E2906">
        <v>1</v>
      </c>
      <c r="F2906" s="1">
        <v>42042</v>
      </c>
      <c r="G2906" s="1" t="str">
        <f>TEXT(pizza_sales[[#This Row],[order_date]],"dddd")</f>
        <v>Saturday</v>
      </c>
      <c r="H2906" s="2">
        <v>0.89170138888888884</v>
      </c>
      <c r="I2906">
        <v>25.5</v>
      </c>
      <c r="J2906">
        <v>25.5</v>
      </c>
      <c r="K2906" t="s">
        <v>61</v>
      </c>
      <c r="L2906" t="s">
        <v>13</v>
      </c>
      <c r="M2906" t="s">
        <v>21</v>
      </c>
      <c r="N2906" t="s">
        <v>22</v>
      </c>
    </row>
    <row r="2907" spans="1:14" x14ac:dyDescent="0.25">
      <c r="A2907">
        <v>24835</v>
      </c>
      <c r="B2907">
        <v>10925</v>
      </c>
      <c r="C2907">
        <f>1/COUNTIF(B:B,pizza_sales[[#This Row],[order_id]])</f>
        <v>1</v>
      </c>
      <c r="D2907" t="s">
        <v>48</v>
      </c>
      <c r="E2907">
        <v>1</v>
      </c>
      <c r="F2907" s="1">
        <v>42070</v>
      </c>
      <c r="G2907" s="1" t="str">
        <f>TEXT(pizza_sales[[#This Row],[order_date]],"dddd")</f>
        <v>Saturday</v>
      </c>
      <c r="H2907" s="2">
        <v>0.47158564814814813</v>
      </c>
      <c r="I2907">
        <v>12.25</v>
      </c>
      <c r="J2907">
        <v>12.25</v>
      </c>
      <c r="K2907" t="s">
        <v>60</v>
      </c>
      <c r="L2907" t="s">
        <v>35</v>
      </c>
      <c r="M2907" t="s">
        <v>40</v>
      </c>
      <c r="N2907" t="s">
        <v>41</v>
      </c>
    </row>
    <row r="2908" spans="1:14" x14ac:dyDescent="0.25">
      <c r="A2908">
        <v>24838</v>
      </c>
      <c r="B2908">
        <v>10926</v>
      </c>
      <c r="C2908">
        <f>1/COUNTIF(B:B,pizza_sales[[#This Row],[order_id]])</f>
        <v>1</v>
      </c>
      <c r="D2908" t="s">
        <v>42</v>
      </c>
      <c r="E2908">
        <v>1</v>
      </c>
      <c r="F2908" s="1">
        <v>42070</v>
      </c>
      <c r="G2908" s="1" t="str">
        <f>TEXT(pizza_sales[[#This Row],[order_date]],"dddd")</f>
        <v>Saturday</v>
      </c>
      <c r="H2908" s="2">
        <v>0.48353009259259261</v>
      </c>
      <c r="I2908">
        <v>12.5</v>
      </c>
      <c r="J2908">
        <v>12.5</v>
      </c>
      <c r="K2908" t="s">
        <v>59</v>
      </c>
      <c r="L2908" t="s">
        <v>13</v>
      </c>
      <c r="M2908" t="s">
        <v>26</v>
      </c>
      <c r="N2908" t="s">
        <v>27</v>
      </c>
    </row>
    <row r="2909" spans="1:14" x14ac:dyDescent="0.25">
      <c r="A2909">
        <v>24839</v>
      </c>
      <c r="B2909">
        <v>10927</v>
      </c>
      <c r="C2909">
        <f>1/COUNTIF(B:B,pizza_sales[[#This Row],[order_id]])</f>
        <v>1</v>
      </c>
      <c r="D2909" t="s">
        <v>42</v>
      </c>
      <c r="E2909">
        <v>1</v>
      </c>
      <c r="F2909" s="1">
        <v>42070</v>
      </c>
      <c r="G2909" s="1" t="str">
        <f>TEXT(pizza_sales[[#This Row],[order_date]],"dddd")</f>
        <v>Saturday</v>
      </c>
      <c r="H2909" s="2">
        <v>0.49053240740740739</v>
      </c>
      <c r="I2909">
        <v>12.5</v>
      </c>
      <c r="J2909">
        <v>12.5</v>
      </c>
      <c r="K2909" t="s">
        <v>59</v>
      </c>
      <c r="L2909" t="s">
        <v>13</v>
      </c>
      <c r="M2909" t="s">
        <v>26</v>
      </c>
      <c r="N2909" t="s">
        <v>27</v>
      </c>
    </row>
    <row r="2910" spans="1:14" x14ac:dyDescent="0.25">
      <c r="A2910">
        <v>24840</v>
      </c>
      <c r="B2910">
        <v>10928</v>
      </c>
      <c r="C2910">
        <f>1/COUNTIF(B:B,pizza_sales[[#This Row],[order_id]])</f>
        <v>1</v>
      </c>
      <c r="D2910" t="s">
        <v>51</v>
      </c>
      <c r="E2910">
        <v>1</v>
      </c>
      <c r="F2910" s="1">
        <v>42070</v>
      </c>
      <c r="G2910" s="1" t="str">
        <f>TEXT(pizza_sales[[#This Row],[order_date]],"dddd")</f>
        <v>Saturday</v>
      </c>
      <c r="H2910" s="2">
        <v>0.49336805555555557</v>
      </c>
      <c r="I2910">
        <v>23.65</v>
      </c>
      <c r="J2910">
        <v>23.65</v>
      </c>
      <c r="K2910" t="s">
        <v>60</v>
      </c>
      <c r="L2910" t="s">
        <v>35</v>
      </c>
      <c r="M2910" t="s">
        <v>52</v>
      </c>
      <c r="N2910" t="s">
        <v>53</v>
      </c>
    </row>
    <row r="2911" spans="1:14" x14ac:dyDescent="0.25">
      <c r="A2911">
        <v>24847</v>
      </c>
      <c r="B2911">
        <v>10931</v>
      </c>
      <c r="C2911">
        <f>1/COUNTIF(B:B,pizza_sales[[#This Row],[order_id]])</f>
        <v>0.5</v>
      </c>
      <c r="D2911" t="s">
        <v>28</v>
      </c>
      <c r="E2911">
        <v>1</v>
      </c>
      <c r="F2911" s="1">
        <v>42070</v>
      </c>
      <c r="G2911" s="1" t="str">
        <f>TEXT(pizza_sales[[#This Row],[order_date]],"dddd")</f>
        <v>Saturday</v>
      </c>
      <c r="H2911" s="2">
        <v>0.50023148148148144</v>
      </c>
      <c r="I2911">
        <v>12</v>
      </c>
      <c r="J2911">
        <v>12</v>
      </c>
      <c r="K2911" t="s">
        <v>60</v>
      </c>
      <c r="L2911" t="s">
        <v>13</v>
      </c>
      <c r="M2911" t="s">
        <v>29</v>
      </c>
      <c r="N2911" t="s">
        <v>30</v>
      </c>
    </row>
    <row r="2912" spans="1:14" x14ac:dyDescent="0.25">
      <c r="A2912">
        <v>24853</v>
      </c>
      <c r="B2912">
        <v>10931</v>
      </c>
      <c r="C2912">
        <f>1/COUNTIF(B:B,pizza_sales[[#This Row],[order_id]])</f>
        <v>0.5</v>
      </c>
      <c r="D2912" t="s">
        <v>25</v>
      </c>
      <c r="E2912">
        <v>1</v>
      </c>
      <c r="F2912" s="1">
        <v>42070</v>
      </c>
      <c r="G2912" s="1" t="str">
        <f>TEXT(pizza_sales[[#This Row],[order_date]],"dddd")</f>
        <v>Saturday</v>
      </c>
      <c r="H2912" s="2">
        <v>0.50023148148148144</v>
      </c>
      <c r="I2912">
        <v>15.25</v>
      </c>
      <c r="J2912">
        <v>15.25</v>
      </c>
      <c r="K2912" t="s">
        <v>58</v>
      </c>
      <c r="L2912" t="s">
        <v>13</v>
      </c>
      <c r="M2912" t="s">
        <v>26</v>
      </c>
      <c r="N2912" t="s">
        <v>27</v>
      </c>
    </row>
    <row r="2913" spans="1:14" x14ac:dyDescent="0.25">
      <c r="A2913">
        <v>24859</v>
      </c>
      <c r="B2913">
        <v>10932</v>
      </c>
      <c r="C2913">
        <f>1/COUNTIF(B:B,pizza_sales[[#This Row],[order_id]])</f>
        <v>1</v>
      </c>
      <c r="D2913" t="s">
        <v>28</v>
      </c>
      <c r="E2913">
        <v>1</v>
      </c>
      <c r="F2913" s="1">
        <v>42070</v>
      </c>
      <c r="G2913" s="1" t="str">
        <f>TEXT(pizza_sales[[#This Row],[order_date]],"dddd")</f>
        <v>Saturday</v>
      </c>
      <c r="H2913" s="2">
        <v>0.50188657407407411</v>
      </c>
      <c r="I2913">
        <v>12</v>
      </c>
      <c r="J2913">
        <v>12</v>
      </c>
      <c r="K2913" t="s">
        <v>60</v>
      </c>
      <c r="L2913" t="s">
        <v>13</v>
      </c>
      <c r="M2913" t="s">
        <v>29</v>
      </c>
      <c r="N2913" t="s">
        <v>30</v>
      </c>
    </row>
    <row r="2914" spans="1:14" x14ac:dyDescent="0.25">
      <c r="A2914">
        <v>24861</v>
      </c>
      <c r="B2914">
        <v>10933</v>
      </c>
      <c r="C2914">
        <f>1/COUNTIF(B:B,pizza_sales[[#This Row],[order_id]])</f>
        <v>1</v>
      </c>
      <c r="D2914" t="s">
        <v>28</v>
      </c>
      <c r="E2914">
        <v>1</v>
      </c>
      <c r="F2914" s="1">
        <v>42070</v>
      </c>
      <c r="G2914" s="1" t="str">
        <f>TEXT(pizza_sales[[#This Row],[order_date]],"dddd")</f>
        <v>Saturday</v>
      </c>
      <c r="H2914" s="2">
        <v>0.50267361111111108</v>
      </c>
      <c r="I2914">
        <v>12</v>
      </c>
      <c r="J2914">
        <v>12</v>
      </c>
      <c r="K2914" t="s">
        <v>60</v>
      </c>
      <c r="L2914" t="s">
        <v>13</v>
      </c>
      <c r="M2914" t="s">
        <v>29</v>
      </c>
      <c r="N2914" t="s">
        <v>30</v>
      </c>
    </row>
    <row r="2915" spans="1:14" x14ac:dyDescent="0.25">
      <c r="A2915">
        <v>24865</v>
      </c>
      <c r="B2915">
        <v>10934</v>
      </c>
      <c r="C2915">
        <f>1/COUNTIF(B:B,pizza_sales[[#This Row],[order_id]])</f>
        <v>1</v>
      </c>
      <c r="D2915" t="s">
        <v>24</v>
      </c>
      <c r="E2915">
        <v>1</v>
      </c>
      <c r="F2915" s="1">
        <v>42070</v>
      </c>
      <c r="G2915" s="1" t="str">
        <f>TEXT(pizza_sales[[#This Row],[order_date]],"dddd")</f>
        <v>Saturday</v>
      </c>
      <c r="H2915" s="2">
        <v>0.50407407407407412</v>
      </c>
      <c r="I2915">
        <v>20.25</v>
      </c>
      <c r="J2915">
        <v>20.25</v>
      </c>
      <c r="K2915" t="s">
        <v>58</v>
      </c>
      <c r="L2915" t="s">
        <v>17</v>
      </c>
      <c r="M2915" t="s">
        <v>18</v>
      </c>
      <c r="N2915" t="s">
        <v>19</v>
      </c>
    </row>
    <row r="2916" spans="1:14" x14ac:dyDescent="0.25">
      <c r="A2916">
        <v>24867</v>
      </c>
      <c r="B2916">
        <v>10935</v>
      </c>
      <c r="C2916">
        <f>1/COUNTIF(B:B,pizza_sales[[#This Row],[order_id]])</f>
        <v>1</v>
      </c>
      <c r="D2916" t="s">
        <v>28</v>
      </c>
      <c r="E2916">
        <v>1</v>
      </c>
      <c r="F2916" s="1">
        <v>42070</v>
      </c>
      <c r="G2916" s="1" t="str">
        <f>TEXT(pizza_sales[[#This Row],[order_date]],"dddd")</f>
        <v>Saturday</v>
      </c>
      <c r="H2916" s="2">
        <v>0.50763888888888886</v>
      </c>
      <c r="I2916">
        <v>12</v>
      </c>
      <c r="J2916">
        <v>12</v>
      </c>
      <c r="K2916" t="s">
        <v>60</v>
      </c>
      <c r="L2916" t="s">
        <v>13</v>
      </c>
      <c r="M2916" t="s">
        <v>29</v>
      </c>
      <c r="N2916" t="s">
        <v>30</v>
      </c>
    </row>
    <row r="2917" spans="1:14" x14ac:dyDescent="0.25">
      <c r="A2917">
        <v>24871</v>
      </c>
      <c r="B2917">
        <v>10936</v>
      </c>
      <c r="C2917">
        <f>1/COUNTIF(B:B,pizza_sales[[#This Row],[order_id]])</f>
        <v>1</v>
      </c>
      <c r="D2917" t="s">
        <v>48</v>
      </c>
      <c r="E2917">
        <v>1</v>
      </c>
      <c r="F2917" s="1">
        <v>42070</v>
      </c>
      <c r="G2917" s="1" t="str">
        <f>TEXT(pizza_sales[[#This Row],[order_date]],"dddd")</f>
        <v>Saturday</v>
      </c>
      <c r="H2917" s="2">
        <v>0.52876157407407409</v>
      </c>
      <c r="I2917">
        <v>12.25</v>
      </c>
      <c r="J2917">
        <v>12.25</v>
      </c>
      <c r="K2917" t="s">
        <v>60</v>
      </c>
      <c r="L2917" t="s">
        <v>35</v>
      </c>
      <c r="M2917" t="s">
        <v>40</v>
      </c>
      <c r="N2917" t="s">
        <v>41</v>
      </c>
    </row>
    <row r="2918" spans="1:14" x14ac:dyDescent="0.25">
      <c r="A2918">
        <v>24878</v>
      </c>
      <c r="B2918">
        <v>10941</v>
      </c>
      <c r="C2918">
        <f>1/COUNTIF(B:B,pizza_sales[[#This Row],[order_id]])</f>
        <v>1</v>
      </c>
      <c r="D2918" t="s">
        <v>47</v>
      </c>
      <c r="E2918">
        <v>1</v>
      </c>
      <c r="F2918" s="1">
        <v>42070</v>
      </c>
      <c r="G2918" s="1" t="str">
        <f>TEXT(pizza_sales[[#This Row],[order_date]],"dddd")</f>
        <v>Saturday</v>
      </c>
      <c r="H2918" s="2">
        <v>0.54749999999999999</v>
      </c>
      <c r="I2918">
        <v>16.5</v>
      </c>
      <c r="J2918">
        <v>16.5</v>
      </c>
      <c r="K2918" t="s">
        <v>58</v>
      </c>
      <c r="L2918" t="s">
        <v>13</v>
      </c>
      <c r="M2918" t="s">
        <v>14</v>
      </c>
      <c r="N2918" t="s">
        <v>15</v>
      </c>
    </row>
    <row r="2919" spans="1:14" x14ac:dyDescent="0.25">
      <c r="A2919">
        <v>24882</v>
      </c>
      <c r="B2919">
        <v>10942</v>
      </c>
      <c r="C2919">
        <f>1/COUNTIF(B:B,pizza_sales[[#This Row],[order_id]])</f>
        <v>1</v>
      </c>
      <c r="D2919" t="s">
        <v>45</v>
      </c>
      <c r="E2919">
        <v>1</v>
      </c>
      <c r="F2919" s="1">
        <v>42070</v>
      </c>
      <c r="G2919" s="1" t="str">
        <f>TEXT(pizza_sales[[#This Row],[order_date]],"dddd")</f>
        <v>Saturday</v>
      </c>
      <c r="H2919" s="2">
        <v>0.54849537037037033</v>
      </c>
      <c r="I2919">
        <v>10.5</v>
      </c>
      <c r="J2919">
        <v>10.5</v>
      </c>
      <c r="K2919" t="s">
        <v>60</v>
      </c>
      <c r="L2919" t="s">
        <v>13</v>
      </c>
      <c r="M2919" t="s">
        <v>14</v>
      </c>
      <c r="N2919" t="s">
        <v>15</v>
      </c>
    </row>
    <row r="2920" spans="1:14" x14ac:dyDescent="0.25">
      <c r="A2920">
        <v>24885</v>
      </c>
      <c r="B2920">
        <v>10943</v>
      </c>
      <c r="C2920">
        <f>1/COUNTIF(B:B,pizza_sales[[#This Row],[order_id]])</f>
        <v>1</v>
      </c>
      <c r="D2920" t="s">
        <v>24</v>
      </c>
      <c r="E2920">
        <v>1</v>
      </c>
      <c r="F2920" s="1">
        <v>42070</v>
      </c>
      <c r="G2920" s="1" t="str">
        <f>TEXT(pizza_sales[[#This Row],[order_date]],"dddd")</f>
        <v>Saturday</v>
      </c>
      <c r="H2920" s="2">
        <v>0.56094907407407413</v>
      </c>
      <c r="I2920">
        <v>20.25</v>
      </c>
      <c r="J2920">
        <v>20.25</v>
      </c>
      <c r="K2920" t="s">
        <v>58</v>
      </c>
      <c r="L2920" t="s">
        <v>17</v>
      </c>
      <c r="M2920" t="s">
        <v>18</v>
      </c>
      <c r="N2920" t="s">
        <v>19</v>
      </c>
    </row>
    <row r="2921" spans="1:14" x14ac:dyDescent="0.25">
      <c r="A2921">
        <v>24890</v>
      </c>
      <c r="B2921">
        <v>10945</v>
      </c>
      <c r="C2921">
        <f>1/COUNTIF(B:B,pizza_sales[[#This Row],[order_id]])</f>
        <v>0.5</v>
      </c>
      <c r="D2921" t="s">
        <v>47</v>
      </c>
      <c r="E2921">
        <v>1</v>
      </c>
      <c r="F2921" s="1">
        <v>42070</v>
      </c>
      <c r="G2921" s="1" t="str">
        <f>TEXT(pizza_sales[[#This Row],[order_date]],"dddd")</f>
        <v>Saturday</v>
      </c>
      <c r="H2921" s="2">
        <v>0.5668981481481481</v>
      </c>
      <c r="I2921">
        <v>16.5</v>
      </c>
      <c r="J2921">
        <v>16.5</v>
      </c>
      <c r="K2921" t="s">
        <v>58</v>
      </c>
      <c r="L2921" t="s">
        <v>13</v>
      </c>
      <c r="M2921" t="s">
        <v>14</v>
      </c>
      <c r="N2921" t="s">
        <v>15</v>
      </c>
    </row>
    <row r="2922" spans="1:14" x14ac:dyDescent="0.25">
      <c r="A2922">
        <v>24891</v>
      </c>
      <c r="B2922">
        <v>10945</v>
      </c>
      <c r="C2922">
        <f>1/COUNTIF(B:B,pizza_sales[[#This Row],[order_id]])</f>
        <v>0.5</v>
      </c>
      <c r="D2922" t="s">
        <v>45</v>
      </c>
      <c r="E2922">
        <v>1</v>
      </c>
      <c r="F2922" s="1">
        <v>42070</v>
      </c>
      <c r="G2922" s="1" t="str">
        <f>TEXT(pizza_sales[[#This Row],[order_date]],"dddd")</f>
        <v>Saturday</v>
      </c>
      <c r="H2922" s="2">
        <v>0.5668981481481481</v>
      </c>
      <c r="I2922">
        <v>10.5</v>
      </c>
      <c r="J2922">
        <v>10.5</v>
      </c>
      <c r="K2922" t="s">
        <v>60</v>
      </c>
      <c r="L2922" t="s">
        <v>13</v>
      </c>
      <c r="M2922" t="s">
        <v>14</v>
      </c>
      <c r="N2922" t="s">
        <v>15</v>
      </c>
    </row>
    <row r="2923" spans="1:14" x14ac:dyDescent="0.25">
      <c r="A2923">
        <v>24901</v>
      </c>
      <c r="B2923">
        <v>10950</v>
      </c>
      <c r="C2923">
        <f>1/COUNTIF(B:B,pizza_sales[[#This Row],[order_id]])</f>
        <v>1</v>
      </c>
      <c r="D2923" t="s">
        <v>44</v>
      </c>
      <c r="E2923">
        <v>1</v>
      </c>
      <c r="F2923" s="1">
        <v>42070</v>
      </c>
      <c r="G2923" s="1" t="str">
        <f>TEXT(pizza_sales[[#This Row],[order_date]],"dddd")</f>
        <v>Saturday</v>
      </c>
      <c r="H2923" s="2">
        <v>0.59563657407407411</v>
      </c>
      <c r="I2923">
        <v>9.75</v>
      </c>
      <c r="J2923">
        <v>9.75</v>
      </c>
      <c r="K2923" t="s">
        <v>60</v>
      </c>
      <c r="L2923" t="s">
        <v>13</v>
      </c>
      <c r="M2923" t="s">
        <v>26</v>
      </c>
      <c r="N2923" t="s">
        <v>27</v>
      </c>
    </row>
    <row r="2924" spans="1:14" x14ac:dyDescent="0.25">
      <c r="A2924">
        <v>24902</v>
      </c>
      <c r="B2924">
        <v>10951</v>
      </c>
      <c r="C2924">
        <f>1/COUNTIF(B:B,pizza_sales[[#This Row],[order_id]])</f>
        <v>1</v>
      </c>
      <c r="D2924" t="s">
        <v>12</v>
      </c>
      <c r="E2924">
        <v>1</v>
      </c>
      <c r="F2924" s="1">
        <v>42070</v>
      </c>
      <c r="G2924" s="1" t="str">
        <f>TEXT(pizza_sales[[#This Row],[order_date]],"dddd")</f>
        <v>Saturday</v>
      </c>
      <c r="H2924" s="2">
        <v>0.60111111111111115</v>
      </c>
      <c r="I2924">
        <v>13.25</v>
      </c>
      <c r="J2924">
        <v>13.25</v>
      </c>
      <c r="K2924" t="s">
        <v>59</v>
      </c>
      <c r="L2924" t="s">
        <v>13</v>
      </c>
      <c r="M2924" t="s">
        <v>14</v>
      </c>
      <c r="N2924" t="s">
        <v>15</v>
      </c>
    </row>
    <row r="2925" spans="1:14" x14ac:dyDescent="0.25">
      <c r="A2925">
        <v>24908</v>
      </c>
      <c r="B2925">
        <v>10954</v>
      </c>
      <c r="C2925">
        <f>1/COUNTIF(B:B,pizza_sales[[#This Row],[order_id]])</f>
        <v>0.5</v>
      </c>
      <c r="D2925" t="s">
        <v>25</v>
      </c>
      <c r="E2925">
        <v>1</v>
      </c>
      <c r="F2925" s="1">
        <v>42070</v>
      </c>
      <c r="G2925" s="1" t="str">
        <f>TEXT(pizza_sales[[#This Row],[order_date]],"dddd")</f>
        <v>Saturday</v>
      </c>
      <c r="H2925" s="2">
        <v>0.62621527777777775</v>
      </c>
      <c r="I2925">
        <v>15.25</v>
      </c>
      <c r="J2925">
        <v>15.25</v>
      </c>
      <c r="K2925" t="s">
        <v>58</v>
      </c>
      <c r="L2925" t="s">
        <v>13</v>
      </c>
      <c r="M2925" t="s">
        <v>26</v>
      </c>
      <c r="N2925" t="s">
        <v>27</v>
      </c>
    </row>
    <row r="2926" spans="1:14" x14ac:dyDescent="0.25">
      <c r="A2926">
        <v>24909</v>
      </c>
      <c r="B2926">
        <v>10954</v>
      </c>
      <c r="C2926">
        <f>1/COUNTIF(B:B,pizza_sales[[#This Row],[order_id]])</f>
        <v>0.5</v>
      </c>
      <c r="D2926" t="s">
        <v>49</v>
      </c>
      <c r="E2926">
        <v>1</v>
      </c>
      <c r="F2926" s="1">
        <v>42070</v>
      </c>
      <c r="G2926" s="1" t="str">
        <f>TEXT(pizza_sales[[#This Row],[order_date]],"dddd")</f>
        <v>Saturday</v>
      </c>
      <c r="H2926" s="2">
        <v>0.62621527777777775</v>
      </c>
      <c r="I2926">
        <v>16</v>
      </c>
      <c r="J2926">
        <v>16</v>
      </c>
      <c r="K2926" t="s">
        <v>59</v>
      </c>
      <c r="L2926" t="s">
        <v>13</v>
      </c>
      <c r="M2926" t="s">
        <v>21</v>
      </c>
      <c r="N2926" t="s">
        <v>22</v>
      </c>
    </row>
    <row r="2927" spans="1:14" x14ac:dyDescent="0.25">
      <c r="A2927">
        <v>24910</v>
      </c>
      <c r="B2927">
        <v>10955</v>
      </c>
      <c r="C2927">
        <f>1/COUNTIF(B:B,pizza_sales[[#This Row],[order_id]])</f>
        <v>1</v>
      </c>
      <c r="D2927" t="s">
        <v>38</v>
      </c>
      <c r="E2927">
        <v>1</v>
      </c>
      <c r="F2927" s="1">
        <v>42070</v>
      </c>
      <c r="G2927" s="1" t="str">
        <f>TEXT(pizza_sales[[#This Row],[order_date]],"dddd")</f>
        <v>Saturday</v>
      </c>
      <c r="H2927" s="2">
        <v>0.62825231481481481</v>
      </c>
      <c r="I2927">
        <v>20.5</v>
      </c>
      <c r="J2927">
        <v>20.5</v>
      </c>
      <c r="K2927" t="s">
        <v>58</v>
      </c>
      <c r="L2927" t="s">
        <v>13</v>
      </c>
      <c r="M2927" t="s">
        <v>32</v>
      </c>
      <c r="N2927" t="s">
        <v>33</v>
      </c>
    </row>
    <row r="2928" spans="1:14" x14ac:dyDescent="0.25">
      <c r="A2928">
        <v>24925</v>
      </c>
      <c r="B2928">
        <v>10964</v>
      </c>
      <c r="C2928">
        <f>1/COUNTIF(B:B,pizza_sales[[#This Row],[order_id]])</f>
        <v>1</v>
      </c>
      <c r="D2928" t="s">
        <v>25</v>
      </c>
      <c r="E2928">
        <v>1</v>
      </c>
      <c r="F2928" s="1">
        <v>42070</v>
      </c>
      <c r="G2928" s="1" t="str">
        <f>TEXT(pizza_sales[[#This Row],[order_date]],"dddd")</f>
        <v>Saturday</v>
      </c>
      <c r="H2928" s="2">
        <v>0.70725694444444442</v>
      </c>
      <c r="I2928">
        <v>15.25</v>
      </c>
      <c r="J2928">
        <v>15.25</v>
      </c>
      <c r="K2928" t="s">
        <v>58</v>
      </c>
      <c r="L2928" t="s">
        <v>13</v>
      </c>
      <c r="M2928" t="s">
        <v>26</v>
      </c>
      <c r="N2928" t="s">
        <v>27</v>
      </c>
    </row>
    <row r="2929" spans="1:14" x14ac:dyDescent="0.25">
      <c r="A2929">
        <v>24928</v>
      </c>
      <c r="B2929">
        <v>10966</v>
      </c>
      <c r="C2929">
        <f>1/COUNTIF(B:B,pizza_sales[[#This Row],[order_id]])</f>
        <v>1</v>
      </c>
      <c r="D2929" t="s">
        <v>44</v>
      </c>
      <c r="E2929">
        <v>1</v>
      </c>
      <c r="F2929" s="1">
        <v>42070</v>
      </c>
      <c r="G2929" s="1" t="str">
        <f>TEXT(pizza_sales[[#This Row],[order_date]],"dddd")</f>
        <v>Saturday</v>
      </c>
      <c r="H2929" s="2">
        <v>0.71737268518518515</v>
      </c>
      <c r="I2929">
        <v>9.75</v>
      </c>
      <c r="J2929">
        <v>9.75</v>
      </c>
      <c r="K2929" t="s">
        <v>60</v>
      </c>
      <c r="L2929" t="s">
        <v>13</v>
      </c>
      <c r="M2929" t="s">
        <v>26</v>
      </c>
      <c r="N2929" t="s">
        <v>27</v>
      </c>
    </row>
    <row r="2930" spans="1:14" x14ac:dyDescent="0.25">
      <c r="A2930">
        <v>24935</v>
      </c>
      <c r="B2930">
        <v>10970</v>
      </c>
      <c r="C2930">
        <f>1/COUNTIF(B:B,pizza_sales[[#This Row],[order_id]])</f>
        <v>1</v>
      </c>
      <c r="D2930" t="s">
        <v>20</v>
      </c>
      <c r="E2930">
        <v>1</v>
      </c>
      <c r="F2930" s="1">
        <v>42070</v>
      </c>
      <c r="G2930" s="1" t="str">
        <f>TEXT(pizza_sales[[#This Row],[order_date]],"dddd")</f>
        <v>Saturday</v>
      </c>
      <c r="H2930" s="2">
        <v>0.73929398148148151</v>
      </c>
      <c r="I2930">
        <v>12</v>
      </c>
      <c r="J2930">
        <v>12</v>
      </c>
      <c r="K2930" t="s">
        <v>60</v>
      </c>
      <c r="L2930" t="s">
        <v>13</v>
      </c>
      <c r="M2930" t="s">
        <v>21</v>
      </c>
      <c r="N2930" t="s">
        <v>22</v>
      </c>
    </row>
    <row r="2931" spans="1:14" x14ac:dyDescent="0.25">
      <c r="A2931">
        <v>24938</v>
      </c>
      <c r="B2931">
        <v>10972</v>
      </c>
      <c r="C2931">
        <f>1/COUNTIF(B:B,pizza_sales[[#This Row],[order_id]])</f>
        <v>1</v>
      </c>
      <c r="D2931" t="s">
        <v>28</v>
      </c>
      <c r="E2931">
        <v>1</v>
      </c>
      <c r="F2931" s="1">
        <v>42070</v>
      </c>
      <c r="G2931" s="1" t="str">
        <f>TEXT(pizza_sales[[#This Row],[order_date]],"dddd")</f>
        <v>Saturday</v>
      </c>
      <c r="H2931" s="2">
        <v>0.74721064814814819</v>
      </c>
      <c r="I2931">
        <v>12</v>
      </c>
      <c r="J2931">
        <v>12</v>
      </c>
      <c r="K2931" t="s">
        <v>60</v>
      </c>
      <c r="L2931" t="s">
        <v>13</v>
      </c>
      <c r="M2931" t="s">
        <v>29</v>
      </c>
      <c r="N2931" t="s">
        <v>30</v>
      </c>
    </row>
    <row r="2932" spans="1:14" x14ac:dyDescent="0.25">
      <c r="A2932">
        <v>24940</v>
      </c>
      <c r="B2932">
        <v>10973</v>
      </c>
      <c r="C2932">
        <f>1/COUNTIF(B:B,pizza_sales[[#This Row],[order_id]])</f>
        <v>1</v>
      </c>
      <c r="D2932" t="s">
        <v>24</v>
      </c>
      <c r="E2932">
        <v>1</v>
      </c>
      <c r="F2932" s="1">
        <v>42070</v>
      </c>
      <c r="G2932" s="1" t="str">
        <f>TEXT(pizza_sales[[#This Row],[order_date]],"dddd")</f>
        <v>Saturday</v>
      </c>
      <c r="H2932" s="2">
        <v>0.75261574074074078</v>
      </c>
      <c r="I2932">
        <v>20.25</v>
      </c>
      <c r="J2932">
        <v>20.25</v>
      </c>
      <c r="K2932" t="s">
        <v>58</v>
      </c>
      <c r="L2932" t="s">
        <v>17</v>
      </c>
      <c r="M2932" t="s">
        <v>18</v>
      </c>
      <c r="N2932" t="s">
        <v>19</v>
      </c>
    </row>
    <row r="2933" spans="1:14" x14ac:dyDescent="0.25">
      <c r="A2933">
        <v>24942</v>
      </c>
      <c r="B2933">
        <v>10974</v>
      </c>
      <c r="C2933">
        <f>1/COUNTIF(B:B,pizza_sales[[#This Row],[order_id]])</f>
        <v>1</v>
      </c>
      <c r="D2933" t="s">
        <v>16</v>
      </c>
      <c r="E2933">
        <v>1</v>
      </c>
      <c r="F2933" s="1">
        <v>42070</v>
      </c>
      <c r="G2933" s="1" t="str">
        <f>TEXT(pizza_sales[[#This Row],[order_date]],"dddd")</f>
        <v>Saturday</v>
      </c>
      <c r="H2933" s="2">
        <v>0.75398148148148147</v>
      </c>
      <c r="I2933">
        <v>16</v>
      </c>
      <c r="J2933">
        <v>16</v>
      </c>
      <c r="K2933" t="s">
        <v>59</v>
      </c>
      <c r="L2933" t="s">
        <v>17</v>
      </c>
      <c r="M2933" t="s">
        <v>18</v>
      </c>
      <c r="N2933" t="s">
        <v>19</v>
      </c>
    </row>
    <row r="2934" spans="1:14" x14ac:dyDescent="0.25">
      <c r="A2934">
        <v>24944</v>
      </c>
      <c r="B2934">
        <v>10975</v>
      </c>
      <c r="C2934">
        <f>1/COUNTIF(B:B,pizza_sales[[#This Row],[order_id]])</f>
        <v>1</v>
      </c>
      <c r="D2934" t="s">
        <v>24</v>
      </c>
      <c r="E2934">
        <v>1</v>
      </c>
      <c r="F2934" s="1">
        <v>42070</v>
      </c>
      <c r="G2934" s="1" t="str">
        <f>TEXT(pizza_sales[[#This Row],[order_date]],"dddd")</f>
        <v>Saturday</v>
      </c>
      <c r="H2934" s="2">
        <v>0.75489583333333332</v>
      </c>
      <c r="I2934">
        <v>20.25</v>
      </c>
      <c r="J2934">
        <v>20.25</v>
      </c>
      <c r="K2934" t="s">
        <v>58</v>
      </c>
      <c r="L2934" t="s">
        <v>17</v>
      </c>
      <c r="M2934" t="s">
        <v>18</v>
      </c>
      <c r="N2934" t="s">
        <v>19</v>
      </c>
    </row>
    <row r="2935" spans="1:14" x14ac:dyDescent="0.25">
      <c r="A2935">
        <v>24946</v>
      </c>
      <c r="B2935">
        <v>10977</v>
      </c>
      <c r="C2935">
        <f>1/COUNTIF(B:B,pizza_sales[[#This Row],[order_id]])</f>
        <v>0.5</v>
      </c>
      <c r="D2935" t="s">
        <v>28</v>
      </c>
      <c r="E2935">
        <v>2</v>
      </c>
      <c r="F2935" s="1">
        <v>42070</v>
      </c>
      <c r="G2935" s="1" t="str">
        <f>TEXT(pizza_sales[[#This Row],[order_date]],"dddd")</f>
        <v>Saturday</v>
      </c>
      <c r="H2935" s="2">
        <v>0.77278935185185182</v>
      </c>
      <c r="I2935">
        <v>12</v>
      </c>
      <c r="J2935">
        <v>24</v>
      </c>
      <c r="K2935" t="s">
        <v>60</v>
      </c>
      <c r="L2935" t="s">
        <v>13</v>
      </c>
      <c r="M2935" t="s">
        <v>29</v>
      </c>
      <c r="N2935" t="s">
        <v>30</v>
      </c>
    </row>
    <row r="2936" spans="1:14" x14ac:dyDescent="0.25">
      <c r="A2936">
        <v>24948</v>
      </c>
      <c r="B2936">
        <v>10977</v>
      </c>
      <c r="C2936">
        <f>1/COUNTIF(B:B,pizza_sales[[#This Row],[order_id]])</f>
        <v>0.5</v>
      </c>
      <c r="D2936" t="s">
        <v>44</v>
      </c>
      <c r="E2936">
        <v>1</v>
      </c>
      <c r="F2936" s="1">
        <v>42070</v>
      </c>
      <c r="G2936" s="1" t="str">
        <f>TEXT(pizza_sales[[#This Row],[order_date]],"dddd")</f>
        <v>Saturday</v>
      </c>
      <c r="H2936" s="2">
        <v>0.77278935185185182</v>
      </c>
      <c r="I2936">
        <v>9.75</v>
      </c>
      <c r="J2936">
        <v>9.75</v>
      </c>
      <c r="K2936" t="s">
        <v>60</v>
      </c>
      <c r="L2936" t="s">
        <v>13</v>
      </c>
      <c r="M2936" t="s">
        <v>26</v>
      </c>
      <c r="N2936" t="s">
        <v>27</v>
      </c>
    </row>
    <row r="2937" spans="1:14" x14ac:dyDescent="0.25">
      <c r="A2937">
        <v>24950</v>
      </c>
      <c r="B2937">
        <v>10978</v>
      </c>
      <c r="C2937">
        <f>1/COUNTIF(B:B,pizza_sales[[#This Row],[order_id]])</f>
        <v>1</v>
      </c>
      <c r="D2937" t="s">
        <v>39</v>
      </c>
      <c r="E2937">
        <v>1</v>
      </c>
      <c r="F2937" s="1">
        <v>42070</v>
      </c>
      <c r="G2937" s="1" t="str">
        <f>TEXT(pizza_sales[[#This Row],[order_date]],"dddd")</f>
        <v>Saturday</v>
      </c>
      <c r="H2937" s="2">
        <v>0.77592592592592591</v>
      </c>
      <c r="I2937">
        <v>20.25</v>
      </c>
      <c r="J2937">
        <v>20.25</v>
      </c>
      <c r="K2937" t="s">
        <v>58</v>
      </c>
      <c r="L2937" t="s">
        <v>35</v>
      </c>
      <c r="M2937" t="s">
        <v>40</v>
      </c>
      <c r="N2937" t="s">
        <v>41</v>
      </c>
    </row>
    <row r="2938" spans="1:14" x14ac:dyDescent="0.25">
      <c r="A2938">
        <v>24954</v>
      </c>
      <c r="B2938">
        <v>10979</v>
      </c>
      <c r="C2938">
        <f>1/COUNTIF(B:B,pizza_sales[[#This Row],[order_id]])</f>
        <v>1</v>
      </c>
      <c r="D2938" t="s">
        <v>44</v>
      </c>
      <c r="E2938">
        <v>1</v>
      </c>
      <c r="F2938" s="1">
        <v>42070</v>
      </c>
      <c r="G2938" s="1" t="str">
        <f>TEXT(pizza_sales[[#This Row],[order_date]],"dddd")</f>
        <v>Saturday</v>
      </c>
      <c r="H2938" s="2">
        <v>0.77938657407407408</v>
      </c>
      <c r="I2938">
        <v>9.75</v>
      </c>
      <c r="J2938">
        <v>9.75</v>
      </c>
      <c r="K2938" t="s">
        <v>60</v>
      </c>
      <c r="L2938" t="s">
        <v>13</v>
      </c>
      <c r="M2938" t="s">
        <v>26</v>
      </c>
      <c r="N2938" t="s">
        <v>27</v>
      </c>
    </row>
    <row r="2939" spans="1:14" x14ac:dyDescent="0.25">
      <c r="A2939">
        <v>24961</v>
      </c>
      <c r="B2939">
        <v>10981</v>
      </c>
      <c r="C2939">
        <f>1/COUNTIF(B:B,pizza_sales[[#This Row],[order_id]])</f>
        <v>1</v>
      </c>
      <c r="D2939" t="s">
        <v>34</v>
      </c>
      <c r="E2939">
        <v>1</v>
      </c>
      <c r="F2939" s="1">
        <v>42070</v>
      </c>
      <c r="G2939" s="1" t="str">
        <f>TEXT(pizza_sales[[#This Row],[order_date]],"dddd")</f>
        <v>Saturday</v>
      </c>
      <c r="H2939" s="2">
        <v>0.79921296296296296</v>
      </c>
      <c r="I2939">
        <v>16.25</v>
      </c>
      <c r="J2939">
        <v>16.25</v>
      </c>
      <c r="K2939" t="s">
        <v>59</v>
      </c>
      <c r="L2939" t="s">
        <v>35</v>
      </c>
      <c r="M2939" t="s">
        <v>36</v>
      </c>
      <c r="N2939" t="s">
        <v>37</v>
      </c>
    </row>
    <row r="2940" spans="1:14" x14ac:dyDescent="0.25">
      <c r="A2940">
        <v>24963</v>
      </c>
      <c r="B2940">
        <v>10982</v>
      </c>
      <c r="C2940">
        <f>1/COUNTIF(B:B,pizza_sales[[#This Row],[order_id]])</f>
        <v>1</v>
      </c>
      <c r="D2940" t="s">
        <v>42</v>
      </c>
      <c r="E2940">
        <v>1</v>
      </c>
      <c r="F2940" s="1">
        <v>42070</v>
      </c>
      <c r="G2940" s="1" t="str">
        <f>TEXT(pizza_sales[[#This Row],[order_date]],"dddd")</f>
        <v>Saturday</v>
      </c>
      <c r="H2940" s="2">
        <v>0.80484953703703699</v>
      </c>
      <c r="I2940">
        <v>12.5</v>
      </c>
      <c r="J2940">
        <v>12.5</v>
      </c>
      <c r="K2940" t="s">
        <v>59</v>
      </c>
      <c r="L2940" t="s">
        <v>13</v>
      </c>
      <c r="M2940" t="s">
        <v>26</v>
      </c>
      <c r="N2940" t="s">
        <v>27</v>
      </c>
    </row>
    <row r="2941" spans="1:14" x14ac:dyDescent="0.25">
      <c r="A2941">
        <v>24967</v>
      </c>
      <c r="B2941">
        <v>10984</v>
      </c>
      <c r="C2941">
        <f>1/COUNTIF(B:B,pizza_sales[[#This Row],[order_id]])</f>
        <v>1</v>
      </c>
      <c r="D2941" t="s">
        <v>43</v>
      </c>
      <c r="E2941">
        <v>1</v>
      </c>
      <c r="F2941" s="1">
        <v>42070</v>
      </c>
      <c r="G2941" s="1" t="str">
        <f>TEXT(pizza_sales[[#This Row],[order_date]],"dddd")</f>
        <v>Saturday</v>
      </c>
      <c r="H2941" s="2">
        <v>0.81049768518518517</v>
      </c>
      <c r="I2941">
        <v>16.25</v>
      </c>
      <c r="J2941">
        <v>16.25</v>
      </c>
      <c r="K2941" t="s">
        <v>59</v>
      </c>
      <c r="L2941" t="s">
        <v>35</v>
      </c>
      <c r="M2941" t="s">
        <v>40</v>
      </c>
      <c r="N2941" t="s">
        <v>41</v>
      </c>
    </row>
    <row r="2942" spans="1:14" x14ac:dyDescent="0.25">
      <c r="A2942">
        <v>24970</v>
      </c>
      <c r="B2942">
        <v>10985</v>
      </c>
      <c r="C2942">
        <f>1/COUNTIF(B:B,pizza_sales[[#This Row],[order_id]])</f>
        <v>0.5</v>
      </c>
      <c r="D2942" t="s">
        <v>16</v>
      </c>
      <c r="E2942">
        <v>1</v>
      </c>
      <c r="F2942" s="1">
        <v>42070</v>
      </c>
      <c r="G2942" s="1" t="str">
        <f>TEXT(pizza_sales[[#This Row],[order_date]],"dddd")</f>
        <v>Saturday</v>
      </c>
      <c r="H2942" s="2">
        <v>0.81074074074074076</v>
      </c>
      <c r="I2942">
        <v>16</v>
      </c>
      <c r="J2942">
        <v>16</v>
      </c>
      <c r="K2942" t="s">
        <v>59</v>
      </c>
      <c r="L2942" t="s">
        <v>17</v>
      </c>
      <c r="M2942" t="s">
        <v>18</v>
      </c>
      <c r="N2942" t="s">
        <v>19</v>
      </c>
    </row>
    <row r="2943" spans="1:14" x14ac:dyDescent="0.25">
      <c r="A2943">
        <v>24971</v>
      </c>
      <c r="B2943">
        <v>10985</v>
      </c>
      <c r="C2943">
        <f>1/COUNTIF(B:B,pizza_sales[[#This Row],[order_id]])</f>
        <v>0.5</v>
      </c>
      <c r="D2943" t="s">
        <v>38</v>
      </c>
      <c r="E2943">
        <v>1</v>
      </c>
      <c r="F2943" s="1">
        <v>42070</v>
      </c>
      <c r="G2943" s="1" t="str">
        <f>TEXT(pizza_sales[[#This Row],[order_date]],"dddd")</f>
        <v>Saturday</v>
      </c>
      <c r="H2943" s="2">
        <v>0.81074074074074076</v>
      </c>
      <c r="I2943">
        <v>20.5</v>
      </c>
      <c r="J2943">
        <v>20.5</v>
      </c>
      <c r="K2943" t="s">
        <v>58</v>
      </c>
      <c r="L2943" t="s">
        <v>13</v>
      </c>
      <c r="M2943" t="s">
        <v>32</v>
      </c>
      <c r="N2943" t="s">
        <v>33</v>
      </c>
    </row>
    <row r="2944" spans="1:14" x14ac:dyDescent="0.25">
      <c r="A2944">
        <v>24978</v>
      </c>
      <c r="B2944">
        <v>10989</v>
      </c>
      <c r="C2944">
        <f>1/COUNTIF(B:B,pizza_sales[[#This Row],[order_id]])</f>
        <v>1</v>
      </c>
      <c r="D2944" t="s">
        <v>28</v>
      </c>
      <c r="E2944">
        <v>1</v>
      </c>
      <c r="F2944" s="1">
        <v>42070</v>
      </c>
      <c r="G2944" s="1" t="str">
        <f>TEXT(pizza_sales[[#This Row],[order_date]],"dddd")</f>
        <v>Saturday</v>
      </c>
      <c r="H2944" s="2">
        <v>0.83555555555555561</v>
      </c>
      <c r="I2944">
        <v>12</v>
      </c>
      <c r="J2944">
        <v>12</v>
      </c>
      <c r="K2944" t="s">
        <v>60</v>
      </c>
      <c r="L2944" t="s">
        <v>13</v>
      </c>
      <c r="M2944" t="s">
        <v>29</v>
      </c>
      <c r="N2944" t="s">
        <v>30</v>
      </c>
    </row>
    <row r="2945" spans="1:14" x14ac:dyDescent="0.25">
      <c r="A2945">
        <v>24980</v>
      </c>
      <c r="B2945">
        <v>10990</v>
      </c>
      <c r="C2945">
        <f>1/COUNTIF(B:B,pizza_sales[[#This Row],[order_id]])</f>
        <v>1</v>
      </c>
      <c r="D2945" t="s">
        <v>42</v>
      </c>
      <c r="E2945">
        <v>1</v>
      </c>
      <c r="F2945" s="1">
        <v>42070</v>
      </c>
      <c r="G2945" s="1" t="str">
        <f>TEXT(pizza_sales[[#This Row],[order_date]],"dddd")</f>
        <v>Saturday</v>
      </c>
      <c r="H2945" s="2">
        <v>0.84016203703703707</v>
      </c>
      <c r="I2945">
        <v>12.5</v>
      </c>
      <c r="J2945">
        <v>12.5</v>
      </c>
      <c r="K2945" t="s">
        <v>59</v>
      </c>
      <c r="L2945" t="s">
        <v>13</v>
      </c>
      <c r="M2945" t="s">
        <v>26</v>
      </c>
      <c r="N2945" t="s">
        <v>27</v>
      </c>
    </row>
    <row r="2946" spans="1:14" x14ac:dyDescent="0.25">
      <c r="A2946">
        <v>24983</v>
      </c>
      <c r="B2946">
        <v>10992</v>
      </c>
      <c r="C2946">
        <f>1/COUNTIF(B:B,pizza_sales[[#This Row],[order_id]])</f>
        <v>0.5</v>
      </c>
      <c r="D2946" t="s">
        <v>50</v>
      </c>
      <c r="E2946">
        <v>1</v>
      </c>
      <c r="F2946" s="1">
        <v>42070</v>
      </c>
      <c r="G2946" s="1" t="str">
        <f>TEXT(pizza_sales[[#This Row],[order_date]],"dddd")</f>
        <v>Saturday</v>
      </c>
      <c r="H2946" s="2">
        <v>0.84490740740740744</v>
      </c>
      <c r="I2946">
        <v>16</v>
      </c>
      <c r="J2946">
        <v>16</v>
      </c>
      <c r="K2946" t="s">
        <v>59</v>
      </c>
      <c r="L2946" t="s">
        <v>13</v>
      </c>
      <c r="M2946" t="s">
        <v>32</v>
      </c>
      <c r="N2946" t="s">
        <v>33</v>
      </c>
    </row>
    <row r="2947" spans="1:14" x14ac:dyDescent="0.25">
      <c r="A2947">
        <v>24984</v>
      </c>
      <c r="B2947">
        <v>10992</v>
      </c>
      <c r="C2947">
        <f>1/COUNTIF(B:B,pizza_sales[[#This Row],[order_id]])</f>
        <v>0.5</v>
      </c>
      <c r="D2947" t="s">
        <v>44</v>
      </c>
      <c r="E2947">
        <v>1</v>
      </c>
      <c r="F2947" s="1">
        <v>42070</v>
      </c>
      <c r="G2947" s="1" t="str">
        <f>TEXT(pizza_sales[[#This Row],[order_date]],"dddd")</f>
        <v>Saturday</v>
      </c>
      <c r="H2947" s="2">
        <v>0.84490740740740744</v>
      </c>
      <c r="I2947">
        <v>9.75</v>
      </c>
      <c r="J2947">
        <v>9.75</v>
      </c>
      <c r="K2947" t="s">
        <v>60</v>
      </c>
      <c r="L2947" t="s">
        <v>13</v>
      </c>
      <c r="M2947" t="s">
        <v>26</v>
      </c>
      <c r="N2947" t="s">
        <v>27</v>
      </c>
    </row>
    <row r="2948" spans="1:14" x14ac:dyDescent="0.25">
      <c r="A2948">
        <v>24989</v>
      </c>
      <c r="B2948">
        <v>10994</v>
      </c>
      <c r="C2948">
        <f>1/COUNTIF(B:B,pizza_sales[[#This Row],[order_id]])</f>
        <v>0.5</v>
      </c>
      <c r="D2948" t="s">
        <v>28</v>
      </c>
      <c r="E2948">
        <v>2</v>
      </c>
      <c r="F2948" s="1">
        <v>42070</v>
      </c>
      <c r="G2948" s="1" t="str">
        <f>TEXT(pizza_sales[[#This Row],[order_date]],"dddd")</f>
        <v>Saturday</v>
      </c>
      <c r="H2948" s="2">
        <v>0.84980324074074076</v>
      </c>
      <c r="I2948">
        <v>12</v>
      </c>
      <c r="J2948">
        <v>24</v>
      </c>
      <c r="K2948" t="s">
        <v>60</v>
      </c>
      <c r="L2948" t="s">
        <v>13</v>
      </c>
      <c r="M2948" t="s">
        <v>29</v>
      </c>
      <c r="N2948" t="s">
        <v>30</v>
      </c>
    </row>
    <row r="2949" spans="1:14" x14ac:dyDescent="0.25">
      <c r="A2949">
        <v>24991</v>
      </c>
      <c r="B2949">
        <v>10994</v>
      </c>
      <c r="C2949">
        <f>1/COUNTIF(B:B,pizza_sales[[#This Row],[order_id]])</f>
        <v>0.5</v>
      </c>
      <c r="D2949" t="s">
        <v>20</v>
      </c>
      <c r="E2949">
        <v>1</v>
      </c>
      <c r="F2949" s="1">
        <v>42070</v>
      </c>
      <c r="G2949" s="1" t="str">
        <f>TEXT(pizza_sales[[#This Row],[order_date]],"dddd")</f>
        <v>Saturday</v>
      </c>
      <c r="H2949" s="2">
        <v>0.84980324074074076</v>
      </c>
      <c r="I2949">
        <v>12</v>
      </c>
      <c r="J2949">
        <v>12</v>
      </c>
      <c r="K2949" t="s">
        <v>60</v>
      </c>
      <c r="L2949" t="s">
        <v>13</v>
      </c>
      <c r="M2949" t="s">
        <v>21</v>
      </c>
      <c r="N2949" t="s">
        <v>22</v>
      </c>
    </row>
    <row r="2950" spans="1:14" x14ac:dyDescent="0.25">
      <c r="A2950">
        <v>24998</v>
      </c>
      <c r="B2950">
        <v>10997</v>
      </c>
      <c r="C2950">
        <f>1/COUNTIF(B:B,pizza_sales[[#This Row],[order_id]])</f>
        <v>1</v>
      </c>
      <c r="D2950" t="s">
        <v>24</v>
      </c>
      <c r="E2950">
        <v>1</v>
      </c>
      <c r="F2950" s="1">
        <v>42070</v>
      </c>
      <c r="G2950" s="1" t="str">
        <f>TEXT(pizza_sales[[#This Row],[order_date]],"dddd")</f>
        <v>Saturday</v>
      </c>
      <c r="H2950" s="2">
        <v>0.86008101851851848</v>
      </c>
      <c r="I2950">
        <v>20.25</v>
      </c>
      <c r="J2950">
        <v>20.25</v>
      </c>
      <c r="K2950" t="s">
        <v>58</v>
      </c>
      <c r="L2950" t="s">
        <v>17</v>
      </c>
      <c r="M2950" t="s">
        <v>18</v>
      </c>
      <c r="N2950" t="s">
        <v>19</v>
      </c>
    </row>
    <row r="2951" spans="1:14" x14ac:dyDescent="0.25">
      <c r="A2951">
        <v>25000</v>
      </c>
      <c r="B2951">
        <v>10998</v>
      </c>
      <c r="C2951">
        <f>1/COUNTIF(B:B,pizza_sales[[#This Row],[order_id]])</f>
        <v>0.5</v>
      </c>
      <c r="D2951" t="s">
        <v>28</v>
      </c>
      <c r="E2951">
        <v>1</v>
      </c>
      <c r="F2951" s="1">
        <v>42070</v>
      </c>
      <c r="G2951" s="1" t="str">
        <f>TEXT(pizza_sales[[#This Row],[order_date]],"dddd")</f>
        <v>Saturday</v>
      </c>
      <c r="H2951" s="2">
        <v>0.86626157407407411</v>
      </c>
      <c r="I2951">
        <v>12</v>
      </c>
      <c r="J2951">
        <v>12</v>
      </c>
      <c r="K2951" t="s">
        <v>60</v>
      </c>
      <c r="L2951" t="s">
        <v>13</v>
      </c>
      <c r="M2951" t="s">
        <v>29</v>
      </c>
      <c r="N2951" t="s">
        <v>30</v>
      </c>
    </row>
    <row r="2952" spans="1:14" x14ac:dyDescent="0.25">
      <c r="A2952">
        <v>25002</v>
      </c>
      <c r="B2952">
        <v>10998</v>
      </c>
      <c r="C2952">
        <f>1/COUNTIF(B:B,pizza_sales[[#This Row],[order_id]])</f>
        <v>0.5</v>
      </c>
      <c r="D2952" t="s">
        <v>20</v>
      </c>
      <c r="E2952">
        <v>1</v>
      </c>
      <c r="F2952" s="1">
        <v>42070</v>
      </c>
      <c r="G2952" s="1" t="str">
        <f>TEXT(pizza_sales[[#This Row],[order_date]],"dddd")</f>
        <v>Saturday</v>
      </c>
      <c r="H2952" s="2">
        <v>0.86626157407407411</v>
      </c>
      <c r="I2952">
        <v>12</v>
      </c>
      <c r="J2952">
        <v>12</v>
      </c>
      <c r="K2952" t="s">
        <v>60</v>
      </c>
      <c r="L2952" t="s">
        <v>13</v>
      </c>
      <c r="M2952" t="s">
        <v>21</v>
      </c>
      <c r="N2952" t="s">
        <v>22</v>
      </c>
    </row>
    <row r="2953" spans="1:14" x14ac:dyDescent="0.25">
      <c r="A2953">
        <v>25003</v>
      </c>
      <c r="B2953">
        <v>10999</v>
      </c>
      <c r="C2953">
        <f>1/COUNTIF(B:B,pizza_sales[[#This Row],[order_id]])</f>
        <v>0.5</v>
      </c>
      <c r="D2953" t="s">
        <v>28</v>
      </c>
      <c r="E2953">
        <v>1</v>
      </c>
      <c r="F2953" s="1">
        <v>42070</v>
      </c>
      <c r="G2953" s="1" t="str">
        <f>TEXT(pizza_sales[[#This Row],[order_date]],"dddd")</f>
        <v>Saturday</v>
      </c>
      <c r="H2953" s="2">
        <v>0.86746527777777782</v>
      </c>
      <c r="I2953">
        <v>12</v>
      </c>
      <c r="J2953">
        <v>12</v>
      </c>
      <c r="K2953" t="s">
        <v>60</v>
      </c>
      <c r="L2953" t="s">
        <v>13</v>
      </c>
      <c r="M2953" t="s">
        <v>29</v>
      </c>
      <c r="N2953" t="s">
        <v>30</v>
      </c>
    </row>
    <row r="2954" spans="1:14" x14ac:dyDescent="0.25">
      <c r="A2954">
        <v>25004</v>
      </c>
      <c r="B2954">
        <v>10999</v>
      </c>
      <c r="C2954">
        <f>1/COUNTIF(B:B,pizza_sales[[#This Row],[order_id]])</f>
        <v>0.5</v>
      </c>
      <c r="D2954" t="s">
        <v>24</v>
      </c>
      <c r="E2954">
        <v>1</v>
      </c>
      <c r="F2954" s="1">
        <v>42070</v>
      </c>
      <c r="G2954" s="1" t="str">
        <f>TEXT(pizza_sales[[#This Row],[order_date]],"dddd")</f>
        <v>Saturday</v>
      </c>
      <c r="H2954" s="2">
        <v>0.86746527777777782</v>
      </c>
      <c r="I2954">
        <v>20.25</v>
      </c>
      <c r="J2954">
        <v>20.25</v>
      </c>
      <c r="K2954" t="s">
        <v>58</v>
      </c>
      <c r="L2954" t="s">
        <v>17</v>
      </c>
      <c r="M2954" t="s">
        <v>18</v>
      </c>
      <c r="N2954" t="s">
        <v>19</v>
      </c>
    </row>
    <row r="2955" spans="1:14" x14ac:dyDescent="0.25">
      <c r="A2955">
        <v>25006</v>
      </c>
      <c r="B2955">
        <v>11000</v>
      </c>
      <c r="C2955">
        <f>1/COUNTIF(B:B,pizza_sales[[#This Row],[order_id]])</f>
        <v>1</v>
      </c>
      <c r="D2955" t="s">
        <v>42</v>
      </c>
      <c r="E2955">
        <v>1</v>
      </c>
      <c r="F2955" s="1">
        <v>42070</v>
      </c>
      <c r="G2955" s="1" t="str">
        <f>TEXT(pizza_sales[[#This Row],[order_date]],"dddd")</f>
        <v>Saturday</v>
      </c>
      <c r="H2955" s="2">
        <v>0.87234953703703699</v>
      </c>
      <c r="I2955">
        <v>12.5</v>
      </c>
      <c r="J2955">
        <v>12.5</v>
      </c>
      <c r="K2955" t="s">
        <v>59</v>
      </c>
      <c r="L2955" t="s">
        <v>13</v>
      </c>
      <c r="M2955" t="s">
        <v>26</v>
      </c>
      <c r="N2955" t="s">
        <v>27</v>
      </c>
    </row>
    <row r="2956" spans="1:14" x14ac:dyDescent="0.25">
      <c r="A2956">
        <v>25008</v>
      </c>
      <c r="B2956">
        <v>11001</v>
      </c>
      <c r="C2956">
        <f>1/COUNTIF(B:B,pizza_sales[[#This Row],[order_id]])</f>
        <v>1</v>
      </c>
      <c r="D2956" t="s">
        <v>28</v>
      </c>
      <c r="E2956">
        <v>1</v>
      </c>
      <c r="F2956" s="1">
        <v>42070</v>
      </c>
      <c r="G2956" s="1" t="str">
        <f>TEXT(pizza_sales[[#This Row],[order_date]],"dddd")</f>
        <v>Saturday</v>
      </c>
      <c r="H2956" s="2">
        <v>0.87432870370370375</v>
      </c>
      <c r="I2956">
        <v>12</v>
      </c>
      <c r="J2956">
        <v>12</v>
      </c>
      <c r="K2956" t="s">
        <v>60</v>
      </c>
      <c r="L2956" t="s">
        <v>13</v>
      </c>
      <c r="M2956" t="s">
        <v>29</v>
      </c>
      <c r="N2956" t="s">
        <v>30</v>
      </c>
    </row>
    <row r="2957" spans="1:14" x14ac:dyDescent="0.25">
      <c r="A2957">
        <v>25011</v>
      </c>
      <c r="B2957">
        <v>11002</v>
      </c>
      <c r="C2957">
        <f>1/COUNTIF(B:B,pizza_sales[[#This Row],[order_id]])</f>
        <v>0.5</v>
      </c>
      <c r="D2957" t="s">
        <v>47</v>
      </c>
      <c r="E2957">
        <v>1</v>
      </c>
      <c r="F2957" s="1">
        <v>42070</v>
      </c>
      <c r="G2957" s="1" t="str">
        <f>TEXT(pizza_sales[[#This Row],[order_date]],"dddd")</f>
        <v>Saturday</v>
      </c>
      <c r="H2957" s="2">
        <v>0.87685185185185188</v>
      </c>
      <c r="I2957">
        <v>16.5</v>
      </c>
      <c r="J2957">
        <v>16.5</v>
      </c>
      <c r="K2957" t="s">
        <v>58</v>
      </c>
      <c r="L2957" t="s">
        <v>13</v>
      </c>
      <c r="M2957" t="s">
        <v>14</v>
      </c>
      <c r="N2957" t="s">
        <v>15</v>
      </c>
    </row>
    <row r="2958" spans="1:14" x14ac:dyDescent="0.25">
      <c r="A2958">
        <v>25013</v>
      </c>
      <c r="B2958">
        <v>11002</v>
      </c>
      <c r="C2958">
        <f>1/COUNTIF(B:B,pizza_sales[[#This Row],[order_id]])</f>
        <v>0.5</v>
      </c>
      <c r="D2958" t="s">
        <v>55</v>
      </c>
      <c r="E2958">
        <v>1</v>
      </c>
      <c r="F2958" s="1">
        <v>42070</v>
      </c>
      <c r="G2958" s="1" t="str">
        <f>TEXT(pizza_sales[[#This Row],[order_date]],"dddd")</f>
        <v>Saturday</v>
      </c>
      <c r="H2958" s="2">
        <v>0.87685185185185188</v>
      </c>
      <c r="I2958">
        <v>20.5</v>
      </c>
      <c r="J2958">
        <v>20.5</v>
      </c>
      <c r="K2958" t="s">
        <v>58</v>
      </c>
      <c r="L2958" t="s">
        <v>13</v>
      </c>
      <c r="M2958" t="s">
        <v>21</v>
      </c>
      <c r="N2958" t="s">
        <v>22</v>
      </c>
    </row>
    <row r="2959" spans="1:14" x14ac:dyDescent="0.25">
      <c r="A2959">
        <v>25016</v>
      </c>
      <c r="B2959">
        <v>11004</v>
      </c>
      <c r="C2959">
        <f>1/COUNTIF(B:B,pizza_sales[[#This Row],[order_id]])</f>
        <v>0.5</v>
      </c>
      <c r="D2959" t="s">
        <v>47</v>
      </c>
      <c r="E2959">
        <v>1</v>
      </c>
      <c r="F2959" s="1">
        <v>42070</v>
      </c>
      <c r="G2959" s="1" t="str">
        <f>TEXT(pizza_sales[[#This Row],[order_date]],"dddd")</f>
        <v>Saturday</v>
      </c>
      <c r="H2959" s="2">
        <v>0.89284722222222224</v>
      </c>
      <c r="I2959">
        <v>16.5</v>
      </c>
      <c r="J2959">
        <v>16.5</v>
      </c>
      <c r="K2959" t="s">
        <v>58</v>
      </c>
      <c r="L2959" t="s">
        <v>13</v>
      </c>
      <c r="M2959" t="s">
        <v>14</v>
      </c>
      <c r="N2959" t="s">
        <v>15</v>
      </c>
    </row>
    <row r="2960" spans="1:14" x14ac:dyDescent="0.25">
      <c r="A2960">
        <v>25017</v>
      </c>
      <c r="B2960">
        <v>11004</v>
      </c>
      <c r="C2960">
        <f>1/COUNTIF(B:B,pizza_sales[[#This Row],[order_id]])</f>
        <v>0.5</v>
      </c>
      <c r="D2960" t="s">
        <v>16</v>
      </c>
      <c r="E2960">
        <v>1</v>
      </c>
      <c r="F2960" s="1">
        <v>42070</v>
      </c>
      <c r="G2960" s="1" t="str">
        <f>TEXT(pizza_sales[[#This Row],[order_date]],"dddd")</f>
        <v>Saturday</v>
      </c>
      <c r="H2960" s="2">
        <v>0.89284722222222224</v>
      </c>
      <c r="I2960">
        <v>16</v>
      </c>
      <c r="J2960">
        <v>16</v>
      </c>
      <c r="K2960" t="s">
        <v>59</v>
      </c>
      <c r="L2960" t="s">
        <v>17</v>
      </c>
      <c r="M2960" t="s">
        <v>18</v>
      </c>
      <c r="N2960" t="s">
        <v>19</v>
      </c>
    </row>
    <row r="2961" spans="1:14" x14ac:dyDescent="0.25">
      <c r="A2961">
        <v>25025</v>
      </c>
      <c r="B2961">
        <v>11008</v>
      </c>
      <c r="C2961">
        <f>1/COUNTIF(B:B,pizza_sales[[#This Row],[order_id]])</f>
        <v>1</v>
      </c>
      <c r="D2961" t="s">
        <v>44</v>
      </c>
      <c r="E2961">
        <v>1</v>
      </c>
      <c r="F2961" s="1">
        <v>42070</v>
      </c>
      <c r="G2961" s="1" t="str">
        <f>TEXT(pizza_sales[[#This Row],[order_date]],"dddd")</f>
        <v>Saturday</v>
      </c>
      <c r="H2961" s="2">
        <v>0.90394675925925927</v>
      </c>
      <c r="I2961">
        <v>9.75</v>
      </c>
      <c r="J2961">
        <v>9.75</v>
      </c>
      <c r="K2961" t="s">
        <v>60</v>
      </c>
      <c r="L2961" t="s">
        <v>13</v>
      </c>
      <c r="M2961" t="s">
        <v>26</v>
      </c>
      <c r="N2961" t="s">
        <v>27</v>
      </c>
    </row>
    <row r="2962" spans="1:14" x14ac:dyDescent="0.25">
      <c r="A2962">
        <v>25027</v>
      </c>
      <c r="B2962">
        <v>11009</v>
      </c>
      <c r="C2962">
        <f>1/COUNTIF(B:B,pizza_sales[[#This Row],[order_id]])</f>
        <v>1</v>
      </c>
      <c r="D2962" t="s">
        <v>38</v>
      </c>
      <c r="E2962">
        <v>1</v>
      </c>
      <c r="F2962" s="1">
        <v>42070</v>
      </c>
      <c r="G2962" s="1" t="str">
        <f>TEXT(pizza_sales[[#This Row],[order_date]],"dddd")</f>
        <v>Saturday</v>
      </c>
      <c r="H2962" s="2">
        <v>0.90552083333333333</v>
      </c>
      <c r="I2962">
        <v>20.5</v>
      </c>
      <c r="J2962">
        <v>20.5</v>
      </c>
      <c r="K2962" t="s">
        <v>58</v>
      </c>
      <c r="L2962" t="s">
        <v>13</v>
      </c>
      <c r="M2962" t="s">
        <v>32</v>
      </c>
      <c r="N2962" t="s">
        <v>33</v>
      </c>
    </row>
    <row r="2963" spans="1:14" x14ac:dyDescent="0.25">
      <c r="A2963">
        <v>25032</v>
      </c>
      <c r="B2963">
        <v>11012</v>
      </c>
      <c r="C2963">
        <f>1/COUNTIF(B:B,pizza_sales[[#This Row],[order_id]])</f>
        <v>0.5</v>
      </c>
      <c r="D2963" t="s">
        <v>24</v>
      </c>
      <c r="E2963">
        <v>2</v>
      </c>
      <c r="F2963" s="1">
        <v>42070</v>
      </c>
      <c r="G2963" s="1" t="str">
        <f>TEXT(pizza_sales[[#This Row],[order_date]],"dddd")</f>
        <v>Saturday</v>
      </c>
      <c r="H2963" s="2">
        <v>0.9334027777777778</v>
      </c>
      <c r="I2963">
        <v>20.25</v>
      </c>
      <c r="J2963">
        <v>40.5</v>
      </c>
      <c r="K2963" t="s">
        <v>58</v>
      </c>
      <c r="L2963" t="s">
        <v>17</v>
      </c>
      <c r="M2963" t="s">
        <v>18</v>
      </c>
      <c r="N2963" t="s">
        <v>19</v>
      </c>
    </row>
    <row r="2964" spans="1:14" x14ac:dyDescent="0.25">
      <c r="A2964">
        <v>25033</v>
      </c>
      <c r="B2964">
        <v>11012</v>
      </c>
      <c r="C2964">
        <f>1/COUNTIF(B:B,pizza_sales[[#This Row],[order_id]])</f>
        <v>0.5</v>
      </c>
      <c r="D2964" t="s">
        <v>25</v>
      </c>
      <c r="E2964">
        <v>1</v>
      </c>
      <c r="F2964" s="1">
        <v>42070</v>
      </c>
      <c r="G2964" s="1" t="str">
        <f>TEXT(pizza_sales[[#This Row],[order_date]],"dddd")</f>
        <v>Saturday</v>
      </c>
      <c r="H2964" s="2">
        <v>0.9334027777777778</v>
      </c>
      <c r="I2964">
        <v>15.25</v>
      </c>
      <c r="J2964">
        <v>15.25</v>
      </c>
      <c r="K2964" t="s">
        <v>58</v>
      </c>
      <c r="L2964" t="s">
        <v>13</v>
      </c>
      <c r="M2964" t="s">
        <v>26</v>
      </c>
      <c r="N2964" t="s">
        <v>27</v>
      </c>
    </row>
    <row r="2965" spans="1:14" x14ac:dyDescent="0.25">
      <c r="A2965">
        <v>25037</v>
      </c>
      <c r="B2965">
        <v>11014</v>
      </c>
      <c r="C2965">
        <f>1/COUNTIF(B:B,pizza_sales[[#This Row],[order_id]])</f>
        <v>1</v>
      </c>
      <c r="D2965" t="s">
        <v>50</v>
      </c>
      <c r="E2965">
        <v>1</v>
      </c>
      <c r="F2965" s="1">
        <v>42070</v>
      </c>
      <c r="G2965" s="1" t="str">
        <f>TEXT(pizza_sales[[#This Row],[order_date]],"dddd")</f>
        <v>Saturday</v>
      </c>
      <c r="H2965" s="2">
        <v>0.93783564814814813</v>
      </c>
      <c r="I2965">
        <v>16</v>
      </c>
      <c r="J2965">
        <v>16</v>
      </c>
      <c r="K2965" t="s">
        <v>59</v>
      </c>
      <c r="L2965" t="s">
        <v>13</v>
      </c>
      <c r="M2965" t="s">
        <v>32</v>
      </c>
      <c r="N2965" t="s">
        <v>33</v>
      </c>
    </row>
    <row r="2966" spans="1:14" x14ac:dyDescent="0.25">
      <c r="A2966">
        <v>25038</v>
      </c>
      <c r="B2966">
        <v>11015</v>
      </c>
      <c r="C2966">
        <f>1/COUNTIF(B:B,pizza_sales[[#This Row],[order_id]])</f>
        <v>0.5</v>
      </c>
      <c r="D2966" t="s">
        <v>20</v>
      </c>
      <c r="E2966">
        <v>1</v>
      </c>
      <c r="F2966" s="1">
        <v>42070</v>
      </c>
      <c r="G2966" s="1" t="str">
        <f>TEXT(pizza_sales[[#This Row],[order_date]],"dddd")</f>
        <v>Saturday</v>
      </c>
      <c r="H2966" s="2">
        <v>0.94267361111111114</v>
      </c>
      <c r="I2966">
        <v>12</v>
      </c>
      <c r="J2966">
        <v>12</v>
      </c>
      <c r="K2966" t="s">
        <v>60</v>
      </c>
      <c r="L2966" t="s">
        <v>13</v>
      </c>
      <c r="M2966" t="s">
        <v>21</v>
      </c>
      <c r="N2966" t="s">
        <v>22</v>
      </c>
    </row>
    <row r="2967" spans="1:14" x14ac:dyDescent="0.25">
      <c r="A2967">
        <v>25039</v>
      </c>
      <c r="B2967">
        <v>11015</v>
      </c>
      <c r="C2967">
        <f>1/COUNTIF(B:B,pizza_sales[[#This Row],[order_id]])</f>
        <v>0.5</v>
      </c>
      <c r="D2967" t="s">
        <v>46</v>
      </c>
      <c r="E2967">
        <v>1</v>
      </c>
      <c r="F2967" s="1">
        <v>42070</v>
      </c>
      <c r="G2967" s="1" t="str">
        <f>TEXT(pizza_sales[[#This Row],[order_date]],"dddd")</f>
        <v>Saturday</v>
      </c>
      <c r="H2967" s="2">
        <v>0.94267361111111114</v>
      </c>
      <c r="I2967">
        <v>25.5</v>
      </c>
      <c r="J2967">
        <v>25.5</v>
      </c>
      <c r="K2967" t="s">
        <v>61</v>
      </c>
      <c r="L2967" t="s">
        <v>13</v>
      </c>
      <c r="M2967" t="s">
        <v>21</v>
      </c>
      <c r="N2967" t="s">
        <v>22</v>
      </c>
    </row>
    <row r="2968" spans="1:14" x14ac:dyDescent="0.25">
      <c r="A2968">
        <v>25042</v>
      </c>
      <c r="B2968">
        <v>11018</v>
      </c>
      <c r="C2968">
        <f>1/COUNTIF(B:B,pizza_sales[[#This Row],[order_id]])</f>
        <v>1</v>
      </c>
      <c r="D2968" t="s">
        <v>28</v>
      </c>
      <c r="E2968">
        <v>1</v>
      </c>
      <c r="F2968" s="1">
        <v>42101</v>
      </c>
      <c r="G2968" s="1" t="str">
        <f>TEXT(pizza_sales[[#This Row],[order_date]],"dddd")</f>
        <v>Tuesday</v>
      </c>
      <c r="H2968" s="2">
        <v>0.51452546296296298</v>
      </c>
      <c r="I2968">
        <v>12</v>
      </c>
      <c r="J2968">
        <v>12</v>
      </c>
      <c r="K2968" t="s">
        <v>60</v>
      </c>
      <c r="L2968" t="s">
        <v>13</v>
      </c>
      <c r="M2968" t="s">
        <v>29</v>
      </c>
      <c r="N2968" t="s">
        <v>30</v>
      </c>
    </row>
    <row r="2969" spans="1:14" x14ac:dyDescent="0.25">
      <c r="A2969">
        <v>25049</v>
      </c>
      <c r="B2969">
        <v>11019</v>
      </c>
      <c r="C2969">
        <f>1/COUNTIF(B:B,pizza_sales[[#This Row],[order_id]])</f>
        <v>1</v>
      </c>
      <c r="D2969" t="s">
        <v>44</v>
      </c>
      <c r="E2969">
        <v>1</v>
      </c>
      <c r="F2969" s="1">
        <v>42101</v>
      </c>
      <c r="G2969" s="1" t="str">
        <f>TEXT(pizza_sales[[#This Row],[order_date]],"dddd")</f>
        <v>Tuesday</v>
      </c>
      <c r="H2969" s="2">
        <v>0.52667824074074077</v>
      </c>
      <c r="I2969">
        <v>9.75</v>
      </c>
      <c r="J2969">
        <v>9.75</v>
      </c>
      <c r="K2969" t="s">
        <v>60</v>
      </c>
      <c r="L2969" t="s">
        <v>13</v>
      </c>
      <c r="M2969" t="s">
        <v>26</v>
      </c>
      <c r="N2969" t="s">
        <v>27</v>
      </c>
    </row>
    <row r="2970" spans="1:14" x14ac:dyDescent="0.25">
      <c r="A2970">
        <v>25050</v>
      </c>
      <c r="B2970">
        <v>11020</v>
      </c>
      <c r="C2970">
        <f>1/COUNTIF(B:B,pizza_sales[[#This Row],[order_id]])</f>
        <v>1</v>
      </c>
      <c r="D2970" t="s">
        <v>28</v>
      </c>
      <c r="E2970">
        <v>1</v>
      </c>
      <c r="F2970" s="1">
        <v>42101</v>
      </c>
      <c r="G2970" s="1" t="str">
        <f>TEXT(pizza_sales[[#This Row],[order_date]],"dddd")</f>
        <v>Tuesday</v>
      </c>
      <c r="H2970" s="2">
        <v>0.52679398148148149</v>
      </c>
      <c r="I2970">
        <v>12</v>
      </c>
      <c r="J2970">
        <v>12</v>
      </c>
      <c r="K2970" t="s">
        <v>60</v>
      </c>
      <c r="L2970" t="s">
        <v>13</v>
      </c>
      <c r="M2970" t="s">
        <v>29</v>
      </c>
      <c r="N2970" t="s">
        <v>30</v>
      </c>
    </row>
    <row r="2971" spans="1:14" x14ac:dyDescent="0.25">
      <c r="A2971">
        <v>25051</v>
      </c>
      <c r="B2971">
        <v>11021</v>
      </c>
      <c r="C2971">
        <f>1/COUNTIF(B:B,pizza_sales[[#This Row],[order_id]])</f>
        <v>0.5</v>
      </c>
      <c r="D2971" t="s">
        <v>28</v>
      </c>
      <c r="E2971">
        <v>1</v>
      </c>
      <c r="F2971" s="1">
        <v>42101</v>
      </c>
      <c r="G2971" s="1" t="str">
        <f>TEXT(pizza_sales[[#This Row],[order_date]],"dddd")</f>
        <v>Tuesday</v>
      </c>
      <c r="H2971" s="2">
        <v>0.52776620370370375</v>
      </c>
      <c r="I2971">
        <v>12</v>
      </c>
      <c r="J2971">
        <v>12</v>
      </c>
      <c r="K2971" t="s">
        <v>60</v>
      </c>
      <c r="L2971" t="s">
        <v>13</v>
      </c>
      <c r="M2971" t="s">
        <v>29</v>
      </c>
      <c r="N2971" t="s">
        <v>30</v>
      </c>
    </row>
    <row r="2972" spans="1:14" x14ac:dyDescent="0.25">
      <c r="A2972">
        <v>25053</v>
      </c>
      <c r="B2972">
        <v>11021</v>
      </c>
      <c r="C2972">
        <f>1/COUNTIF(B:B,pizza_sales[[#This Row],[order_id]])</f>
        <v>0.5</v>
      </c>
      <c r="D2972" t="s">
        <v>45</v>
      </c>
      <c r="E2972">
        <v>1</v>
      </c>
      <c r="F2972" s="1">
        <v>42101</v>
      </c>
      <c r="G2972" s="1" t="str">
        <f>TEXT(pizza_sales[[#This Row],[order_date]],"dddd")</f>
        <v>Tuesday</v>
      </c>
      <c r="H2972" s="2">
        <v>0.52776620370370375</v>
      </c>
      <c r="I2972">
        <v>10.5</v>
      </c>
      <c r="J2972">
        <v>10.5</v>
      </c>
      <c r="K2972" t="s">
        <v>60</v>
      </c>
      <c r="L2972" t="s">
        <v>13</v>
      </c>
      <c r="M2972" t="s">
        <v>14</v>
      </c>
      <c r="N2972" t="s">
        <v>15</v>
      </c>
    </row>
    <row r="2973" spans="1:14" x14ac:dyDescent="0.25">
      <c r="A2973">
        <v>25056</v>
      </c>
      <c r="B2973">
        <v>11023</v>
      </c>
      <c r="C2973">
        <f>1/COUNTIF(B:B,pizza_sales[[#This Row],[order_id]])</f>
        <v>1</v>
      </c>
      <c r="D2973" t="s">
        <v>42</v>
      </c>
      <c r="E2973">
        <v>1</v>
      </c>
      <c r="F2973" s="1">
        <v>42101</v>
      </c>
      <c r="G2973" s="1" t="str">
        <f>TEXT(pizza_sales[[#This Row],[order_date]],"dddd")</f>
        <v>Tuesday</v>
      </c>
      <c r="H2973" s="2">
        <v>0.54240740740740745</v>
      </c>
      <c r="I2973">
        <v>12.5</v>
      </c>
      <c r="J2973">
        <v>12.5</v>
      </c>
      <c r="K2973" t="s">
        <v>59</v>
      </c>
      <c r="L2973" t="s">
        <v>13</v>
      </c>
      <c r="M2973" t="s">
        <v>26</v>
      </c>
      <c r="N2973" t="s">
        <v>27</v>
      </c>
    </row>
    <row r="2974" spans="1:14" x14ac:dyDescent="0.25">
      <c r="A2974">
        <v>25062</v>
      </c>
      <c r="B2974">
        <v>11026</v>
      </c>
      <c r="C2974">
        <f>1/COUNTIF(B:B,pizza_sales[[#This Row],[order_id]])</f>
        <v>1</v>
      </c>
      <c r="D2974" t="s">
        <v>12</v>
      </c>
      <c r="E2974">
        <v>1</v>
      </c>
      <c r="F2974" s="1">
        <v>42101</v>
      </c>
      <c r="G2974" s="1" t="str">
        <f>TEXT(pizza_sales[[#This Row],[order_date]],"dddd")</f>
        <v>Tuesday</v>
      </c>
      <c r="H2974" s="2">
        <v>0.56861111111111107</v>
      </c>
      <c r="I2974">
        <v>13.25</v>
      </c>
      <c r="J2974">
        <v>13.25</v>
      </c>
      <c r="K2974" t="s">
        <v>59</v>
      </c>
      <c r="L2974" t="s">
        <v>13</v>
      </c>
      <c r="M2974" t="s">
        <v>14</v>
      </c>
      <c r="N2974" t="s">
        <v>15</v>
      </c>
    </row>
    <row r="2975" spans="1:14" x14ac:dyDescent="0.25">
      <c r="A2975">
        <v>25068</v>
      </c>
      <c r="B2975">
        <v>11029</v>
      </c>
      <c r="C2975">
        <f>1/COUNTIF(B:B,pizza_sales[[#This Row],[order_id]])</f>
        <v>0.5</v>
      </c>
      <c r="D2975" t="s">
        <v>12</v>
      </c>
      <c r="E2975">
        <v>1</v>
      </c>
      <c r="F2975" s="1">
        <v>42101</v>
      </c>
      <c r="G2975" s="1" t="str">
        <f>TEXT(pizza_sales[[#This Row],[order_date]],"dddd")</f>
        <v>Tuesday</v>
      </c>
      <c r="H2975" s="2">
        <v>0.58313657407407404</v>
      </c>
      <c r="I2975">
        <v>13.25</v>
      </c>
      <c r="J2975">
        <v>13.25</v>
      </c>
      <c r="K2975" t="s">
        <v>59</v>
      </c>
      <c r="L2975" t="s">
        <v>13</v>
      </c>
      <c r="M2975" t="s">
        <v>14</v>
      </c>
      <c r="N2975" t="s">
        <v>15</v>
      </c>
    </row>
    <row r="2976" spans="1:14" x14ac:dyDescent="0.25">
      <c r="A2976">
        <v>25069</v>
      </c>
      <c r="B2976">
        <v>11029</v>
      </c>
      <c r="C2976">
        <f>1/COUNTIF(B:B,pizza_sales[[#This Row],[order_id]])</f>
        <v>0.5</v>
      </c>
      <c r="D2976" t="s">
        <v>16</v>
      </c>
      <c r="E2976">
        <v>1</v>
      </c>
      <c r="F2976" s="1">
        <v>42101</v>
      </c>
      <c r="G2976" s="1" t="str">
        <f>TEXT(pizza_sales[[#This Row],[order_date]],"dddd")</f>
        <v>Tuesday</v>
      </c>
      <c r="H2976" s="2">
        <v>0.58313657407407404</v>
      </c>
      <c r="I2976">
        <v>16</v>
      </c>
      <c r="J2976">
        <v>16</v>
      </c>
      <c r="K2976" t="s">
        <v>59</v>
      </c>
      <c r="L2976" t="s">
        <v>17</v>
      </c>
      <c r="M2976" t="s">
        <v>18</v>
      </c>
      <c r="N2976" t="s">
        <v>19</v>
      </c>
    </row>
    <row r="2977" spans="1:14" x14ac:dyDescent="0.25">
      <c r="A2977">
        <v>25080</v>
      </c>
      <c r="B2977">
        <v>11037</v>
      </c>
      <c r="C2977">
        <f>1/COUNTIF(B:B,pizza_sales[[#This Row],[order_id]])</f>
        <v>1</v>
      </c>
      <c r="D2977" t="s">
        <v>42</v>
      </c>
      <c r="E2977">
        <v>1</v>
      </c>
      <c r="F2977" s="1">
        <v>42101</v>
      </c>
      <c r="G2977" s="1" t="str">
        <f>TEXT(pizza_sales[[#This Row],[order_date]],"dddd")</f>
        <v>Tuesday</v>
      </c>
      <c r="H2977" s="2">
        <v>0.61203703703703705</v>
      </c>
      <c r="I2977">
        <v>12.5</v>
      </c>
      <c r="J2977">
        <v>12.5</v>
      </c>
      <c r="K2977" t="s">
        <v>59</v>
      </c>
      <c r="L2977" t="s">
        <v>13</v>
      </c>
      <c r="M2977" t="s">
        <v>26</v>
      </c>
      <c r="N2977" t="s">
        <v>27</v>
      </c>
    </row>
    <row r="2978" spans="1:14" x14ac:dyDescent="0.25">
      <c r="A2978">
        <v>25085</v>
      </c>
      <c r="B2978">
        <v>11039</v>
      </c>
      <c r="C2978">
        <f>1/COUNTIF(B:B,pizza_sales[[#This Row],[order_id]])</f>
        <v>1</v>
      </c>
      <c r="D2978" t="s">
        <v>51</v>
      </c>
      <c r="E2978">
        <v>1</v>
      </c>
      <c r="F2978" s="1">
        <v>42101</v>
      </c>
      <c r="G2978" s="1" t="str">
        <f>TEXT(pizza_sales[[#This Row],[order_date]],"dddd")</f>
        <v>Tuesday</v>
      </c>
      <c r="H2978" s="2">
        <v>0.62586805555555558</v>
      </c>
      <c r="I2978">
        <v>23.65</v>
      </c>
      <c r="J2978">
        <v>23.65</v>
      </c>
      <c r="K2978" t="s">
        <v>60</v>
      </c>
      <c r="L2978" t="s">
        <v>35</v>
      </c>
      <c r="M2978" t="s">
        <v>52</v>
      </c>
      <c r="N2978" t="s">
        <v>53</v>
      </c>
    </row>
    <row r="2979" spans="1:14" x14ac:dyDescent="0.25">
      <c r="A2979">
        <v>25092</v>
      </c>
      <c r="B2979">
        <v>11043</v>
      </c>
      <c r="C2979">
        <f>1/COUNTIF(B:B,pizza_sales[[#This Row],[order_id]])</f>
        <v>1</v>
      </c>
      <c r="D2979" t="s">
        <v>50</v>
      </c>
      <c r="E2979">
        <v>1</v>
      </c>
      <c r="F2979" s="1">
        <v>42101</v>
      </c>
      <c r="G2979" s="1" t="str">
        <f>TEXT(pizza_sales[[#This Row],[order_date]],"dddd")</f>
        <v>Tuesday</v>
      </c>
      <c r="H2979" s="2">
        <v>0.63886574074074076</v>
      </c>
      <c r="I2979">
        <v>16</v>
      </c>
      <c r="J2979">
        <v>16</v>
      </c>
      <c r="K2979" t="s">
        <v>59</v>
      </c>
      <c r="L2979" t="s">
        <v>13</v>
      </c>
      <c r="M2979" t="s">
        <v>32</v>
      </c>
      <c r="N2979" t="s">
        <v>33</v>
      </c>
    </row>
    <row r="2980" spans="1:14" x14ac:dyDescent="0.25">
      <c r="A2980">
        <v>25097</v>
      </c>
      <c r="B2980">
        <v>11045</v>
      </c>
      <c r="C2980">
        <f>1/COUNTIF(B:B,pizza_sales[[#This Row],[order_id]])</f>
        <v>1</v>
      </c>
      <c r="D2980" t="s">
        <v>16</v>
      </c>
      <c r="E2980">
        <v>1</v>
      </c>
      <c r="F2980" s="1">
        <v>42101</v>
      </c>
      <c r="G2980" s="1" t="str">
        <f>TEXT(pizza_sales[[#This Row],[order_date]],"dddd")</f>
        <v>Tuesday</v>
      </c>
      <c r="H2980" s="2">
        <v>0.67459490740740746</v>
      </c>
      <c r="I2980">
        <v>16</v>
      </c>
      <c r="J2980">
        <v>16</v>
      </c>
      <c r="K2980" t="s">
        <v>59</v>
      </c>
      <c r="L2980" t="s">
        <v>17</v>
      </c>
      <c r="M2980" t="s">
        <v>18</v>
      </c>
      <c r="N2980" t="s">
        <v>19</v>
      </c>
    </row>
    <row r="2981" spans="1:14" x14ac:dyDescent="0.25">
      <c r="A2981">
        <v>25102</v>
      </c>
      <c r="B2981">
        <v>11049</v>
      </c>
      <c r="C2981">
        <f>1/COUNTIF(B:B,pizza_sales[[#This Row],[order_id]])</f>
        <v>1</v>
      </c>
      <c r="D2981" t="s">
        <v>44</v>
      </c>
      <c r="E2981">
        <v>1</v>
      </c>
      <c r="F2981" s="1">
        <v>42101</v>
      </c>
      <c r="G2981" s="1" t="str">
        <f>TEXT(pizza_sales[[#This Row],[order_date]],"dddd")</f>
        <v>Tuesday</v>
      </c>
      <c r="H2981" s="2">
        <v>0.68675925925925929</v>
      </c>
      <c r="I2981">
        <v>9.75</v>
      </c>
      <c r="J2981">
        <v>9.75</v>
      </c>
      <c r="K2981" t="s">
        <v>60</v>
      </c>
      <c r="L2981" t="s">
        <v>13</v>
      </c>
      <c r="M2981" t="s">
        <v>26</v>
      </c>
      <c r="N2981" t="s">
        <v>27</v>
      </c>
    </row>
    <row r="2982" spans="1:14" x14ac:dyDescent="0.25">
      <c r="A2982">
        <v>25111</v>
      </c>
      <c r="B2982">
        <v>11053</v>
      </c>
      <c r="C2982">
        <f>1/COUNTIF(B:B,pizza_sales[[#This Row],[order_id]])</f>
        <v>1</v>
      </c>
      <c r="D2982" t="s">
        <v>42</v>
      </c>
      <c r="E2982">
        <v>1</v>
      </c>
      <c r="F2982" s="1">
        <v>42101</v>
      </c>
      <c r="G2982" s="1" t="str">
        <f>TEXT(pizza_sales[[#This Row],[order_date]],"dddd")</f>
        <v>Tuesday</v>
      </c>
      <c r="H2982" s="2">
        <v>0.70229166666666665</v>
      </c>
      <c r="I2982">
        <v>12.5</v>
      </c>
      <c r="J2982">
        <v>12.5</v>
      </c>
      <c r="K2982" t="s">
        <v>59</v>
      </c>
      <c r="L2982" t="s">
        <v>13</v>
      </c>
      <c r="M2982" t="s">
        <v>26</v>
      </c>
      <c r="N2982" t="s">
        <v>27</v>
      </c>
    </row>
    <row r="2983" spans="1:14" x14ac:dyDescent="0.25">
      <c r="A2983">
        <v>25114</v>
      </c>
      <c r="B2983">
        <v>11054</v>
      </c>
      <c r="C2983">
        <f>1/COUNTIF(B:B,pizza_sales[[#This Row],[order_id]])</f>
        <v>1</v>
      </c>
      <c r="D2983" t="s">
        <v>39</v>
      </c>
      <c r="E2983">
        <v>1</v>
      </c>
      <c r="F2983" s="1">
        <v>42101</v>
      </c>
      <c r="G2983" s="1" t="str">
        <f>TEXT(pizza_sales[[#This Row],[order_date]],"dddd")</f>
        <v>Tuesday</v>
      </c>
      <c r="H2983" s="2">
        <v>0.70755787037037032</v>
      </c>
      <c r="I2983">
        <v>20.25</v>
      </c>
      <c r="J2983">
        <v>20.25</v>
      </c>
      <c r="K2983" t="s">
        <v>58</v>
      </c>
      <c r="L2983" t="s">
        <v>35</v>
      </c>
      <c r="M2983" t="s">
        <v>40</v>
      </c>
      <c r="N2983" t="s">
        <v>41</v>
      </c>
    </row>
    <row r="2984" spans="1:14" x14ac:dyDescent="0.25">
      <c r="A2984">
        <v>25116</v>
      </c>
      <c r="B2984">
        <v>11055</v>
      </c>
      <c r="C2984">
        <f>1/COUNTIF(B:B,pizza_sales[[#This Row],[order_id]])</f>
        <v>1</v>
      </c>
      <c r="D2984" t="s">
        <v>47</v>
      </c>
      <c r="E2984">
        <v>1</v>
      </c>
      <c r="F2984" s="1">
        <v>42101</v>
      </c>
      <c r="G2984" s="1" t="str">
        <f>TEXT(pizza_sales[[#This Row],[order_date]],"dddd")</f>
        <v>Tuesday</v>
      </c>
      <c r="H2984" s="2">
        <v>0.7133680555555556</v>
      </c>
      <c r="I2984">
        <v>16.5</v>
      </c>
      <c r="J2984">
        <v>16.5</v>
      </c>
      <c r="K2984" t="s">
        <v>58</v>
      </c>
      <c r="L2984" t="s">
        <v>13</v>
      </c>
      <c r="M2984" t="s">
        <v>14</v>
      </c>
      <c r="N2984" t="s">
        <v>15</v>
      </c>
    </row>
    <row r="2985" spans="1:14" x14ac:dyDescent="0.25">
      <c r="A2985">
        <v>25118</v>
      </c>
      <c r="B2985">
        <v>11056</v>
      </c>
      <c r="C2985">
        <f>1/COUNTIF(B:B,pizza_sales[[#This Row],[order_id]])</f>
        <v>0.5</v>
      </c>
      <c r="D2985" t="s">
        <v>54</v>
      </c>
      <c r="E2985">
        <v>1</v>
      </c>
      <c r="F2985" s="1">
        <v>42101</v>
      </c>
      <c r="G2985" s="1" t="str">
        <f>TEXT(pizza_sales[[#This Row],[order_date]],"dddd")</f>
        <v>Tuesday</v>
      </c>
      <c r="H2985" s="2">
        <v>0.721099537037037</v>
      </c>
      <c r="I2985">
        <v>12.25</v>
      </c>
      <c r="J2985">
        <v>12.25</v>
      </c>
      <c r="K2985" t="s">
        <v>60</v>
      </c>
      <c r="L2985" t="s">
        <v>35</v>
      </c>
      <c r="M2985" t="s">
        <v>36</v>
      </c>
      <c r="N2985" t="s">
        <v>37</v>
      </c>
    </row>
    <row r="2986" spans="1:14" x14ac:dyDescent="0.25">
      <c r="A2986">
        <v>25120</v>
      </c>
      <c r="B2986">
        <v>11056</v>
      </c>
      <c r="C2986">
        <f>1/COUNTIF(B:B,pizza_sales[[#This Row],[order_id]])</f>
        <v>0.5</v>
      </c>
      <c r="D2986" t="s">
        <v>38</v>
      </c>
      <c r="E2986">
        <v>1</v>
      </c>
      <c r="F2986" s="1">
        <v>42101</v>
      </c>
      <c r="G2986" s="1" t="str">
        <f>TEXT(pizza_sales[[#This Row],[order_date]],"dddd")</f>
        <v>Tuesday</v>
      </c>
      <c r="H2986" s="2">
        <v>0.721099537037037</v>
      </c>
      <c r="I2986">
        <v>20.5</v>
      </c>
      <c r="J2986">
        <v>20.5</v>
      </c>
      <c r="K2986" t="s">
        <v>58</v>
      </c>
      <c r="L2986" t="s">
        <v>13</v>
      </c>
      <c r="M2986" t="s">
        <v>32</v>
      </c>
      <c r="N2986" t="s">
        <v>33</v>
      </c>
    </row>
    <row r="2987" spans="1:14" x14ac:dyDescent="0.25">
      <c r="A2987">
        <v>25121</v>
      </c>
      <c r="B2987">
        <v>11057</v>
      </c>
      <c r="C2987">
        <f>1/COUNTIF(B:B,pizza_sales[[#This Row],[order_id]])</f>
        <v>0.5</v>
      </c>
      <c r="D2987" t="s">
        <v>47</v>
      </c>
      <c r="E2987">
        <v>1</v>
      </c>
      <c r="F2987" s="1">
        <v>42101</v>
      </c>
      <c r="G2987" s="1" t="str">
        <f>TEXT(pizza_sales[[#This Row],[order_date]],"dddd")</f>
        <v>Tuesday</v>
      </c>
      <c r="H2987" s="2">
        <v>0.7374074074074074</v>
      </c>
      <c r="I2987">
        <v>16.5</v>
      </c>
      <c r="J2987">
        <v>16.5</v>
      </c>
      <c r="K2987" t="s">
        <v>58</v>
      </c>
      <c r="L2987" t="s">
        <v>13</v>
      </c>
      <c r="M2987" t="s">
        <v>14</v>
      </c>
      <c r="N2987" t="s">
        <v>15</v>
      </c>
    </row>
    <row r="2988" spans="1:14" x14ac:dyDescent="0.25">
      <c r="A2988">
        <v>25122</v>
      </c>
      <c r="B2988">
        <v>11057</v>
      </c>
      <c r="C2988">
        <f>1/COUNTIF(B:B,pizza_sales[[#This Row],[order_id]])</f>
        <v>0.5</v>
      </c>
      <c r="D2988" t="s">
        <v>25</v>
      </c>
      <c r="E2988">
        <v>1</v>
      </c>
      <c r="F2988" s="1">
        <v>42101</v>
      </c>
      <c r="G2988" s="1" t="str">
        <f>TEXT(pizza_sales[[#This Row],[order_date]],"dddd")</f>
        <v>Tuesday</v>
      </c>
      <c r="H2988" s="2">
        <v>0.7374074074074074</v>
      </c>
      <c r="I2988">
        <v>15.25</v>
      </c>
      <c r="J2988">
        <v>15.25</v>
      </c>
      <c r="K2988" t="s">
        <v>58</v>
      </c>
      <c r="L2988" t="s">
        <v>13</v>
      </c>
      <c r="M2988" t="s">
        <v>26</v>
      </c>
      <c r="N2988" t="s">
        <v>27</v>
      </c>
    </row>
    <row r="2989" spans="1:14" x14ac:dyDescent="0.25">
      <c r="A2989">
        <v>25127</v>
      </c>
      <c r="B2989">
        <v>11058</v>
      </c>
      <c r="C2989">
        <f>1/COUNTIF(B:B,pizza_sales[[#This Row],[order_id]])</f>
        <v>1</v>
      </c>
      <c r="D2989" t="s">
        <v>48</v>
      </c>
      <c r="E2989">
        <v>1</v>
      </c>
      <c r="F2989" s="1">
        <v>42101</v>
      </c>
      <c r="G2989" s="1" t="str">
        <f>TEXT(pizza_sales[[#This Row],[order_date]],"dddd")</f>
        <v>Tuesday</v>
      </c>
      <c r="H2989" s="2">
        <v>0.73931712962962959</v>
      </c>
      <c r="I2989">
        <v>12.25</v>
      </c>
      <c r="J2989">
        <v>12.25</v>
      </c>
      <c r="K2989" t="s">
        <v>60</v>
      </c>
      <c r="L2989" t="s">
        <v>35</v>
      </c>
      <c r="M2989" t="s">
        <v>40</v>
      </c>
      <c r="N2989" t="s">
        <v>41</v>
      </c>
    </row>
    <row r="2990" spans="1:14" x14ac:dyDescent="0.25">
      <c r="A2990">
        <v>25134</v>
      </c>
      <c r="B2990">
        <v>11061</v>
      </c>
      <c r="C2990">
        <f>1/COUNTIF(B:B,pizza_sales[[#This Row],[order_id]])</f>
        <v>1</v>
      </c>
      <c r="D2990" t="s">
        <v>51</v>
      </c>
      <c r="E2990">
        <v>1</v>
      </c>
      <c r="F2990" s="1">
        <v>42101</v>
      </c>
      <c r="G2990" s="1" t="str">
        <f>TEXT(pizza_sales[[#This Row],[order_date]],"dddd")</f>
        <v>Tuesday</v>
      </c>
      <c r="H2990" s="2">
        <v>0.74510416666666668</v>
      </c>
      <c r="I2990">
        <v>23.65</v>
      </c>
      <c r="J2990">
        <v>23.65</v>
      </c>
      <c r="K2990" t="s">
        <v>60</v>
      </c>
      <c r="L2990" t="s">
        <v>35</v>
      </c>
      <c r="M2990" t="s">
        <v>52</v>
      </c>
      <c r="N2990" t="s">
        <v>53</v>
      </c>
    </row>
    <row r="2991" spans="1:14" x14ac:dyDescent="0.25">
      <c r="A2991">
        <v>25135</v>
      </c>
      <c r="B2991">
        <v>11062</v>
      </c>
      <c r="C2991">
        <f>1/COUNTIF(B:B,pizza_sales[[#This Row],[order_id]])</f>
        <v>1</v>
      </c>
      <c r="D2991" t="s">
        <v>28</v>
      </c>
      <c r="E2991">
        <v>1</v>
      </c>
      <c r="F2991" s="1">
        <v>42101</v>
      </c>
      <c r="G2991" s="1" t="str">
        <f>TEXT(pizza_sales[[#This Row],[order_date]],"dddd")</f>
        <v>Tuesday</v>
      </c>
      <c r="H2991" s="2">
        <v>0.74755787037037036</v>
      </c>
      <c r="I2991">
        <v>12</v>
      </c>
      <c r="J2991">
        <v>12</v>
      </c>
      <c r="K2991" t="s">
        <v>60</v>
      </c>
      <c r="L2991" t="s">
        <v>13</v>
      </c>
      <c r="M2991" t="s">
        <v>29</v>
      </c>
      <c r="N2991" t="s">
        <v>30</v>
      </c>
    </row>
    <row r="2992" spans="1:14" x14ac:dyDescent="0.25">
      <c r="A2992">
        <v>25143</v>
      </c>
      <c r="B2992">
        <v>11065</v>
      </c>
      <c r="C2992">
        <f>1/COUNTIF(B:B,pizza_sales[[#This Row],[order_id]])</f>
        <v>1</v>
      </c>
      <c r="D2992" t="s">
        <v>56</v>
      </c>
      <c r="E2992">
        <v>1</v>
      </c>
      <c r="F2992" s="1">
        <v>42101</v>
      </c>
      <c r="G2992" s="1" t="str">
        <f>TEXT(pizza_sales[[#This Row],[order_date]],"dddd")</f>
        <v>Tuesday</v>
      </c>
      <c r="H2992" s="2">
        <v>0.75880787037037034</v>
      </c>
      <c r="I2992">
        <v>20.25</v>
      </c>
      <c r="J2992">
        <v>20.25</v>
      </c>
      <c r="K2992" t="s">
        <v>58</v>
      </c>
      <c r="L2992" t="s">
        <v>35</v>
      </c>
      <c r="M2992" t="s">
        <v>36</v>
      </c>
      <c r="N2992" t="s">
        <v>37</v>
      </c>
    </row>
    <row r="2993" spans="1:14" x14ac:dyDescent="0.25">
      <c r="A2993">
        <v>25145</v>
      </c>
      <c r="B2993">
        <v>11066</v>
      </c>
      <c r="C2993">
        <f>1/COUNTIF(B:B,pizza_sales[[#This Row],[order_id]])</f>
        <v>1</v>
      </c>
      <c r="D2993" t="s">
        <v>56</v>
      </c>
      <c r="E2993">
        <v>1</v>
      </c>
      <c r="F2993" s="1">
        <v>42101</v>
      </c>
      <c r="G2993" s="1" t="str">
        <f>TEXT(pizza_sales[[#This Row],[order_date]],"dddd")</f>
        <v>Tuesday</v>
      </c>
      <c r="H2993" s="2">
        <v>0.76908564814814817</v>
      </c>
      <c r="I2993">
        <v>20.25</v>
      </c>
      <c r="J2993">
        <v>20.25</v>
      </c>
      <c r="K2993" t="s">
        <v>58</v>
      </c>
      <c r="L2993" t="s">
        <v>35</v>
      </c>
      <c r="M2993" t="s">
        <v>36</v>
      </c>
      <c r="N2993" t="s">
        <v>37</v>
      </c>
    </row>
    <row r="2994" spans="1:14" x14ac:dyDescent="0.25">
      <c r="A2994">
        <v>25148</v>
      </c>
      <c r="B2994">
        <v>11067</v>
      </c>
      <c r="C2994">
        <f>1/COUNTIF(B:B,pizza_sales[[#This Row],[order_id]])</f>
        <v>1</v>
      </c>
      <c r="D2994" t="s">
        <v>34</v>
      </c>
      <c r="E2994">
        <v>1</v>
      </c>
      <c r="F2994" s="1">
        <v>42101</v>
      </c>
      <c r="G2994" s="1" t="str">
        <f>TEXT(pizza_sales[[#This Row],[order_date]],"dddd")</f>
        <v>Tuesday</v>
      </c>
      <c r="H2994" s="2">
        <v>0.77172453703703703</v>
      </c>
      <c r="I2994">
        <v>16.25</v>
      </c>
      <c r="J2994">
        <v>16.25</v>
      </c>
      <c r="K2994" t="s">
        <v>59</v>
      </c>
      <c r="L2994" t="s">
        <v>35</v>
      </c>
      <c r="M2994" t="s">
        <v>36</v>
      </c>
      <c r="N2994" t="s">
        <v>37</v>
      </c>
    </row>
    <row r="2995" spans="1:14" x14ac:dyDescent="0.25">
      <c r="A2995">
        <v>25152</v>
      </c>
      <c r="B2995">
        <v>11070</v>
      </c>
      <c r="C2995">
        <f>1/COUNTIF(B:B,pizza_sales[[#This Row],[order_id]])</f>
        <v>0.5</v>
      </c>
      <c r="D2995" t="s">
        <v>45</v>
      </c>
      <c r="E2995">
        <v>1</v>
      </c>
      <c r="F2995" s="1">
        <v>42101</v>
      </c>
      <c r="G2995" s="1" t="str">
        <f>TEXT(pizza_sales[[#This Row],[order_date]],"dddd")</f>
        <v>Tuesday</v>
      </c>
      <c r="H2995" s="2">
        <v>0.78024305555555551</v>
      </c>
      <c r="I2995">
        <v>10.5</v>
      </c>
      <c r="J2995">
        <v>10.5</v>
      </c>
      <c r="K2995" t="s">
        <v>60</v>
      </c>
      <c r="L2995" t="s">
        <v>13</v>
      </c>
      <c r="M2995" t="s">
        <v>14</v>
      </c>
      <c r="N2995" t="s">
        <v>15</v>
      </c>
    </row>
    <row r="2996" spans="1:14" x14ac:dyDescent="0.25">
      <c r="A2996">
        <v>25153</v>
      </c>
      <c r="B2996">
        <v>11070</v>
      </c>
      <c r="C2996">
        <f>1/COUNTIF(B:B,pizza_sales[[#This Row],[order_id]])</f>
        <v>0.5</v>
      </c>
      <c r="D2996" t="s">
        <v>24</v>
      </c>
      <c r="E2996">
        <v>1</v>
      </c>
      <c r="F2996" s="1">
        <v>42101</v>
      </c>
      <c r="G2996" s="1" t="str">
        <f>TEXT(pizza_sales[[#This Row],[order_date]],"dddd")</f>
        <v>Tuesday</v>
      </c>
      <c r="H2996" s="2">
        <v>0.78024305555555551</v>
      </c>
      <c r="I2996">
        <v>20.25</v>
      </c>
      <c r="J2996">
        <v>20.25</v>
      </c>
      <c r="K2996" t="s">
        <v>58</v>
      </c>
      <c r="L2996" t="s">
        <v>17</v>
      </c>
      <c r="M2996" t="s">
        <v>18</v>
      </c>
      <c r="N2996" t="s">
        <v>19</v>
      </c>
    </row>
    <row r="2997" spans="1:14" x14ac:dyDescent="0.25">
      <c r="A2997">
        <v>25160</v>
      </c>
      <c r="B2997">
        <v>11075</v>
      </c>
      <c r="C2997">
        <f>1/COUNTIF(B:B,pizza_sales[[#This Row],[order_id]])</f>
        <v>1</v>
      </c>
      <c r="D2997" t="s">
        <v>42</v>
      </c>
      <c r="E2997">
        <v>1</v>
      </c>
      <c r="F2997" s="1">
        <v>42101</v>
      </c>
      <c r="G2997" s="1" t="str">
        <f>TEXT(pizza_sales[[#This Row],[order_date]],"dddd")</f>
        <v>Tuesday</v>
      </c>
      <c r="H2997" s="2">
        <v>0.78857638888888892</v>
      </c>
      <c r="I2997">
        <v>12.5</v>
      </c>
      <c r="J2997">
        <v>12.5</v>
      </c>
      <c r="K2997" t="s">
        <v>59</v>
      </c>
      <c r="L2997" t="s">
        <v>13</v>
      </c>
      <c r="M2997" t="s">
        <v>26</v>
      </c>
      <c r="N2997" t="s">
        <v>27</v>
      </c>
    </row>
    <row r="2998" spans="1:14" x14ac:dyDescent="0.25">
      <c r="A2998">
        <v>25164</v>
      </c>
      <c r="B2998">
        <v>11077</v>
      </c>
      <c r="C2998">
        <f>1/COUNTIF(B:B,pizza_sales[[#This Row],[order_id]])</f>
        <v>1</v>
      </c>
      <c r="D2998" t="s">
        <v>34</v>
      </c>
      <c r="E2998">
        <v>1</v>
      </c>
      <c r="F2998" s="1">
        <v>42101</v>
      </c>
      <c r="G2998" s="1" t="str">
        <f>TEXT(pizza_sales[[#This Row],[order_date]],"dddd")</f>
        <v>Tuesday</v>
      </c>
      <c r="H2998" s="2">
        <v>0.79262731481481485</v>
      </c>
      <c r="I2998">
        <v>16.25</v>
      </c>
      <c r="J2998">
        <v>16.25</v>
      </c>
      <c r="K2998" t="s">
        <v>59</v>
      </c>
      <c r="L2998" t="s">
        <v>35</v>
      </c>
      <c r="M2998" t="s">
        <v>36</v>
      </c>
      <c r="N2998" t="s">
        <v>37</v>
      </c>
    </row>
    <row r="2999" spans="1:14" x14ac:dyDescent="0.25">
      <c r="A2999">
        <v>25168</v>
      </c>
      <c r="B2999">
        <v>11079</v>
      </c>
      <c r="C2999">
        <f>1/COUNTIF(B:B,pizza_sales[[#This Row],[order_id]])</f>
        <v>1</v>
      </c>
      <c r="D2999" t="s">
        <v>39</v>
      </c>
      <c r="E2999">
        <v>1</v>
      </c>
      <c r="F2999" s="1">
        <v>42101</v>
      </c>
      <c r="G2999" s="1" t="str">
        <f>TEXT(pizza_sales[[#This Row],[order_date]],"dddd")</f>
        <v>Tuesday</v>
      </c>
      <c r="H2999" s="2">
        <v>0.79686342592592596</v>
      </c>
      <c r="I2999">
        <v>20.25</v>
      </c>
      <c r="J2999">
        <v>20.25</v>
      </c>
      <c r="K2999" t="s">
        <v>58</v>
      </c>
      <c r="L2999" t="s">
        <v>35</v>
      </c>
      <c r="M2999" t="s">
        <v>40</v>
      </c>
      <c r="N2999" t="s">
        <v>41</v>
      </c>
    </row>
    <row r="3000" spans="1:14" x14ac:dyDescent="0.25">
      <c r="A3000">
        <v>25171</v>
      </c>
      <c r="B3000">
        <v>11081</v>
      </c>
      <c r="C3000">
        <f>1/COUNTIF(B:B,pizza_sales[[#This Row],[order_id]])</f>
        <v>1</v>
      </c>
      <c r="D3000" t="s">
        <v>49</v>
      </c>
      <c r="E3000">
        <v>1</v>
      </c>
      <c r="F3000" s="1">
        <v>42101</v>
      </c>
      <c r="G3000" s="1" t="str">
        <f>TEXT(pizza_sales[[#This Row],[order_date]],"dddd")</f>
        <v>Tuesday</v>
      </c>
      <c r="H3000" s="2">
        <v>0.80240740740740746</v>
      </c>
      <c r="I3000">
        <v>16</v>
      </c>
      <c r="J3000">
        <v>16</v>
      </c>
      <c r="K3000" t="s">
        <v>59</v>
      </c>
      <c r="L3000" t="s">
        <v>13</v>
      </c>
      <c r="M3000" t="s">
        <v>21</v>
      </c>
      <c r="N3000" t="s">
        <v>22</v>
      </c>
    </row>
    <row r="3001" spans="1:14" x14ac:dyDescent="0.25">
      <c r="A3001">
        <v>25174</v>
      </c>
      <c r="B3001">
        <v>11083</v>
      </c>
      <c r="C3001">
        <f>1/COUNTIF(B:B,pizza_sales[[#This Row],[order_id]])</f>
        <v>1</v>
      </c>
      <c r="D3001" t="s">
        <v>43</v>
      </c>
      <c r="E3001">
        <v>1</v>
      </c>
      <c r="F3001" s="1">
        <v>42101</v>
      </c>
      <c r="G3001" s="1" t="str">
        <f>TEXT(pizza_sales[[#This Row],[order_date]],"dddd")</f>
        <v>Tuesday</v>
      </c>
      <c r="H3001" s="2">
        <v>0.80357638888888894</v>
      </c>
      <c r="I3001">
        <v>16.25</v>
      </c>
      <c r="J3001">
        <v>16.25</v>
      </c>
      <c r="K3001" t="s">
        <v>59</v>
      </c>
      <c r="L3001" t="s">
        <v>35</v>
      </c>
      <c r="M3001" t="s">
        <v>40</v>
      </c>
      <c r="N3001" t="s">
        <v>41</v>
      </c>
    </row>
    <row r="3002" spans="1:14" x14ac:dyDescent="0.25">
      <c r="A3002">
        <v>25177</v>
      </c>
      <c r="B3002">
        <v>11085</v>
      </c>
      <c r="C3002">
        <f>1/COUNTIF(B:B,pizza_sales[[#This Row],[order_id]])</f>
        <v>1</v>
      </c>
      <c r="D3002" t="s">
        <v>16</v>
      </c>
      <c r="E3002">
        <v>1</v>
      </c>
      <c r="F3002" s="1">
        <v>42101</v>
      </c>
      <c r="G3002" s="1" t="str">
        <f>TEXT(pizza_sales[[#This Row],[order_date]],"dddd")</f>
        <v>Tuesday</v>
      </c>
      <c r="H3002" s="2">
        <v>0.80939814814814814</v>
      </c>
      <c r="I3002">
        <v>16</v>
      </c>
      <c r="J3002">
        <v>16</v>
      </c>
      <c r="K3002" t="s">
        <v>59</v>
      </c>
      <c r="L3002" t="s">
        <v>17</v>
      </c>
      <c r="M3002" t="s">
        <v>18</v>
      </c>
      <c r="N3002" t="s">
        <v>19</v>
      </c>
    </row>
    <row r="3003" spans="1:14" x14ac:dyDescent="0.25">
      <c r="A3003">
        <v>25179</v>
      </c>
      <c r="B3003">
        <v>11086</v>
      </c>
      <c r="C3003">
        <f>1/COUNTIF(B:B,pizza_sales[[#This Row],[order_id]])</f>
        <v>0.5</v>
      </c>
      <c r="D3003" t="s">
        <v>28</v>
      </c>
      <c r="E3003">
        <v>1</v>
      </c>
      <c r="F3003" s="1">
        <v>42101</v>
      </c>
      <c r="G3003" s="1" t="str">
        <f>TEXT(pizza_sales[[#This Row],[order_date]],"dddd")</f>
        <v>Tuesday</v>
      </c>
      <c r="H3003" s="2">
        <v>0.82016203703703705</v>
      </c>
      <c r="I3003">
        <v>12</v>
      </c>
      <c r="J3003">
        <v>12</v>
      </c>
      <c r="K3003" t="s">
        <v>60</v>
      </c>
      <c r="L3003" t="s">
        <v>13</v>
      </c>
      <c r="M3003" t="s">
        <v>29</v>
      </c>
      <c r="N3003" t="s">
        <v>30</v>
      </c>
    </row>
    <row r="3004" spans="1:14" x14ac:dyDescent="0.25">
      <c r="A3004">
        <v>25182</v>
      </c>
      <c r="B3004">
        <v>11086</v>
      </c>
      <c r="C3004">
        <f>1/COUNTIF(B:B,pizza_sales[[#This Row],[order_id]])</f>
        <v>0.5</v>
      </c>
      <c r="D3004" t="s">
        <v>31</v>
      </c>
      <c r="E3004">
        <v>1</v>
      </c>
      <c r="F3004" s="1">
        <v>42101</v>
      </c>
      <c r="G3004" s="1" t="str">
        <f>TEXT(pizza_sales[[#This Row],[order_date]],"dddd")</f>
        <v>Tuesday</v>
      </c>
      <c r="H3004" s="2">
        <v>0.82016203703703705</v>
      </c>
      <c r="I3004">
        <v>12</v>
      </c>
      <c r="J3004">
        <v>12</v>
      </c>
      <c r="K3004" t="s">
        <v>60</v>
      </c>
      <c r="L3004" t="s">
        <v>13</v>
      </c>
      <c r="M3004" t="s">
        <v>32</v>
      </c>
      <c r="N3004" t="s">
        <v>33</v>
      </c>
    </row>
    <row r="3005" spans="1:14" x14ac:dyDescent="0.25">
      <c r="A3005">
        <v>25184</v>
      </c>
      <c r="B3005">
        <v>11087</v>
      </c>
      <c r="C3005">
        <f>1/COUNTIF(B:B,pizza_sales[[#This Row],[order_id]])</f>
        <v>1</v>
      </c>
      <c r="D3005" t="s">
        <v>25</v>
      </c>
      <c r="E3005">
        <v>1</v>
      </c>
      <c r="F3005" s="1">
        <v>42101</v>
      </c>
      <c r="G3005" s="1" t="str">
        <f>TEXT(pizza_sales[[#This Row],[order_date]],"dddd")</f>
        <v>Tuesday</v>
      </c>
      <c r="H3005" s="2">
        <v>0.82537037037037042</v>
      </c>
      <c r="I3005">
        <v>15.25</v>
      </c>
      <c r="J3005">
        <v>15.25</v>
      </c>
      <c r="K3005" t="s">
        <v>58</v>
      </c>
      <c r="L3005" t="s">
        <v>13</v>
      </c>
      <c r="M3005" t="s">
        <v>26</v>
      </c>
      <c r="N3005" t="s">
        <v>27</v>
      </c>
    </row>
    <row r="3006" spans="1:14" x14ac:dyDescent="0.25">
      <c r="A3006">
        <v>25187</v>
      </c>
      <c r="B3006">
        <v>11088</v>
      </c>
      <c r="C3006">
        <f>1/COUNTIF(B:B,pizza_sales[[#This Row],[order_id]])</f>
        <v>1</v>
      </c>
      <c r="D3006" t="s">
        <v>28</v>
      </c>
      <c r="E3006">
        <v>1</v>
      </c>
      <c r="F3006" s="1">
        <v>42101</v>
      </c>
      <c r="G3006" s="1" t="str">
        <f>TEXT(pizza_sales[[#This Row],[order_date]],"dddd")</f>
        <v>Tuesday</v>
      </c>
      <c r="H3006" s="2">
        <v>0.82634259259259257</v>
      </c>
      <c r="I3006">
        <v>12</v>
      </c>
      <c r="J3006">
        <v>12</v>
      </c>
      <c r="K3006" t="s">
        <v>60</v>
      </c>
      <c r="L3006" t="s">
        <v>13</v>
      </c>
      <c r="M3006" t="s">
        <v>29</v>
      </c>
      <c r="N3006" t="s">
        <v>30</v>
      </c>
    </row>
    <row r="3007" spans="1:14" x14ac:dyDescent="0.25">
      <c r="A3007">
        <v>25192</v>
      </c>
      <c r="B3007">
        <v>11090</v>
      </c>
      <c r="C3007">
        <f>1/COUNTIF(B:B,pizza_sales[[#This Row],[order_id]])</f>
        <v>1</v>
      </c>
      <c r="D3007" t="s">
        <v>45</v>
      </c>
      <c r="E3007">
        <v>1</v>
      </c>
      <c r="F3007" s="1">
        <v>42101</v>
      </c>
      <c r="G3007" s="1" t="str">
        <f>TEXT(pizza_sales[[#This Row],[order_date]],"dddd")</f>
        <v>Tuesday</v>
      </c>
      <c r="H3007" s="2">
        <v>0.8306944444444444</v>
      </c>
      <c r="I3007">
        <v>10.5</v>
      </c>
      <c r="J3007">
        <v>10.5</v>
      </c>
      <c r="K3007" t="s">
        <v>60</v>
      </c>
      <c r="L3007" t="s">
        <v>13</v>
      </c>
      <c r="M3007" t="s">
        <v>14</v>
      </c>
      <c r="N3007" t="s">
        <v>15</v>
      </c>
    </row>
    <row r="3008" spans="1:14" x14ac:dyDescent="0.25">
      <c r="A3008">
        <v>25200</v>
      </c>
      <c r="B3008">
        <v>11093</v>
      </c>
      <c r="C3008">
        <f>1/COUNTIF(B:B,pizza_sales[[#This Row],[order_id]])</f>
        <v>1</v>
      </c>
      <c r="D3008" t="s">
        <v>55</v>
      </c>
      <c r="E3008">
        <v>1</v>
      </c>
      <c r="F3008" s="1">
        <v>42101</v>
      </c>
      <c r="G3008" s="1" t="str">
        <f>TEXT(pizza_sales[[#This Row],[order_date]],"dddd")</f>
        <v>Tuesday</v>
      </c>
      <c r="H3008" s="2">
        <v>0.84262731481481479</v>
      </c>
      <c r="I3008">
        <v>20.5</v>
      </c>
      <c r="J3008">
        <v>20.5</v>
      </c>
      <c r="K3008" t="s">
        <v>58</v>
      </c>
      <c r="L3008" t="s">
        <v>13</v>
      </c>
      <c r="M3008" t="s">
        <v>21</v>
      </c>
      <c r="N3008" t="s">
        <v>22</v>
      </c>
    </row>
    <row r="3009" spans="1:14" x14ac:dyDescent="0.25">
      <c r="A3009">
        <v>25201</v>
      </c>
      <c r="B3009">
        <v>11094</v>
      </c>
      <c r="C3009">
        <f>1/COUNTIF(B:B,pizza_sales[[#This Row],[order_id]])</f>
        <v>0.33333333333333331</v>
      </c>
      <c r="D3009" t="s">
        <v>28</v>
      </c>
      <c r="E3009">
        <v>1</v>
      </c>
      <c r="F3009" s="1">
        <v>42101</v>
      </c>
      <c r="G3009" s="1" t="str">
        <f>TEXT(pizza_sales[[#This Row],[order_date]],"dddd")</f>
        <v>Tuesday</v>
      </c>
      <c r="H3009" s="2">
        <v>0.84335648148148146</v>
      </c>
      <c r="I3009">
        <v>12</v>
      </c>
      <c r="J3009">
        <v>12</v>
      </c>
      <c r="K3009" t="s">
        <v>60</v>
      </c>
      <c r="L3009" t="s">
        <v>13</v>
      </c>
      <c r="M3009" t="s">
        <v>29</v>
      </c>
      <c r="N3009" t="s">
        <v>30</v>
      </c>
    </row>
    <row r="3010" spans="1:14" x14ac:dyDescent="0.25">
      <c r="A3010">
        <v>25202</v>
      </c>
      <c r="B3010">
        <v>11094</v>
      </c>
      <c r="C3010">
        <f>1/COUNTIF(B:B,pizza_sales[[#This Row],[order_id]])</f>
        <v>0.33333333333333331</v>
      </c>
      <c r="D3010" t="s">
        <v>45</v>
      </c>
      <c r="E3010">
        <v>1</v>
      </c>
      <c r="F3010" s="1">
        <v>42101</v>
      </c>
      <c r="G3010" s="1" t="str">
        <f>TEXT(pizza_sales[[#This Row],[order_date]],"dddd")</f>
        <v>Tuesday</v>
      </c>
      <c r="H3010" s="2">
        <v>0.84335648148148146</v>
      </c>
      <c r="I3010">
        <v>10.5</v>
      </c>
      <c r="J3010">
        <v>10.5</v>
      </c>
      <c r="K3010" t="s">
        <v>60</v>
      </c>
      <c r="L3010" t="s">
        <v>13</v>
      </c>
      <c r="M3010" t="s">
        <v>14</v>
      </c>
      <c r="N3010" t="s">
        <v>15</v>
      </c>
    </row>
    <row r="3011" spans="1:14" x14ac:dyDescent="0.25">
      <c r="A3011">
        <v>25203</v>
      </c>
      <c r="B3011">
        <v>11094</v>
      </c>
      <c r="C3011">
        <f>1/COUNTIF(B:B,pizza_sales[[#This Row],[order_id]])</f>
        <v>0.33333333333333331</v>
      </c>
      <c r="D3011" t="s">
        <v>38</v>
      </c>
      <c r="E3011">
        <v>1</v>
      </c>
      <c r="F3011" s="1">
        <v>42101</v>
      </c>
      <c r="G3011" s="1" t="str">
        <f>TEXT(pizza_sales[[#This Row],[order_date]],"dddd")</f>
        <v>Tuesday</v>
      </c>
      <c r="H3011" s="2">
        <v>0.84335648148148146</v>
      </c>
      <c r="I3011">
        <v>20.5</v>
      </c>
      <c r="J3011">
        <v>20.5</v>
      </c>
      <c r="K3011" t="s">
        <v>58</v>
      </c>
      <c r="L3011" t="s">
        <v>13</v>
      </c>
      <c r="M3011" t="s">
        <v>32</v>
      </c>
      <c r="N3011" t="s">
        <v>33</v>
      </c>
    </row>
    <row r="3012" spans="1:14" x14ac:dyDescent="0.25">
      <c r="A3012">
        <v>25204</v>
      </c>
      <c r="B3012">
        <v>11095</v>
      </c>
      <c r="C3012">
        <f>1/COUNTIF(B:B,pizza_sales[[#This Row],[order_id]])</f>
        <v>1</v>
      </c>
      <c r="D3012" t="s">
        <v>51</v>
      </c>
      <c r="E3012">
        <v>1</v>
      </c>
      <c r="F3012" s="1">
        <v>42101</v>
      </c>
      <c r="G3012" s="1" t="str">
        <f>TEXT(pizza_sales[[#This Row],[order_date]],"dddd")</f>
        <v>Tuesday</v>
      </c>
      <c r="H3012" s="2">
        <v>0.84447916666666667</v>
      </c>
      <c r="I3012">
        <v>23.65</v>
      </c>
      <c r="J3012">
        <v>23.65</v>
      </c>
      <c r="K3012" t="s">
        <v>60</v>
      </c>
      <c r="L3012" t="s">
        <v>35</v>
      </c>
      <c r="M3012" t="s">
        <v>52</v>
      </c>
      <c r="N3012" t="s">
        <v>53</v>
      </c>
    </row>
    <row r="3013" spans="1:14" x14ac:dyDescent="0.25">
      <c r="A3013">
        <v>25209</v>
      </c>
      <c r="B3013">
        <v>11096</v>
      </c>
      <c r="C3013">
        <f>1/COUNTIF(B:B,pizza_sales[[#This Row],[order_id]])</f>
        <v>1</v>
      </c>
      <c r="D3013" t="s">
        <v>25</v>
      </c>
      <c r="E3013">
        <v>1</v>
      </c>
      <c r="F3013" s="1">
        <v>42101</v>
      </c>
      <c r="G3013" s="1" t="str">
        <f>TEXT(pizza_sales[[#This Row],[order_date]],"dddd")</f>
        <v>Tuesday</v>
      </c>
      <c r="H3013" s="2">
        <v>0.84526620370370376</v>
      </c>
      <c r="I3013">
        <v>15.25</v>
      </c>
      <c r="J3013">
        <v>15.25</v>
      </c>
      <c r="K3013" t="s">
        <v>58</v>
      </c>
      <c r="L3013" t="s">
        <v>13</v>
      </c>
      <c r="M3013" t="s">
        <v>26</v>
      </c>
      <c r="N3013" t="s">
        <v>27</v>
      </c>
    </row>
    <row r="3014" spans="1:14" x14ac:dyDescent="0.25">
      <c r="A3014">
        <v>25211</v>
      </c>
      <c r="B3014">
        <v>11097</v>
      </c>
      <c r="C3014">
        <f>1/COUNTIF(B:B,pizza_sales[[#This Row],[order_id]])</f>
        <v>0.5</v>
      </c>
      <c r="D3014" t="s">
        <v>34</v>
      </c>
      <c r="E3014">
        <v>1</v>
      </c>
      <c r="F3014" s="1">
        <v>42101</v>
      </c>
      <c r="G3014" s="1" t="str">
        <f>TEXT(pizza_sales[[#This Row],[order_date]],"dddd")</f>
        <v>Tuesday</v>
      </c>
      <c r="H3014" s="2">
        <v>0.85164351851851849</v>
      </c>
      <c r="I3014">
        <v>16.25</v>
      </c>
      <c r="J3014">
        <v>16.25</v>
      </c>
      <c r="K3014" t="s">
        <v>59</v>
      </c>
      <c r="L3014" t="s">
        <v>35</v>
      </c>
      <c r="M3014" t="s">
        <v>36</v>
      </c>
      <c r="N3014" t="s">
        <v>37</v>
      </c>
    </row>
    <row r="3015" spans="1:14" x14ac:dyDescent="0.25">
      <c r="A3015">
        <v>25213</v>
      </c>
      <c r="B3015">
        <v>11097</v>
      </c>
      <c r="C3015">
        <f>1/COUNTIF(B:B,pizza_sales[[#This Row],[order_id]])</f>
        <v>0.5</v>
      </c>
      <c r="D3015" t="s">
        <v>24</v>
      </c>
      <c r="E3015">
        <v>1</v>
      </c>
      <c r="F3015" s="1">
        <v>42101</v>
      </c>
      <c r="G3015" s="1" t="str">
        <f>TEXT(pizza_sales[[#This Row],[order_date]],"dddd")</f>
        <v>Tuesday</v>
      </c>
      <c r="H3015" s="2">
        <v>0.85164351851851849</v>
      </c>
      <c r="I3015">
        <v>20.25</v>
      </c>
      <c r="J3015">
        <v>20.25</v>
      </c>
      <c r="K3015" t="s">
        <v>58</v>
      </c>
      <c r="L3015" t="s">
        <v>17</v>
      </c>
      <c r="M3015" t="s">
        <v>18</v>
      </c>
      <c r="N3015" t="s">
        <v>19</v>
      </c>
    </row>
    <row r="3016" spans="1:14" x14ac:dyDescent="0.25">
      <c r="A3016">
        <v>25215</v>
      </c>
      <c r="B3016">
        <v>11098</v>
      </c>
      <c r="C3016">
        <f>1/COUNTIF(B:B,pizza_sales[[#This Row],[order_id]])</f>
        <v>1</v>
      </c>
      <c r="D3016" t="s">
        <v>55</v>
      </c>
      <c r="E3016">
        <v>1</v>
      </c>
      <c r="F3016" s="1">
        <v>42101</v>
      </c>
      <c r="G3016" s="1" t="str">
        <f>TEXT(pizza_sales[[#This Row],[order_date]],"dddd")</f>
        <v>Tuesday</v>
      </c>
      <c r="H3016" s="2">
        <v>0.86354166666666665</v>
      </c>
      <c r="I3016">
        <v>20.5</v>
      </c>
      <c r="J3016">
        <v>20.5</v>
      </c>
      <c r="K3016" t="s">
        <v>58</v>
      </c>
      <c r="L3016" t="s">
        <v>13</v>
      </c>
      <c r="M3016" t="s">
        <v>21</v>
      </c>
      <c r="N3016" t="s">
        <v>22</v>
      </c>
    </row>
    <row r="3017" spans="1:14" x14ac:dyDescent="0.25">
      <c r="A3017">
        <v>25228</v>
      </c>
      <c r="B3017">
        <v>11105</v>
      </c>
      <c r="C3017">
        <f>1/COUNTIF(B:B,pizza_sales[[#This Row],[order_id]])</f>
        <v>1</v>
      </c>
      <c r="D3017" t="s">
        <v>44</v>
      </c>
      <c r="E3017">
        <v>1</v>
      </c>
      <c r="F3017" s="1">
        <v>42101</v>
      </c>
      <c r="G3017" s="1" t="str">
        <f>TEXT(pizza_sales[[#This Row],[order_date]],"dddd")</f>
        <v>Tuesday</v>
      </c>
      <c r="H3017" s="2">
        <v>0.88817129629629632</v>
      </c>
      <c r="I3017">
        <v>9.75</v>
      </c>
      <c r="J3017">
        <v>9.75</v>
      </c>
      <c r="K3017" t="s">
        <v>60</v>
      </c>
      <c r="L3017" t="s">
        <v>13</v>
      </c>
      <c r="M3017" t="s">
        <v>26</v>
      </c>
      <c r="N3017" t="s">
        <v>27</v>
      </c>
    </row>
    <row r="3018" spans="1:14" x14ac:dyDescent="0.25">
      <c r="A3018">
        <v>25236</v>
      </c>
      <c r="B3018">
        <v>11107</v>
      </c>
      <c r="C3018">
        <f>1/COUNTIF(B:B,pizza_sales[[#This Row],[order_id]])</f>
        <v>0.5</v>
      </c>
      <c r="D3018" t="s">
        <v>31</v>
      </c>
      <c r="E3018">
        <v>1</v>
      </c>
      <c r="F3018" s="1">
        <v>42101</v>
      </c>
      <c r="G3018" s="1" t="str">
        <f>TEXT(pizza_sales[[#This Row],[order_date]],"dddd")</f>
        <v>Tuesday</v>
      </c>
      <c r="H3018" s="2">
        <v>0.89067129629629627</v>
      </c>
      <c r="I3018">
        <v>12</v>
      </c>
      <c r="J3018">
        <v>12</v>
      </c>
      <c r="K3018" t="s">
        <v>60</v>
      </c>
      <c r="L3018" t="s">
        <v>13</v>
      </c>
      <c r="M3018" t="s">
        <v>32</v>
      </c>
      <c r="N3018" t="s">
        <v>33</v>
      </c>
    </row>
    <row r="3019" spans="1:14" x14ac:dyDescent="0.25">
      <c r="A3019">
        <v>25237</v>
      </c>
      <c r="B3019">
        <v>11107</v>
      </c>
      <c r="C3019">
        <f>1/COUNTIF(B:B,pizza_sales[[#This Row],[order_id]])</f>
        <v>0.5</v>
      </c>
      <c r="D3019" t="s">
        <v>44</v>
      </c>
      <c r="E3019">
        <v>1</v>
      </c>
      <c r="F3019" s="1">
        <v>42101</v>
      </c>
      <c r="G3019" s="1" t="str">
        <f>TEXT(pizza_sales[[#This Row],[order_date]],"dddd")</f>
        <v>Tuesday</v>
      </c>
      <c r="H3019" s="2">
        <v>0.89067129629629627</v>
      </c>
      <c r="I3019">
        <v>9.75</v>
      </c>
      <c r="J3019">
        <v>9.75</v>
      </c>
      <c r="K3019" t="s">
        <v>60</v>
      </c>
      <c r="L3019" t="s">
        <v>13</v>
      </c>
      <c r="M3019" t="s">
        <v>26</v>
      </c>
      <c r="N3019" t="s">
        <v>27</v>
      </c>
    </row>
    <row r="3020" spans="1:14" x14ac:dyDescent="0.25">
      <c r="A3020">
        <v>25239</v>
      </c>
      <c r="B3020">
        <v>11108</v>
      </c>
      <c r="C3020">
        <f>1/COUNTIF(B:B,pizza_sales[[#This Row],[order_id]])</f>
        <v>1</v>
      </c>
      <c r="D3020" t="s">
        <v>50</v>
      </c>
      <c r="E3020">
        <v>1</v>
      </c>
      <c r="F3020" s="1">
        <v>42101</v>
      </c>
      <c r="G3020" s="1" t="str">
        <f>TEXT(pizza_sales[[#This Row],[order_date]],"dddd")</f>
        <v>Tuesday</v>
      </c>
      <c r="H3020" s="2">
        <v>0.89218750000000002</v>
      </c>
      <c r="I3020">
        <v>16</v>
      </c>
      <c r="J3020">
        <v>16</v>
      </c>
      <c r="K3020" t="s">
        <v>59</v>
      </c>
      <c r="L3020" t="s">
        <v>13</v>
      </c>
      <c r="M3020" t="s">
        <v>32</v>
      </c>
      <c r="N3020" t="s">
        <v>33</v>
      </c>
    </row>
    <row r="3021" spans="1:14" x14ac:dyDescent="0.25">
      <c r="A3021">
        <v>25244</v>
      </c>
      <c r="B3021">
        <v>11109</v>
      </c>
      <c r="C3021">
        <f>1/COUNTIF(B:B,pizza_sales[[#This Row],[order_id]])</f>
        <v>1</v>
      </c>
      <c r="D3021" t="s">
        <v>45</v>
      </c>
      <c r="E3021">
        <v>1</v>
      </c>
      <c r="F3021" s="1">
        <v>42101</v>
      </c>
      <c r="G3021" s="1" t="str">
        <f>TEXT(pizza_sales[[#This Row],[order_date]],"dddd")</f>
        <v>Tuesday</v>
      </c>
      <c r="H3021" s="2">
        <v>0.89317129629629632</v>
      </c>
      <c r="I3021">
        <v>10.5</v>
      </c>
      <c r="J3021">
        <v>10.5</v>
      </c>
      <c r="K3021" t="s">
        <v>60</v>
      </c>
      <c r="L3021" t="s">
        <v>13</v>
      </c>
      <c r="M3021" t="s">
        <v>14</v>
      </c>
      <c r="N3021" t="s">
        <v>15</v>
      </c>
    </row>
    <row r="3022" spans="1:14" x14ac:dyDescent="0.25">
      <c r="A3022">
        <v>25245</v>
      </c>
      <c r="B3022">
        <v>11110</v>
      </c>
      <c r="C3022">
        <f>1/COUNTIF(B:B,pizza_sales[[#This Row],[order_id]])</f>
        <v>1</v>
      </c>
      <c r="D3022" t="s">
        <v>56</v>
      </c>
      <c r="E3022">
        <v>1</v>
      </c>
      <c r="F3022" s="1">
        <v>42101</v>
      </c>
      <c r="G3022" s="1" t="str">
        <f>TEXT(pizza_sales[[#This Row],[order_date]],"dddd")</f>
        <v>Tuesday</v>
      </c>
      <c r="H3022" s="2">
        <v>0.89534722222222218</v>
      </c>
      <c r="I3022">
        <v>20.25</v>
      </c>
      <c r="J3022">
        <v>20.25</v>
      </c>
      <c r="K3022" t="s">
        <v>58</v>
      </c>
      <c r="L3022" t="s">
        <v>35</v>
      </c>
      <c r="M3022" t="s">
        <v>36</v>
      </c>
      <c r="N3022" t="s">
        <v>37</v>
      </c>
    </row>
    <row r="3023" spans="1:14" x14ac:dyDescent="0.25">
      <c r="A3023">
        <v>25252</v>
      </c>
      <c r="B3023">
        <v>11114</v>
      </c>
      <c r="C3023">
        <f>1/COUNTIF(B:B,pizza_sales[[#This Row],[order_id]])</f>
        <v>1</v>
      </c>
      <c r="D3023" t="s">
        <v>28</v>
      </c>
      <c r="E3023">
        <v>1</v>
      </c>
      <c r="F3023" s="1">
        <v>42101</v>
      </c>
      <c r="G3023" s="1" t="str">
        <f>TEXT(pizza_sales[[#This Row],[order_date]],"dddd")</f>
        <v>Tuesday</v>
      </c>
      <c r="H3023" s="2">
        <v>0.91560185185185183</v>
      </c>
      <c r="I3023">
        <v>12</v>
      </c>
      <c r="J3023">
        <v>12</v>
      </c>
      <c r="K3023" t="s">
        <v>60</v>
      </c>
      <c r="L3023" t="s">
        <v>13</v>
      </c>
      <c r="M3023" t="s">
        <v>29</v>
      </c>
      <c r="N3023" t="s">
        <v>30</v>
      </c>
    </row>
    <row r="3024" spans="1:14" x14ac:dyDescent="0.25">
      <c r="A3024">
        <v>25255</v>
      </c>
      <c r="B3024">
        <v>11115</v>
      </c>
      <c r="C3024">
        <f>1/COUNTIF(B:B,pizza_sales[[#This Row],[order_id]])</f>
        <v>0.5</v>
      </c>
      <c r="D3024" t="s">
        <v>12</v>
      </c>
      <c r="E3024">
        <v>1</v>
      </c>
      <c r="F3024" s="1">
        <v>42101</v>
      </c>
      <c r="G3024" s="1" t="str">
        <f>TEXT(pizza_sales[[#This Row],[order_date]],"dddd")</f>
        <v>Tuesday</v>
      </c>
      <c r="H3024" s="2">
        <v>0.91819444444444442</v>
      </c>
      <c r="I3024">
        <v>13.25</v>
      </c>
      <c r="J3024">
        <v>13.25</v>
      </c>
      <c r="K3024" t="s">
        <v>59</v>
      </c>
      <c r="L3024" t="s">
        <v>13</v>
      </c>
      <c r="M3024" t="s">
        <v>14</v>
      </c>
      <c r="N3024" t="s">
        <v>15</v>
      </c>
    </row>
    <row r="3025" spans="1:14" x14ac:dyDescent="0.25">
      <c r="A3025">
        <v>25256</v>
      </c>
      <c r="B3025">
        <v>11115</v>
      </c>
      <c r="C3025">
        <f>1/COUNTIF(B:B,pizza_sales[[#This Row],[order_id]])</f>
        <v>0.5</v>
      </c>
      <c r="D3025" t="s">
        <v>25</v>
      </c>
      <c r="E3025">
        <v>1</v>
      </c>
      <c r="F3025" s="1">
        <v>42101</v>
      </c>
      <c r="G3025" s="1" t="str">
        <f>TEXT(pizza_sales[[#This Row],[order_date]],"dddd")</f>
        <v>Tuesday</v>
      </c>
      <c r="H3025" s="2">
        <v>0.91819444444444442</v>
      </c>
      <c r="I3025">
        <v>15.25</v>
      </c>
      <c r="J3025">
        <v>15.25</v>
      </c>
      <c r="K3025" t="s">
        <v>58</v>
      </c>
      <c r="L3025" t="s">
        <v>13</v>
      </c>
      <c r="M3025" t="s">
        <v>26</v>
      </c>
      <c r="N3025" t="s">
        <v>27</v>
      </c>
    </row>
    <row r="3026" spans="1:14" x14ac:dyDescent="0.25">
      <c r="A3026">
        <v>25258</v>
      </c>
      <c r="B3026">
        <v>11116</v>
      </c>
      <c r="C3026">
        <f>1/COUNTIF(B:B,pizza_sales[[#This Row],[order_id]])</f>
        <v>1</v>
      </c>
      <c r="D3026" t="s">
        <v>42</v>
      </c>
      <c r="E3026">
        <v>1</v>
      </c>
      <c r="F3026" s="1">
        <v>42101</v>
      </c>
      <c r="G3026" s="1" t="str">
        <f>TEXT(pizza_sales[[#This Row],[order_date]],"dddd")</f>
        <v>Tuesday</v>
      </c>
      <c r="H3026" s="2">
        <v>0.92087962962962966</v>
      </c>
      <c r="I3026">
        <v>12.5</v>
      </c>
      <c r="J3026">
        <v>12.5</v>
      </c>
      <c r="K3026" t="s">
        <v>59</v>
      </c>
      <c r="L3026" t="s">
        <v>13</v>
      </c>
      <c r="M3026" t="s">
        <v>26</v>
      </c>
      <c r="N3026" t="s">
        <v>27</v>
      </c>
    </row>
    <row r="3027" spans="1:14" x14ac:dyDescent="0.25">
      <c r="A3027">
        <v>25263</v>
      </c>
      <c r="B3027">
        <v>11118</v>
      </c>
      <c r="C3027">
        <f>1/COUNTIF(B:B,pizza_sales[[#This Row],[order_id]])</f>
        <v>1</v>
      </c>
      <c r="D3027" t="s">
        <v>23</v>
      </c>
      <c r="E3027">
        <v>1</v>
      </c>
      <c r="F3027" s="1">
        <v>42101</v>
      </c>
      <c r="G3027" s="1" t="str">
        <f>TEXT(pizza_sales[[#This Row],[order_date]],"dddd")</f>
        <v>Tuesday</v>
      </c>
      <c r="H3027" s="2">
        <v>0.93530092592592595</v>
      </c>
      <c r="I3027">
        <v>12</v>
      </c>
      <c r="J3027">
        <v>12</v>
      </c>
      <c r="K3027" t="s">
        <v>60</v>
      </c>
      <c r="L3027" t="s">
        <v>17</v>
      </c>
      <c r="M3027" t="s">
        <v>18</v>
      </c>
      <c r="N3027" t="s">
        <v>19</v>
      </c>
    </row>
    <row r="3028" spans="1:14" x14ac:dyDescent="0.25">
      <c r="A3028">
        <v>25265</v>
      </c>
      <c r="B3028">
        <v>11119</v>
      </c>
      <c r="C3028">
        <f>1/COUNTIF(B:B,pizza_sales[[#This Row],[order_id]])</f>
        <v>0.33333333333333331</v>
      </c>
      <c r="D3028" t="s">
        <v>51</v>
      </c>
      <c r="E3028">
        <v>1</v>
      </c>
      <c r="F3028" s="1">
        <v>42101</v>
      </c>
      <c r="G3028" s="1" t="str">
        <f>TEXT(pizza_sales[[#This Row],[order_date]],"dddd")</f>
        <v>Tuesday</v>
      </c>
      <c r="H3028" s="2">
        <v>0.9406944444444445</v>
      </c>
      <c r="I3028">
        <v>23.65</v>
      </c>
      <c r="J3028">
        <v>23.65</v>
      </c>
      <c r="K3028" t="s">
        <v>60</v>
      </c>
      <c r="L3028" t="s">
        <v>35</v>
      </c>
      <c r="M3028" t="s">
        <v>52</v>
      </c>
      <c r="N3028" t="s">
        <v>53</v>
      </c>
    </row>
    <row r="3029" spans="1:14" x14ac:dyDescent="0.25">
      <c r="A3029">
        <v>25266</v>
      </c>
      <c r="B3029">
        <v>11119</v>
      </c>
      <c r="C3029">
        <f>1/COUNTIF(B:B,pizza_sales[[#This Row],[order_id]])</f>
        <v>0.33333333333333331</v>
      </c>
      <c r="D3029" t="s">
        <v>24</v>
      </c>
      <c r="E3029">
        <v>1</v>
      </c>
      <c r="F3029" s="1">
        <v>42101</v>
      </c>
      <c r="G3029" s="1" t="str">
        <f>TEXT(pizza_sales[[#This Row],[order_date]],"dddd")</f>
        <v>Tuesday</v>
      </c>
      <c r="H3029" s="2">
        <v>0.9406944444444445</v>
      </c>
      <c r="I3029">
        <v>20.25</v>
      </c>
      <c r="J3029">
        <v>20.25</v>
      </c>
      <c r="K3029" t="s">
        <v>58</v>
      </c>
      <c r="L3029" t="s">
        <v>17</v>
      </c>
      <c r="M3029" t="s">
        <v>18</v>
      </c>
      <c r="N3029" t="s">
        <v>19</v>
      </c>
    </row>
    <row r="3030" spans="1:14" x14ac:dyDescent="0.25">
      <c r="A3030">
        <v>25267</v>
      </c>
      <c r="B3030">
        <v>11119</v>
      </c>
      <c r="C3030">
        <f>1/COUNTIF(B:B,pizza_sales[[#This Row],[order_id]])</f>
        <v>0.33333333333333331</v>
      </c>
      <c r="D3030" t="s">
        <v>23</v>
      </c>
      <c r="E3030">
        <v>1</v>
      </c>
      <c r="F3030" s="1">
        <v>42101</v>
      </c>
      <c r="G3030" s="1" t="str">
        <f>TEXT(pizza_sales[[#This Row],[order_date]],"dddd")</f>
        <v>Tuesday</v>
      </c>
      <c r="H3030" s="2">
        <v>0.9406944444444445</v>
      </c>
      <c r="I3030">
        <v>12</v>
      </c>
      <c r="J3030">
        <v>12</v>
      </c>
      <c r="K3030" t="s">
        <v>60</v>
      </c>
      <c r="L3030" t="s">
        <v>17</v>
      </c>
      <c r="M3030" t="s">
        <v>18</v>
      </c>
      <c r="N3030" t="s">
        <v>19</v>
      </c>
    </row>
    <row r="3031" spans="1:14" x14ac:dyDescent="0.25">
      <c r="A3031">
        <v>25278</v>
      </c>
      <c r="B3031">
        <v>11125</v>
      </c>
      <c r="C3031">
        <f>1/COUNTIF(B:B,pizza_sales[[#This Row],[order_id]])</f>
        <v>1</v>
      </c>
      <c r="D3031" t="s">
        <v>50</v>
      </c>
      <c r="E3031">
        <v>1</v>
      </c>
      <c r="F3031" s="1">
        <v>42131</v>
      </c>
      <c r="G3031" s="1" t="str">
        <f>TEXT(pizza_sales[[#This Row],[order_date]],"dddd")</f>
        <v>Thursday</v>
      </c>
      <c r="H3031" s="2">
        <v>0.515162037037037</v>
      </c>
      <c r="I3031">
        <v>16</v>
      </c>
      <c r="J3031">
        <v>16</v>
      </c>
      <c r="K3031" t="s">
        <v>59</v>
      </c>
      <c r="L3031" t="s">
        <v>13</v>
      </c>
      <c r="M3031" t="s">
        <v>32</v>
      </c>
      <c r="N3031" t="s">
        <v>33</v>
      </c>
    </row>
    <row r="3032" spans="1:14" x14ac:dyDescent="0.25">
      <c r="A3032">
        <v>25280</v>
      </c>
      <c r="B3032">
        <v>11126</v>
      </c>
      <c r="C3032">
        <f>1/COUNTIF(B:B,pizza_sales[[#This Row],[order_id]])</f>
        <v>0.5</v>
      </c>
      <c r="D3032" t="s">
        <v>25</v>
      </c>
      <c r="E3032">
        <v>1</v>
      </c>
      <c r="F3032" s="1">
        <v>42131</v>
      </c>
      <c r="G3032" s="1" t="str">
        <f>TEXT(pizza_sales[[#This Row],[order_date]],"dddd")</f>
        <v>Thursday</v>
      </c>
      <c r="H3032" s="2">
        <v>0.52709490740740739</v>
      </c>
      <c r="I3032">
        <v>15.25</v>
      </c>
      <c r="J3032">
        <v>15.25</v>
      </c>
      <c r="K3032" t="s">
        <v>58</v>
      </c>
      <c r="L3032" t="s">
        <v>13</v>
      </c>
      <c r="M3032" t="s">
        <v>26</v>
      </c>
      <c r="N3032" t="s">
        <v>27</v>
      </c>
    </row>
    <row r="3033" spans="1:14" x14ac:dyDescent="0.25">
      <c r="A3033">
        <v>25281</v>
      </c>
      <c r="B3033">
        <v>11126</v>
      </c>
      <c r="C3033">
        <f>1/COUNTIF(B:B,pizza_sales[[#This Row],[order_id]])</f>
        <v>0.5</v>
      </c>
      <c r="D3033" t="s">
        <v>20</v>
      </c>
      <c r="E3033">
        <v>1</v>
      </c>
      <c r="F3033" s="1">
        <v>42131</v>
      </c>
      <c r="G3033" s="1" t="str">
        <f>TEXT(pizza_sales[[#This Row],[order_date]],"dddd")</f>
        <v>Thursday</v>
      </c>
      <c r="H3033" s="2">
        <v>0.52709490740740739</v>
      </c>
      <c r="I3033">
        <v>12</v>
      </c>
      <c r="J3033">
        <v>12</v>
      </c>
      <c r="K3033" t="s">
        <v>60</v>
      </c>
      <c r="L3033" t="s">
        <v>13</v>
      </c>
      <c r="M3033" t="s">
        <v>21</v>
      </c>
      <c r="N3033" t="s">
        <v>22</v>
      </c>
    </row>
    <row r="3034" spans="1:14" x14ac:dyDescent="0.25">
      <c r="A3034">
        <v>25282</v>
      </c>
      <c r="B3034">
        <v>11127</v>
      </c>
      <c r="C3034">
        <f>1/COUNTIF(B:B,pizza_sales[[#This Row],[order_id]])</f>
        <v>1</v>
      </c>
      <c r="D3034" t="s">
        <v>24</v>
      </c>
      <c r="E3034">
        <v>1</v>
      </c>
      <c r="F3034" s="1">
        <v>42131</v>
      </c>
      <c r="G3034" s="1" t="str">
        <f>TEXT(pizza_sales[[#This Row],[order_date]],"dddd")</f>
        <v>Thursday</v>
      </c>
      <c r="H3034" s="2">
        <v>0.53413194444444445</v>
      </c>
      <c r="I3034">
        <v>20.25</v>
      </c>
      <c r="J3034">
        <v>20.25</v>
      </c>
      <c r="K3034" t="s">
        <v>58</v>
      </c>
      <c r="L3034" t="s">
        <v>17</v>
      </c>
      <c r="M3034" t="s">
        <v>18</v>
      </c>
      <c r="N3034" t="s">
        <v>19</v>
      </c>
    </row>
    <row r="3035" spans="1:14" x14ac:dyDescent="0.25">
      <c r="A3035">
        <v>25284</v>
      </c>
      <c r="B3035">
        <v>11128</v>
      </c>
      <c r="C3035">
        <f>1/COUNTIF(B:B,pizza_sales[[#This Row],[order_id]])</f>
        <v>0.16666666666666666</v>
      </c>
      <c r="D3035" t="s">
        <v>56</v>
      </c>
      <c r="E3035">
        <v>1</v>
      </c>
      <c r="F3035" s="1">
        <v>42131</v>
      </c>
      <c r="G3035" s="1" t="str">
        <f>TEXT(pizza_sales[[#This Row],[order_date]],"dddd")</f>
        <v>Thursday</v>
      </c>
      <c r="H3035" s="2">
        <v>0.5342824074074074</v>
      </c>
      <c r="I3035">
        <v>20.25</v>
      </c>
      <c r="J3035">
        <v>20.25</v>
      </c>
      <c r="K3035" t="s">
        <v>58</v>
      </c>
      <c r="L3035" t="s">
        <v>35</v>
      </c>
      <c r="M3035" t="s">
        <v>36</v>
      </c>
      <c r="N3035" t="s">
        <v>37</v>
      </c>
    </row>
    <row r="3036" spans="1:14" x14ac:dyDescent="0.25">
      <c r="A3036">
        <v>25285</v>
      </c>
      <c r="B3036">
        <v>11128</v>
      </c>
      <c r="C3036">
        <f>1/COUNTIF(B:B,pizza_sales[[#This Row],[order_id]])</f>
        <v>0.16666666666666666</v>
      </c>
      <c r="D3036" t="s">
        <v>12</v>
      </c>
      <c r="E3036">
        <v>1</v>
      </c>
      <c r="F3036" s="1">
        <v>42131</v>
      </c>
      <c r="G3036" s="1" t="str">
        <f>TEXT(pizza_sales[[#This Row],[order_date]],"dddd")</f>
        <v>Thursday</v>
      </c>
      <c r="H3036" s="2">
        <v>0.5342824074074074</v>
      </c>
      <c r="I3036">
        <v>13.25</v>
      </c>
      <c r="J3036">
        <v>13.25</v>
      </c>
      <c r="K3036" t="s">
        <v>59</v>
      </c>
      <c r="L3036" t="s">
        <v>13</v>
      </c>
      <c r="M3036" t="s">
        <v>14</v>
      </c>
      <c r="N3036" t="s">
        <v>15</v>
      </c>
    </row>
    <row r="3037" spans="1:14" x14ac:dyDescent="0.25">
      <c r="A3037">
        <v>25288</v>
      </c>
      <c r="B3037">
        <v>11128</v>
      </c>
      <c r="C3037">
        <f>1/COUNTIF(B:B,pizza_sales[[#This Row],[order_id]])</f>
        <v>0.16666666666666666</v>
      </c>
      <c r="D3037" t="s">
        <v>25</v>
      </c>
      <c r="E3037">
        <v>1</v>
      </c>
      <c r="F3037" s="1">
        <v>42131</v>
      </c>
      <c r="G3037" s="1" t="str">
        <f>TEXT(pizza_sales[[#This Row],[order_date]],"dddd")</f>
        <v>Thursday</v>
      </c>
      <c r="H3037" s="2">
        <v>0.5342824074074074</v>
      </c>
      <c r="I3037">
        <v>15.25</v>
      </c>
      <c r="J3037">
        <v>15.25</v>
      </c>
      <c r="K3037" t="s">
        <v>58</v>
      </c>
      <c r="L3037" t="s">
        <v>13</v>
      </c>
      <c r="M3037" t="s">
        <v>26</v>
      </c>
      <c r="N3037" t="s">
        <v>27</v>
      </c>
    </row>
    <row r="3038" spans="1:14" x14ac:dyDescent="0.25">
      <c r="A3038">
        <v>25290</v>
      </c>
      <c r="B3038">
        <v>11128</v>
      </c>
      <c r="C3038">
        <f>1/COUNTIF(B:B,pizza_sales[[#This Row],[order_id]])</f>
        <v>0.16666666666666666</v>
      </c>
      <c r="D3038" t="s">
        <v>39</v>
      </c>
      <c r="E3038">
        <v>1</v>
      </c>
      <c r="F3038" s="1">
        <v>42131</v>
      </c>
      <c r="G3038" s="1" t="str">
        <f>TEXT(pizza_sales[[#This Row],[order_date]],"dddd")</f>
        <v>Thursday</v>
      </c>
      <c r="H3038" s="2">
        <v>0.5342824074074074</v>
      </c>
      <c r="I3038">
        <v>20.25</v>
      </c>
      <c r="J3038">
        <v>20.25</v>
      </c>
      <c r="K3038" t="s">
        <v>58</v>
      </c>
      <c r="L3038" t="s">
        <v>35</v>
      </c>
      <c r="M3038" t="s">
        <v>40</v>
      </c>
      <c r="N3038" t="s">
        <v>41</v>
      </c>
    </row>
    <row r="3039" spans="1:14" x14ac:dyDescent="0.25">
      <c r="A3039">
        <v>25293</v>
      </c>
      <c r="B3039">
        <v>11128</v>
      </c>
      <c r="C3039">
        <f>1/COUNTIF(B:B,pizza_sales[[#This Row],[order_id]])</f>
        <v>0.16666666666666666</v>
      </c>
      <c r="D3039" t="s">
        <v>55</v>
      </c>
      <c r="E3039">
        <v>1</v>
      </c>
      <c r="F3039" s="1">
        <v>42131</v>
      </c>
      <c r="G3039" s="1" t="str">
        <f>TEXT(pizza_sales[[#This Row],[order_date]],"dddd")</f>
        <v>Thursday</v>
      </c>
      <c r="H3039" s="2">
        <v>0.5342824074074074</v>
      </c>
      <c r="I3039">
        <v>20.5</v>
      </c>
      <c r="J3039">
        <v>20.5</v>
      </c>
      <c r="K3039" t="s">
        <v>58</v>
      </c>
      <c r="L3039" t="s">
        <v>13</v>
      </c>
      <c r="M3039" t="s">
        <v>21</v>
      </c>
      <c r="N3039" t="s">
        <v>22</v>
      </c>
    </row>
    <row r="3040" spans="1:14" x14ac:dyDescent="0.25">
      <c r="A3040">
        <v>25294</v>
      </c>
      <c r="B3040">
        <v>11128</v>
      </c>
      <c r="C3040">
        <f>1/COUNTIF(B:B,pizza_sales[[#This Row],[order_id]])</f>
        <v>0.16666666666666666</v>
      </c>
      <c r="D3040" t="s">
        <v>49</v>
      </c>
      <c r="E3040">
        <v>1</v>
      </c>
      <c r="F3040" s="1">
        <v>42131</v>
      </c>
      <c r="G3040" s="1" t="str">
        <f>TEXT(pizza_sales[[#This Row],[order_date]],"dddd")</f>
        <v>Thursday</v>
      </c>
      <c r="H3040" s="2">
        <v>0.5342824074074074</v>
      </c>
      <c r="I3040">
        <v>16</v>
      </c>
      <c r="J3040">
        <v>16</v>
      </c>
      <c r="K3040" t="s">
        <v>59</v>
      </c>
      <c r="L3040" t="s">
        <v>13</v>
      </c>
      <c r="M3040" t="s">
        <v>21</v>
      </c>
      <c r="N3040" t="s">
        <v>22</v>
      </c>
    </row>
    <row r="3041" spans="1:14" x14ac:dyDescent="0.25">
      <c r="A3041">
        <v>25295</v>
      </c>
      <c r="B3041">
        <v>11129</v>
      </c>
      <c r="C3041">
        <f>1/COUNTIF(B:B,pizza_sales[[#This Row],[order_id]])</f>
        <v>1</v>
      </c>
      <c r="D3041" t="s">
        <v>39</v>
      </c>
      <c r="E3041">
        <v>1</v>
      </c>
      <c r="F3041" s="1">
        <v>42131</v>
      </c>
      <c r="G3041" s="1" t="str">
        <f>TEXT(pizza_sales[[#This Row],[order_date]],"dddd")</f>
        <v>Thursday</v>
      </c>
      <c r="H3041" s="2">
        <v>0.54262731481481485</v>
      </c>
      <c r="I3041">
        <v>20.25</v>
      </c>
      <c r="J3041">
        <v>20.25</v>
      </c>
      <c r="K3041" t="s">
        <v>58</v>
      </c>
      <c r="L3041" t="s">
        <v>35</v>
      </c>
      <c r="M3041" t="s">
        <v>40</v>
      </c>
      <c r="N3041" t="s">
        <v>41</v>
      </c>
    </row>
    <row r="3042" spans="1:14" x14ac:dyDescent="0.25">
      <c r="A3042">
        <v>25296</v>
      </c>
      <c r="B3042">
        <v>11130</v>
      </c>
      <c r="C3042">
        <f>1/COUNTIF(B:B,pizza_sales[[#This Row],[order_id]])</f>
        <v>1</v>
      </c>
      <c r="D3042" t="s">
        <v>43</v>
      </c>
      <c r="E3042">
        <v>1</v>
      </c>
      <c r="F3042" s="1">
        <v>42131</v>
      </c>
      <c r="G3042" s="1" t="str">
        <f>TEXT(pizza_sales[[#This Row],[order_date]],"dddd")</f>
        <v>Thursday</v>
      </c>
      <c r="H3042" s="2">
        <v>0.54283564814814811</v>
      </c>
      <c r="I3042">
        <v>16.25</v>
      </c>
      <c r="J3042">
        <v>16.25</v>
      </c>
      <c r="K3042" t="s">
        <v>59</v>
      </c>
      <c r="L3042" t="s">
        <v>35</v>
      </c>
      <c r="M3042" t="s">
        <v>40</v>
      </c>
      <c r="N3042" t="s">
        <v>41</v>
      </c>
    </row>
    <row r="3043" spans="1:14" x14ac:dyDescent="0.25">
      <c r="A3043">
        <v>25297</v>
      </c>
      <c r="B3043">
        <v>11131</v>
      </c>
      <c r="C3043">
        <f>1/COUNTIF(B:B,pizza_sales[[#This Row],[order_id]])</f>
        <v>1</v>
      </c>
      <c r="D3043" t="s">
        <v>28</v>
      </c>
      <c r="E3043">
        <v>1</v>
      </c>
      <c r="F3043" s="1">
        <v>42131</v>
      </c>
      <c r="G3043" s="1" t="str">
        <f>TEXT(pizza_sales[[#This Row],[order_date]],"dddd")</f>
        <v>Thursday</v>
      </c>
      <c r="H3043" s="2">
        <v>0.55185185185185182</v>
      </c>
      <c r="I3043">
        <v>12</v>
      </c>
      <c r="J3043">
        <v>12</v>
      </c>
      <c r="K3043" t="s">
        <v>60</v>
      </c>
      <c r="L3043" t="s">
        <v>13</v>
      </c>
      <c r="M3043" t="s">
        <v>29</v>
      </c>
      <c r="N3043" t="s">
        <v>30</v>
      </c>
    </row>
    <row r="3044" spans="1:14" x14ac:dyDescent="0.25">
      <c r="A3044">
        <v>25300</v>
      </c>
      <c r="B3044">
        <v>11134</v>
      </c>
      <c r="C3044">
        <f>1/COUNTIF(B:B,pizza_sales[[#This Row],[order_id]])</f>
        <v>0.5</v>
      </c>
      <c r="D3044" t="s">
        <v>28</v>
      </c>
      <c r="E3044">
        <v>1</v>
      </c>
      <c r="F3044" s="1">
        <v>42131</v>
      </c>
      <c r="G3044" s="1" t="str">
        <f>TEXT(pizza_sales[[#This Row],[order_date]],"dddd")</f>
        <v>Thursday</v>
      </c>
      <c r="H3044" s="2">
        <v>0.59726851851851848</v>
      </c>
      <c r="I3044">
        <v>12</v>
      </c>
      <c r="J3044">
        <v>12</v>
      </c>
      <c r="K3044" t="s">
        <v>60</v>
      </c>
      <c r="L3044" t="s">
        <v>13</v>
      </c>
      <c r="M3044" t="s">
        <v>29</v>
      </c>
      <c r="N3044" t="s">
        <v>30</v>
      </c>
    </row>
    <row r="3045" spans="1:14" x14ac:dyDescent="0.25">
      <c r="A3045">
        <v>25301</v>
      </c>
      <c r="B3045">
        <v>11134</v>
      </c>
      <c r="C3045">
        <f>1/COUNTIF(B:B,pizza_sales[[#This Row],[order_id]])</f>
        <v>0.5</v>
      </c>
      <c r="D3045" t="s">
        <v>34</v>
      </c>
      <c r="E3045">
        <v>1</v>
      </c>
      <c r="F3045" s="1">
        <v>42131</v>
      </c>
      <c r="G3045" s="1" t="str">
        <f>TEXT(pizza_sales[[#This Row],[order_date]],"dddd")</f>
        <v>Thursday</v>
      </c>
      <c r="H3045" s="2">
        <v>0.59726851851851848</v>
      </c>
      <c r="I3045">
        <v>16.25</v>
      </c>
      <c r="J3045">
        <v>16.25</v>
      </c>
      <c r="K3045" t="s">
        <v>59</v>
      </c>
      <c r="L3045" t="s">
        <v>35</v>
      </c>
      <c r="M3045" t="s">
        <v>36</v>
      </c>
      <c r="N3045" t="s">
        <v>37</v>
      </c>
    </row>
    <row r="3046" spans="1:14" x14ac:dyDescent="0.25">
      <c r="A3046">
        <v>25303</v>
      </c>
      <c r="B3046">
        <v>11135</v>
      </c>
      <c r="C3046">
        <f>1/COUNTIF(B:B,pizza_sales[[#This Row],[order_id]])</f>
        <v>1</v>
      </c>
      <c r="D3046" t="s">
        <v>51</v>
      </c>
      <c r="E3046">
        <v>1</v>
      </c>
      <c r="F3046" s="1">
        <v>42131</v>
      </c>
      <c r="G3046" s="1" t="str">
        <f>TEXT(pizza_sales[[#This Row],[order_date]],"dddd")</f>
        <v>Thursday</v>
      </c>
      <c r="H3046" s="2">
        <v>0.60328703703703701</v>
      </c>
      <c r="I3046">
        <v>23.65</v>
      </c>
      <c r="J3046">
        <v>23.65</v>
      </c>
      <c r="K3046" t="s">
        <v>60</v>
      </c>
      <c r="L3046" t="s">
        <v>35</v>
      </c>
      <c r="M3046" t="s">
        <v>52</v>
      </c>
      <c r="N3046" t="s">
        <v>53</v>
      </c>
    </row>
    <row r="3047" spans="1:14" x14ac:dyDescent="0.25">
      <c r="A3047">
        <v>25304</v>
      </c>
      <c r="B3047">
        <v>11136</v>
      </c>
      <c r="C3047">
        <f>1/COUNTIF(B:B,pizza_sales[[#This Row],[order_id]])</f>
        <v>1</v>
      </c>
      <c r="D3047" t="s">
        <v>48</v>
      </c>
      <c r="E3047">
        <v>1</v>
      </c>
      <c r="F3047" s="1">
        <v>42131</v>
      </c>
      <c r="G3047" s="1" t="str">
        <f>TEXT(pizza_sales[[#This Row],[order_date]],"dddd")</f>
        <v>Thursday</v>
      </c>
      <c r="H3047" s="2">
        <v>0.62524305555555559</v>
      </c>
      <c r="I3047">
        <v>12.25</v>
      </c>
      <c r="J3047">
        <v>12.25</v>
      </c>
      <c r="K3047" t="s">
        <v>60</v>
      </c>
      <c r="L3047" t="s">
        <v>35</v>
      </c>
      <c r="M3047" t="s">
        <v>40</v>
      </c>
      <c r="N3047" t="s">
        <v>41</v>
      </c>
    </row>
    <row r="3048" spans="1:14" x14ac:dyDescent="0.25">
      <c r="A3048">
        <v>25313</v>
      </c>
      <c r="B3048">
        <v>11139</v>
      </c>
      <c r="C3048">
        <f>1/COUNTIF(B:B,pizza_sales[[#This Row],[order_id]])</f>
        <v>0.5</v>
      </c>
      <c r="D3048" t="s">
        <v>39</v>
      </c>
      <c r="E3048">
        <v>1</v>
      </c>
      <c r="F3048" s="1">
        <v>42131</v>
      </c>
      <c r="G3048" s="1" t="str">
        <f>TEXT(pizza_sales[[#This Row],[order_date]],"dddd")</f>
        <v>Thursday</v>
      </c>
      <c r="H3048" s="2">
        <v>0.65252314814814816</v>
      </c>
      <c r="I3048">
        <v>20.25</v>
      </c>
      <c r="J3048">
        <v>20.25</v>
      </c>
      <c r="K3048" t="s">
        <v>58</v>
      </c>
      <c r="L3048" t="s">
        <v>35</v>
      </c>
      <c r="M3048" t="s">
        <v>40</v>
      </c>
      <c r="N3048" t="s">
        <v>41</v>
      </c>
    </row>
    <row r="3049" spans="1:14" x14ac:dyDescent="0.25">
      <c r="A3049">
        <v>25314</v>
      </c>
      <c r="B3049">
        <v>11139</v>
      </c>
      <c r="C3049">
        <f>1/COUNTIF(B:B,pizza_sales[[#This Row],[order_id]])</f>
        <v>0.5</v>
      </c>
      <c r="D3049" t="s">
        <v>43</v>
      </c>
      <c r="E3049">
        <v>1</v>
      </c>
      <c r="F3049" s="1">
        <v>42131</v>
      </c>
      <c r="G3049" s="1" t="str">
        <f>TEXT(pizza_sales[[#This Row],[order_date]],"dddd")</f>
        <v>Thursday</v>
      </c>
      <c r="H3049" s="2">
        <v>0.65252314814814816</v>
      </c>
      <c r="I3049">
        <v>16.25</v>
      </c>
      <c r="J3049">
        <v>16.25</v>
      </c>
      <c r="K3049" t="s">
        <v>59</v>
      </c>
      <c r="L3049" t="s">
        <v>35</v>
      </c>
      <c r="M3049" t="s">
        <v>40</v>
      </c>
      <c r="N3049" t="s">
        <v>41</v>
      </c>
    </row>
    <row r="3050" spans="1:14" x14ac:dyDescent="0.25">
      <c r="A3050">
        <v>25316</v>
      </c>
      <c r="B3050">
        <v>11140</v>
      </c>
      <c r="C3050">
        <f>1/COUNTIF(B:B,pizza_sales[[#This Row],[order_id]])</f>
        <v>1</v>
      </c>
      <c r="D3050" t="s">
        <v>20</v>
      </c>
      <c r="E3050">
        <v>1</v>
      </c>
      <c r="F3050" s="1">
        <v>42131</v>
      </c>
      <c r="G3050" s="1" t="str">
        <f>TEXT(pizza_sales[[#This Row],[order_date]],"dddd")</f>
        <v>Thursday</v>
      </c>
      <c r="H3050" s="2">
        <v>0.66090277777777773</v>
      </c>
      <c r="I3050">
        <v>12</v>
      </c>
      <c r="J3050">
        <v>12</v>
      </c>
      <c r="K3050" t="s">
        <v>60</v>
      </c>
      <c r="L3050" t="s">
        <v>13</v>
      </c>
      <c r="M3050" t="s">
        <v>21</v>
      </c>
      <c r="N3050" t="s">
        <v>22</v>
      </c>
    </row>
    <row r="3051" spans="1:14" x14ac:dyDescent="0.25">
      <c r="A3051">
        <v>25317</v>
      </c>
      <c r="B3051">
        <v>11141</v>
      </c>
      <c r="C3051">
        <f>1/COUNTIF(B:B,pizza_sales[[#This Row],[order_id]])</f>
        <v>1</v>
      </c>
      <c r="D3051" t="s">
        <v>56</v>
      </c>
      <c r="E3051">
        <v>1</v>
      </c>
      <c r="F3051" s="1">
        <v>42131</v>
      </c>
      <c r="G3051" s="1" t="str">
        <f>TEXT(pizza_sales[[#This Row],[order_date]],"dddd")</f>
        <v>Thursday</v>
      </c>
      <c r="H3051" s="2">
        <v>0.68285879629629631</v>
      </c>
      <c r="I3051">
        <v>20.25</v>
      </c>
      <c r="J3051">
        <v>20.25</v>
      </c>
      <c r="K3051" t="s">
        <v>58</v>
      </c>
      <c r="L3051" t="s">
        <v>35</v>
      </c>
      <c r="M3051" t="s">
        <v>36</v>
      </c>
      <c r="N3051" t="s">
        <v>37</v>
      </c>
    </row>
    <row r="3052" spans="1:14" x14ac:dyDescent="0.25">
      <c r="A3052">
        <v>25319</v>
      </c>
      <c r="B3052">
        <v>11142</v>
      </c>
      <c r="C3052">
        <f>1/COUNTIF(B:B,pizza_sales[[#This Row],[order_id]])</f>
        <v>0.33333333333333331</v>
      </c>
      <c r="D3052" t="s">
        <v>28</v>
      </c>
      <c r="E3052">
        <v>2</v>
      </c>
      <c r="F3052" s="1">
        <v>42131</v>
      </c>
      <c r="G3052" s="1" t="str">
        <f>TEXT(pizza_sales[[#This Row],[order_date]],"dddd")</f>
        <v>Thursday</v>
      </c>
      <c r="H3052" s="2">
        <v>0.70030092592592597</v>
      </c>
      <c r="I3052">
        <v>12</v>
      </c>
      <c r="J3052">
        <v>24</v>
      </c>
      <c r="K3052" t="s">
        <v>60</v>
      </c>
      <c r="L3052" t="s">
        <v>13</v>
      </c>
      <c r="M3052" t="s">
        <v>29</v>
      </c>
      <c r="N3052" t="s">
        <v>30</v>
      </c>
    </row>
    <row r="3053" spans="1:14" x14ac:dyDescent="0.25">
      <c r="A3053">
        <v>25320</v>
      </c>
      <c r="B3053">
        <v>11142</v>
      </c>
      <c r="C3053">
        <f>1/COUNTIF(B:B,pizza_sales[[#This Row],[order_id]])</f>
        <v>0.33333333333333331</v>
      </c>
      <c r="D3053" t="s">
        <v>47</v>
      </c>
      <c r="E3053">
        <v>1</v>
      </c>
      <c r="F3053" s="1">
        <v>42131</v>
      </c>
      <c r="G3053" s="1" t="str">
        <f>TEXT(pizza_sales[[#This Row],[order_date]],"dddd")</f>
        <v>Thursday</v>
      </c>
      <c r="H3053" s="2">
        <v>0.70030092592592597</v>
      </c>
      <c r="I3053">
        <v>16.5</v>
      </c>
      <c r="J3053">
        <v>16.5</v>
      </c>
      <c r="K3053" t="s">
        <v>58</v>
      </c>
      <c r="L3053" t="s">
        <v>13</v>
      </c>
      <c r="M3053" t="s">
        <v>14</v>
      </c>
      <c r="N3053" t="s">
        <v>15</v>
      </c>
    </row>
    <row r="3054" spans="1:14" x14ac:dyDescent="0.25">
      <c r="A3054">
        <v>25321</v>
      </c>
      <c r="B3054">
        <v>11142</v>
      </c>
      <c r="C3054">
        <f>1/COUNTIF(B:B,pizza_sales[[#This Row],[order_id]])</f>
        <v>0.33333333333333331</v>
      </c>
      <c r="D3054" t="s">
        <v>45</v>
      </c>
      <c r="E3054">
        <v>1</v>
      </c>
      <c r="F3054" s="1">
        <v>42131</v>
      </c>
      <c r="G3054" s="1" t="str">
        <f>TEXT(pizza_sales[[#This Row],[order_date]],"dddd")</f>
        <v>Thursday</v>
      </c>
      <c r="H3054" s="2">
        <v>0.70030092592592597</v>
      </c>
      <c r="I3054">
        <v>10.5</v>
      </c>
      <c r="J3054">
        <v>10.5</v>
      </c>
      <c r="K3054" t="s">
        <v>60</v>
      </c>
      <c r="L3054" t="s">
        <v>13</v>
      </c>
      <c r="M3054" t="s">
        <v>14</v>
      </c>
      <c r="N3054" t="s">
        <v>15</v>
      </c>
    </row>
    <row r="3055" spans="1:14" x14ac:dyDescent="0.25">
      <c r="A3055">
        <v>25324</v>
      </c>
      <c r="B3055">
        <v>11143</v>
      </c>
      <c r="C3055">
        <f>1/COUNTIF(B:B,pizza_sales[[#This Row],[order_id]])</f>
        <v>1</v>
      </c>
      <c r="D3055" t="s">
        <v>46</v>
      </c>
      <c r="E3055">
        <v>1</v>
      </c>
      <c r="F3055" s="1">
        <v>42131</v>
      </c>
      <c r="G3055" s="1" t="str">
        <f>TEXT(pizza_sales[[#This Row],[order_date]],"dddd")</f>
        <v>Thursday</v>
      </c>
      <c r="H3055" s="2">
        <v>0.71190972222222226</v>
      </c>
      <c r="I3055">
        <v>25.5</v>
      </c>
      <c r="J3055">
        <v>25.5</v>
      </c>
      <c r="K3055" t="s">
        <v>61</v>
      </c>
      <c r="L3055" t="s">
        <v>13</v>
      </c>
      <c r="M3055" t="s">
        <v>21</v>
      </c>
      <c r="N3055" t="s">
        <v>22</v>
      </c>
    </row>
    <row r="3056" spans="1:14" x14ac:dyDescent="0.25">
      <c r="A3056">
        <v>25331</v>
      </c>
      <c r="B3056">
        <v>11149</v>
      </c>
      <c r="C3056">
        <f>1/COUNTIF(B:B,pizza_sales[[#This Row],[order_id]])</f>
        <v>1</v>
      </c>
      <c r="D3056" t="s">
        <v>39</v>
      </c>
      <c r="E3056">
        <v>1</v>
      </c>
      <c r="F3056" s="1">
        <v>42131</v>
      </c>
      <c r="G3056" s="1" t="str">
        <f>TEXT(pizza_sales[[#This Row],[order_date]],"dddd")</f>
        <v>Thursday</v>
      </c>
      <c r="H3056" s="2">
        <v>0.75951388888888893</v>
      </c>
      <c r="I3056">
        <v>20.25</v>
      </c>
      <c r="J3056">
        <v>20.25</v>
      </c>
      <c r="K3056" t="s">
        <v>58</v>
      </c>
      <c r="L3056" t="s">
        <v>35</v>
      </c>
      <c r="M3056" t="s">
        <v>40</v>
      </c>
      <c r="N3056" t="s">
        <v>41</v>
      </c>
    </row>
    <row r="3057" spans="1:14" x14ac:dyDescent="0.25">
      <c r="A3057">
        <v>25336</v>
      </c>
      <c r="B3057">
        <v>11151</v>
      </c>
      <c r="C3057">
        <f>1/COUNTIF(B:B,pizza_sales[[#This Row],[order_id]])</f>
        <v>1</v>
      </c>
      <c r="D3057" t="s">
        <v>39</v>
      </c>
      <c r="E3057">
        <v>1</v>
      </c>
      <c r="F3057" s="1">
        <v>42131</v>
      </c>
      <c r="G3057" s="1" t="str">
        <f>TEXT(pizza_sales[[#This Row],[order_date]],"dddd")</f>
        <v>Thursday</v>
      </c>
      <c r="H3057" s="2">
        <v>0.7699421296296296</v>
      </c>
      <c r="I3057">
        <v>20.25</v>
      </c>
      <c r="J3057">
        <v>20.25</v>
      </c>
      <c r="K3057" t="s">
        <v>58</v>
      </c>
      <c r="L3057" t="s">
        <v>35</v>
      </c>
      <c r="M3057" t="s">
        <v>40</v>
      </c>
      <c r="N3057" t="s">
        <v>41</v>
      </c>
    </row>
    <row r="3058" spans="1:14" x14ac:dyDescent="0.25">
      <c r="A3058">
        <v>25341</v>
      </c>
      <c r="B3058">
        <v>11153</v>
      </c>
      <c r="C3058">
        <f>1/COUNTIF(B:B,pizza_sales[[#This Row],[order_id]])</f>
        <v>0.5</v>
      </c>
      <c r="D3058" t="s">
        <v>45</v>
      </c>
      <c r="E3058">
        <v>1</v>
      </c>
      <c r="F3058" s="1">
        <v>42131</v>
      </c>
      <c r="G3058" s="1" t="str">
        <f>TEXT(pizza_sales[[#This Row],[order_date]],"dddd")</f>
        <v>Thursday</v>
      </c>
      <c r="H3058" s="2">
        <v>0.79120370370370374</v>
      </c>
      <c r="I3058">
        <v>10.5</v>
      </c>
      <c r="J3058">
        <v>10.5</v>
      </c>
      <c r="K3058" t="s">
        <v>60</v>
      </c>
      <c r="L3058" t="s">
        <v>13</v>
      </c>
      <c r="M3058" t="s">
        <v>14</v>
      </c>
      <c r="N3058" t="s">
        <v>15</v>
      </c>
    </row>
    <row r="3059" spans="1:14" x14ac:dyDescent="0.25">
      <c r="A3059">
        <v>25342</v>
      </c>
      <c r="B3059">
        <v>11153</v>
      </c>
      <c r="C3059">
        <f>1/COUNTIF(B:B,pizza_sales[[#This Row],[order_id]])</f>
        <v>0.5</v>
      </c>
      <c r="D3059" t="s">
        <v>43</v>
      </c>
      <c r="E3059">
        <v>1</v>
      </c>
      <c r="F3059" s="1">
        <v>42131</v>
      </c>
      <c r="G3059" s="1" t="str">
        <f>TEXT(pizza_sales[[#This Row],[order_date]],"dddd")</f>
        <v>Thursday</v>
      </c>
      <c r="H3059" s="2">
        <v>0.79120370370370374</v>
      </c>
      <c r="I3059">
        <v>16.25</v>
      </c>
      <c r="J3059">
        <v>16.25</v>
      </c>
      <c r="K3059" t="s">
        <v>59</v>
      </c>
      <c r="L3059" t="s">
        <v>35</v>
      </c>
      <c r="M3059" t="s">
        <v>40</v>
      </c>
      <c r="N3059" t="s">
        <v>41</v>
      </c>
    </row>
    <row r="3060" spans="1:14" x14ac:dyDescent="0.25">
      <c r="A3060">
        <v>25344</v>
      </c>
      <c r="B3060">
        <v>11154</v>
      </c>
      <c r="C3060">
        <f>1/COUNTIF(B:B,pizza_sales[[#This Row],[order_id]])</f>
        <v>0.5</v>
      </c>
      <c r="D3060" t="s">
        <v>51</v>
      </c>
      <c r="E3060">
        <v>1</v>
      </c>
      <c r="F3060" s="1">
        <v>42131</v>
      </c>
      <c r="G3060" s="1" t="str">
        <f>TEXT(pizza_sales[[#This Row],[order_date]],"dddd")</f>
        <v>Thursday</v>
      </c>
      <c r="H3060" s="2">
        <v>0.81761574074074073</v>
      </c>
      <c r="I3060">
        <v>23.65</v>
      </c>
      <c r="J3060">
        <v>23.65</v>
      </c>
      <c r="K3060" t="s">
        <v>60</v>
      </c>
      <c r="L3060" t="s">
        <v>35</v>
      </c>
      <c r="M3060" t="s">
        <v>52</v>
      </c>
      <c r="N3060" t="s">
        <v>53</v>
      </c>
    </row>
    <row r="3061" spans="1:14" x14ac:dyDescent="0.25">
      <c r="A3061">
        <v>25345</v>
      </c>
      <c r="B3061">
        <v>11154</v>
      </c>
      <c r="C3061">
        <f>1/COUNTIF(B:B,pizza_sales[[#This Row],[order_id]])</f>
        <v>0.5</v>
      </c>
      <c r="D3061" t="s">
        <v>12</v>
      </c>
      <c r="E3061">
        <v>1</v>
      </c>
      <c r="F3061" s="1">
        <v>42131</v>
      </c>
      <c r="G3061" s="1" t="str">
        <f>TEXT(pizza_sales[[#This Row],[order_date]],"dddd")</f>
        <v>Thursday</v>
      </c>
      <c r="H3061" s="2">
        <v>0.81761574074074073</v>
      </c>
      <c r="I3061">
        <v>13.25</v>
      </c>
      <c r="J3061">
        <v>13.25</v>
      </c>
      <c r="K3061" t="s">
        <v>59</v>
      </c>
      <c r="L3061" t="s">
        <v>13</v>
      </c>
      <c r="M3061" t="s">
        <v>14</v>
      </c>
      <c r="N3061" t="s">
        <v>15</v>
      </c>
    </row>
    <row r="3062" spans="1:14" x14ac:dyDescent="0.25">
      <c r="A3062">
        <v>25348</v>
      </c>
      <c r="B3062">
        <v>11155</v>
      </c>
      <c r="C3062">
        <f>1/COUNTIF(B:B,pizza_sales[[#This Row],[order_id]])</f>
        <v>0.5</v>
      </c>
      <c r="D3062" t="s">
        <v>38</v>
      </c>
      <c r="E3062">
        <v>1</v>
      </c>
      <c r="F3062" s="1">
        <v>42131</v>
      </c>
      <c r="G3062" s="1" t="str">
        <f>TEXT(pizza_sales[[#This Row],[order_date]],"dddd")</f>
        <v>Thursday</v>
      </c>
      <c r="H3062" s="2">
        <v>0.8241087962962963</v>
      </c>
      <c r="I3062">
        <v>20.5</v>
      </c>
      <c r="J3062">
        <v>20.5</v>
      </c>
      <c r="K3062" t="s">
        <v>58</v>
      </c>
      <c r="L3062" t="s">
        <v>13</v>
      </c>
      <c r="M3062" t="s">
        <v>32</v>
      </c>
      <c r="N3062" t="s">
        <v>33</v>
      </c>
    </row>
    <row r="3063" spans="1:14" x14ac:dyDescent="0.25">
      <c r="A3063">
        <v>25349</v>
      </c>
      <c r="B3063">
        <v>11155</v>
      </c>
      <c r="C3063">
        <f>1/COUNTIF(B:B,pizza_sales[[#This Row],[order_id]])</f>
        <v>0.5</v>
      </c>
      <c r="D3063" t="s">
        <v>31</v>
      </c>
      <c r="E3063">
        <v>1</v>
      </c>
      <c r="F3063" s="1">
        <v>42131</v>
      </c>
      <c r="G3063" s="1" t="str">
        <f>TEXT(pizza_sales[[#This Row],[order_date]],"dddd")</f>
        <v>Thursday</v>
      </c>
      <c r="H3063" s="2">
        <v>0.8241087962962963</v>
      </c>
      <c r="I3063">
        <v>12</v>
      </c>
      <c r="J3063">
        <v>12</v>
      </c>
      <c r="K3063" t="s">
        <v>60</v>
      </c>
      <c r="L3063" t="s">
        <v>13</v>
      </c>
      <c r="M3063" t="s">
        <v>32</v>
      </c>
      <c r="N3063" t="s">
        <v>33</v>
      </c>
    </row>
    <row r="3064" spans="1:14" x14ac:dyDescent="0.25">
      <c r="A3064">
        <v>25352</v>
      </c>
      <c r="B3064">
        <v>11156</v>
      </c>
      <c r="C3064">
        <f>1/COUNTIF(B:B,pizza_sales[[#This Row],[order_id]])</f>
        <v>1</v>
      </c>
      <c r="D3064" t="s">
        <v>42</v>
      </c>
      <c r="E3064">
        <v>1</v>
      </c>
      <c r="F3064" s="1">
        <v>42131</v>
      </c>
      <c r="G3064" s="1" t="str">
        <f>TEXT(pizza_sales[[#This Row],[order_date]],"dddd")</f>
        <v>Thursday</v>
      </c>
      <c r="H3064" s="2">
        <v>0.83391203703703709</v>
      </c>
      <c r="I3064">
        <v>12.5</v>
      </c>
      <c r="J3064">
        <v>12.5</v>
      </c>
      <c r="K3064" t="s">
        <v>59</v>
      </c>
      <c r="L3064" t="s">
        <v>13</v>
      </c>
      <c r="M3064" t="s">
        <v>26</v>
      </c>
      <c r="N3064" t="s">
        <v>27</v>
      </c>
    </row>
    <row r="3065" spans="1:14" x14ac:dyDescent="0.25">
      <c r="A3065">
        <v>25353</v>
      </c>
      <c r="B3065">
        <v>11157</v>
      </c>
      <c r="C3065">
        <f>1/COUNTIF(B:B,pizza_sales[[#This Row],[order_id]])</f>
        <v>1</v>
      </c>
      <c r="D3065" t="s">
        <v>43</v>
      </c>
      <c r="E3065">
        <v>1</v>
      </c>
      <c r="F3065" s="1">
        <v>42131</v>
      </c>
      <c r="G3065" s="1" t="str">
        <f>TEXT(pizza_sales[[#This Row],[order_date]],"dddd")</f>
        <v>Thursday</v>
      </c>
      <c r="H3065" s="2">
        <v>0.83526620370370375</v>
      </c>
      <c r="I3065">
        <v>16.25</v>
      </c>
      <c r="J3065">
        <v>16.25</v>
      </c>
      <c r="K3065" t="s">
        <v>59</v>
      </c>
      <c r="L3065" t="s">
        <v>35</v>
      </c>
      <c r="M3065" t="s">
        <v>40</v>
      </c>
      <c r="N3065" t="s">
        <v>41</v>
      </c>
    </row>
    <row r="3066" spans="1:14" x14ac:dyDescent="0.25">
      <c r="A3066">
        <v>25355</v>
      </c>
      <c r="B3066">
        <v>11158</v>
      </c>
      <c r="C3066">
        <f>1/COUNTIF(B:B,pizza_sales[[#This Row],[order_id]])</f>
        <v>1</v>
      </c>
      <c r="D3066" t="s">
        <v>44</v>
      </c>
      <c r="E3066">
        <v>1</v>
      </c>
      <c r="F3066" s="1">
        <v>42131</v>
      </c>
      <c r="G3066" s="1" t="str">
        <f>TEXT(pizza_sales[[#This Row],[order_date]],"dddd")</f>
        <v>Thursday</v>
      </c>
      <c r="H3066" s="2">
        <v>0.8382060185185185</v>
      </c>
      <c r="I3066">
        <v>9.75</v>
      </c>
      <c r="J3066">
        <v>9.75</v>
      </c>
      <c r="K3066" t="s">
        <v>60</v>
      </c>
      <c r="L3066" t="s">
        <v>13</v>
      </c>
      <c r="M3066" t="s">
        <v>26</v>
      </c>
      <c r="N3066" t="s">
        <v>27</v>
      </c>
    </row>
    <row r="3067" spans="1:14" x14ac:dyDescent="0.25">
      <c r="A3067">
        <v>25358</v>
      </c>
      <c r="B3067">
        <v>11159</v>
      </c>
      <c r="C3067">
        <f>1/COUNTIF(B:B,pizza_sales[[#This Row],[order_id]])</f>
        <v>1</v>
      </c>
      <c r="D3067" t="s">
        <v>43</v>
      </c>
      <c r="E3067">
        <v>1</v>
      </c>
      <c r="F3067" s="1">
        <v>42131</v>
      </c>
      <c r="G3067" s="1" t="str">
        <f>TEXT(pizza_sales[[#This Row],[order_date]],"dddd")</f>
        <v>Thursday</v>
      </c>
      <c r="H3067" s="2">
        <v>0.83834490740740741</v>
      </c>
      <c r="I3067">
        <v>16.25</v>
      </c>
      <c r="J3067">
        <v>16.25</v>
      </c>
      <c r="K3067" t="s">
        <v>59</v>
      </c>
      <c r="L3067" t="s">
        <v>35</v>
      </c>
      <c r="M3067" t="s">
        <v>40</v>
      </c>
      <c r="N3067" t="s">
        <v>41</v>
      </c>
    </row>
    <row r="3068" spans="1:14" x14ac:dyDescent="0.25">
      <c r="A3068">
        <v>25364</v>
      </c>
      <c r="B3068">
        <v>11161</v>
      </c>
      <c r="C3068">
        <f>1/COUNTIF(B:B,pizza_sales[[#This Row],[order_id]])</f>
        <v>1</v>
      </c>
      <c r="D3068" t="s">
        <v>16</v>
      </c>
      <c r="E3068">
        <v>1</v>
      </c>
      <c r="F3068" s="1">
        <v>42131</v>
      </c>
      <c r="G3068" s="1" t="str">
        <f>TEXT(pizza_sales[[#This Row],[order_date]],"dddd")</f>
        <v>Thursday</v>
      </c>
      <c r="H3068" s="2">
        <v>0.85203703703703704</v>
      </c>
      <c r="I3068">
        <v>16</v>
      </c>
      <c r="J3068">
        <v>16</v>
      </c>
      <c r="K3068" t="s">
        <v>59</v>
      </c>
      <c r="L3068" t="s">
        <v>17</v>
      </c>
      <c r="M3068" t="s">
        <v>18</v>
      </c>
      <c r="N3068" t="s">
        <v>19</v>
      </c>
    </row>
    <row r="3069" spans="1:14" x14ac:dyDescent="0.25">
      <c r="A3069">
        <v>25368</v>
      </c>
      <c r="B3069">
        <v>11163</v>
      </c>
      <c r="C3069">
        <f>1/COUNTIF(B:B,pizza_sales[[#This Row],[order_id]])</f>
        <v>1</v>
      </c>
      <c r="D3069" t="s">
        <v>31</v>
      </c>
      <c r="E3069">
        <v>1</v>
      </c>
      <c r="F3069" s="1">
        <v>42131</v>
      </c>
      <c r="G3069" s="1" t="str">
        <f>TEXT(pizza_sales[[#This Row],[order_date]],"dddd")</f>
        <v>Thursday</v>
      </c>
      <c r="H3069" s="2">
        <v>0.89326388888888886</v>
      </c>
      <c r="I3069">
        <v>12</v>
      </c>
      <c r="J3069">
        <v>12</v>
      </c>
      <c r="K3069" t="s">
        <v>60</v>
      </c>
      <c r="L3069" t="s">
        <v>13</v>
      </c>
      <c r="M3069" t="s">
        <v>32</v>
      </c>
      <c r="N3069" t="s">
        <v>33</v>
      </c>
    </row>
    <row r="3070" spans="1:14" x14ac:dyDescent="0.25">
      <c r="A3070">
        <v>25376</v>
      </c>
      <c r="B3070">
        <v>11166</v>
      </c>
      <c r="C3070">
        <f>1/COUNTIF(B:B,pizza_sales[[#This Row],[order_id]])</f>
        <v>1</v>
      </c>
      <c r="D3070" t="s">
        <v>42</v>
      </c>
      <c r="E3070">
        <v>1</v>
      </c>
      <c r="F3070" s="1">
        <v>42162</v>
      </c>
      <c r="G3070" s="1" t="str">
        <f>TEXT(pizza_sales[[#This Row],[order_date]],"dddd")</f>
        <v>Sunday</v>
      </c>
      <c r="H3070" s="2">
        <v>0.50836805555555553</v>
      </c>
      <c r="I3070">
        <v>12.5</v>
      </c>
      <c r="J3070">
        <v>12.5</v>
      </c>
      <c r="K3070" t="s">
        <v>59</v>
      </c>
      <c r="L3070" t="s">
        <v>13</v>
      </c>
      <c r="M3070" t="s">
        <v>26</v>
      </c>
      <c r="N3070" t="s">
        <v>27</v>
      </c>
    </row>
    <row r="3071" spans="1:14" x14ac:dyDescent="0.25">
      <c r="A3071">
        <v>25378</v>
      </c>
      <c r="B3071">
        <v>11167</v>
      </c>
      <c r="C3071">
        <f>1/COUNTIF(B:B,pizza_sales[[#This Row],[order_id]])</f>
        <v>1</v>
      </c>
      <c r="D3071" t="s">
        <v>47</v>
      </c>
      <c r="E3071">
        <v>1</v>
      </c>
      <c r="F3071" s="1">
        <v>42162</v>
      </c>
      <c r="G3071" s="1" t="str">
        <f>TEXT(pizza_sales[[#This Row],[order_date]],"dddd")</f>
        <v>Sunday</v>
      </c>
      <c r="H3071" s="2">
        <v>0.5085763888888889</v>
      </c>
      <c r="I3071">
        <v>16.5</v>
      </c>
      <c r="J3071">
        <v>16.5</v>
      </c>
      <c r="K3071" t="s">
        <v>58</v>
      </c>
      <c r="L3071" t="s">
        <v>13</v>
      </c>
      <c r="M3071" t="s">
        <v>14</v>
      </c>
      <c r="N3071" t="s">
        <v>15</v>
      </c>
    </row>
    <row r="3072" spans="1:14" x14ac:dyDescent="0.25">
      <c r="A3072">
        <v>25384</v>
      </c>
      <c r="B3072">
        <v>11170</v>
      </c>
      <c r="C3072">
        <f>1/COUNTIF(B:B,pizza_sales[[#This Row],[order_id]])</f>
        <v>1</v>
      </c>
      <c r="D3072" t="s">
        <v>31</v>
      </c>
      <c r="E3072">
        <v>1</v>
      </c>
      <c r="F3072" s="1">
        <v>42162</v>
      </c>
      <c r="G3072" s="1" t="str">
        <f>TEXT(pizza_sales[[#This Row],[order_date]],"dddd")</f>
        <v>Sunday</v>
      </c>
      <c r="H3072" s="2">
        <v>0.52611111111111108</v>
      </c>
      <c r="I3072">
        <v>12</v>
      </c>
      <c r="J3072">
        <v>12</v>
      </c>
      <c r="K3072" t="s">
        <v>60</v>
      </c>
      <c r="L3072" t="s">
        <v>13</v>
      </c>
      <c r="M3072" t="s">
        <v>32</v>
      </c>
      <c r="N3072" t="s">
        <v>33</v>
      </c>
    </row>
    <row r="3073" spans="1:14" x14ac:dyDescent="0.25">
      <c r="A3073">
        <v>25385</v>
      </c>
      <c r="B3073">
        <v>11171</v>
      </c>
      <c r="C3073">
        <f>1/COUNTIF(B:B,pizza_sales[[#This Row],[order_id]])</f>
        <v>1</v>
      </c>
      <c r="D3073" t="s">
        <v>44</v>
      </c>
      <c r="E3073">
        <v>1</v>
      </c>
      <c r="F3073" s="1">
        <v>42162</v>
      </c>
      <c r="G3073" s="1" t="str">
        <f>TEXT(pizza_sales[[#This Row],[order_date]],"dddd")</f>
        <v>Sunday</v>
      </c>
      <c r="H3073" s="2">
        <v>0.52614583333333331</v>
      </c>
      <c r="I3073">
        <v>9.75</v>
      </c>
      <c r="J3073">
        <v>9.75</v>
      </c>
      <c r="K3073" t="s">
        <v>60</v>
      </c>
      <c r="L3073" t="s">
        <v>13</v>
      </c>
      <c r="M3073" t="s">
        <v>26</v>
      </c>
      <c r="N3073" t="s">
        <v>27</v>
      </c>
    </row>
    <row r="3074" spans="1:14" x14ac:dyDescent="0.25">
      <c r="A3074">
        <v>25390</v>
      </c>
      <c r="B3074">
        <v>11174</v>
      </c>
      <c r="C3074">
        <f>1/COUNTIF(B:B,pizza_sales[[#This Row],[order_id]])</f>
        <v>1</v>
      </c>
      <c r="D3074" t="s">
        <v>28</v>
      </c>
      <c r="E3074">
        <v>1</v>
      </c>
      <c r="F3074" s="1">
        <v>42162</v>
      </c>
      <c r="G3074" s="1" t="str">
        <f>TEXT(pizza_sales[[#This Row],[order_date]],"dddd")</f>
        <v>Sunday</v>
      </c>
      <c r="H3074" s="2">
        <v>0.52849537037037042</v>
      </c>
      <c r="I3074">
        <v>12</v>
      </c>
      <c r="J3074">
        <v>12</v>
      </c>
      <c r="K3074" t="s">
        <v>60</v>
      </c>
      <c r="L3074" t="s">
        <v>13</v>
      </c>
      <c r="M3074" t="s">
        <v>29</v>
      </c>
      <c r="N3074" t="s">
        <v>30</v>
      </c>
    </row>
    <row r="3075" spans="1:14" x14ac:dyDescent="0.25">
      <c r="A3075">
        <v>25399</v>
      </c>
      <c r="B3075">
        <v>11175</v>
      </c>
      <c r="C3075">
        <f>1/COUNTIF(B:B,pizza_sales[[#This Row],[order_id]])</f>
        <v>1</v>
      </c>
      <c r="D3075" t="s">
        <v>45</v>
      </c>
      <c r="E3075">
        <v>1</v>
      </c>
      <c r="F3075" s="1">
        <v>42162</v>
      </c>
      <c r="G3075" s="1" t="str">
        <f>TEXT(pizza_sales[[#This Row],[order_date]],"dddd")</f>
        <v>Sunday</v>
      </c>
      <c r="H3075" s="2">
        <v>0.52967592592592594</v>
      </c>
      <c r="I3075">
        <v>10.5</v>
      </c>
      <c r="J3075">
        <v>10.5</v>
      </c>
      <c r="K3075" t="s">
        <v>60</v>
      </c>
      <c r="L3075" t="s">
        <v>13</v>
      </c>
      <c r="M3075" t="s">
        <v>14</v>
      </c>
      <c r="N3075" t="s">
        <v>15</v>
      </c>
    </row>
    <row r="3076" spans="1:14" x14ac:dyDescent="0.25">
      <c r="A3076">
        <v>25403</v>
      </c>
      <c r="B3076">
        <v>11176</v>
      </c>
      <c r="C3076">
        <f>1/COUNTIF(B:B,pizza_sales[[#This Row],[order_id]])</f>
        <v>0.5</v>
      </c>
      <c r="D3076" t="s">
        <v>28</v>
      </c>
      <c r="E3076">
        <v>1</v>
      </c>
      <c r="F3076" s="1">
        <v>42162</v>
      </c>
      <c r="G3076" s="1" t="str">
        <f>TEXT(pizza_sales[[#This Row],[order_date]],"dddd")</f>
        <v>Sunday</v>
      </c>
      <c r="H3076" s="2">
        <v>0.53699074074074071</v>
      </c>
      <c r="I3076">
        <v>12</v>
      </c>
      <c r="J3076">
        <v>12</v>
      </c>
      <c r="K3076" t="s">
        <v>60</v>
      </c>
      <c r="L3076" t="s">
        <v>13</v>
      </c>
      <c r="M3076" t="s">
        <v>29</v>
      </c>
      <c r="N3076" t="s">
        <v>30</v>
      </c>
    </row>
    <row r="3077" spans="1:14" x14ac:dyDescent="0.25">
      <c r="A3077">
        <v>25404</v>
      </c>
      <c r="B3077">
        <v>11176</v>
      </c>
      <c r="C3077">
        <f>1/COUNTIF(B:B,pizza_sales[[#This Row],[order_id]])</f>
        <v>0.5</v>
      </c>
      <c r="D3077" t="s">
        <v>56</v>
      </c>
      <c r="E3077">
        <v>1</v>
      </c>
      <c r="F3077" s="1">
        <v>42162</v>
      </c>
      <c r="G3077" s="1" t="str">
        <f>TEXT(pizza_sales[[#This Row],[order_date]],"dddd")</f>
        <v>Sunday</v>
      </c>
      <c r="H3077" s="2">
        <v>0.53699074074074071</v>
      </c>
      <c r="I3077">
        <v>20.25</v>
      </c>
      <c r="J3077">
        <v>20.25</v>
      </c>
      <c r="K3077" t="s">
        <v>58</v>
      </c>
      <c r="L3077" t="s">
        <v>35</v>
      </c>
      <c r="M3077" t="s">
        <v>36</v>
      </c>
      <c r="N3077" t="s">
        <v>37</v>
      </c>
    </row>
    <row r="3078" spans="1:14" x14ac:dyDescent="0.25">
      <c r="A3078">
        <v>25419</v>
      </c>
      <c r="B3078">
        <v>11181</v>
      </c>
      <c r="C3078">
        <f>1/COUNTIF(B:B,pizza_sales[[#This Row],[order_id]])</f>
        <v>0.5</v>
      </c>
      <c r="D3078" t="s">
        <v>28</v>
      </c>
      <c r="E3078">
        <v>1</v>
      </c>
      <c r="F3078" s="1">
        <v>42162</v>
      </c>
      <c r="G3078" s="1" t="str">
        <f>TEXT(pizza_sales[[#This Row],[order_date]],"dddd")</f>
        <v>Sunday</v>
      </c>
      <c r="H3078" s="2">
        <v>0.56148148148148147</v>
      </c>
      <c r="I3078">
        <v>12</v>
      </c>
      <c r="J3078">
        <v>12</v>
      </c>
      <c r="K3078" t="s">
        <v>60</v>
      </c>
      <c r="L3078" t="s">
        <v>13</v>
      </c>
      <c r="M3078" t="s">
        <v>29</v>
      </c>
      <c r="N3078" t="s">
        <v>30</v>
      </c>
    </row>
    <row r="3079" spans="1:14" x14ac:dyDescent="0.25">
      <c r="A3079">
        <v>25422</v>
      </c>
      <c r="B3079">
        <v>11181</v>
      </c>
      <c r="C3079">
        <f>1/COUNTIF(B:B,pizza_sales[[#This Row],[order_id]])</f>
        <v>0.5</v>
      </c>
      <c r="D3079" t="s">
        <v>50</v>
      </c>
      <c r="E3079">
        <v>1</v>
      </c>
      <c r="F3079" s="1">
        <v>42162</v>
      </c>
      <c r="G3079" s="1" t="str">
        <f>TEXT(pizza_sales[[#This Row],[order_date]],"dddd")</f>
        <v>Sunday</v>
      </c>
      <c r="H3079" s="2">
        <v>0.56148148148148147</v>
      </c>
      <c r="I3079">
        <v>16</v>
      </c>
      <c r="J3079">
        <v>16</v>
      </c>
      <c r="K3079" t="s">
        <v>59</v>
      </c>
      <c r="L3079" t="s">
        <v>13</v>
      </c>
      <c r="M3079" t="s">
        <v>32</v>
      </c>
      <c r="N3079" t="s">
        <v>33</v>
      </c>
    </row>
    <row r="3080" spans="1:14" x14ac:dyDescent="0.25">
      <c r="A3080">
        <v>25423</v>
      </c>
      <c r="B3080">
        <v>11182</v>
      </c>
      <c r="C3080">
        <f>1/COUNTIF(B:B,pizza_sales[[#This Row],[order_id]])</f>
        <v>0.5</v>
      </c>
      <c r="D3080" t="s">
        <v>28</v>
      </c>
      <c r="E3080">
        <v>1</v>
      </c>
      <c r="F3080" s="1">
        <v>42162</v>
      </c>
      <c r="G3080" s="1" t="str">
        <f>TEXT(pizza_sales[[#This Row],[order_date]],"dddd")</f>
        <v>Sunday</v>
      </c>
      <c r="H3080" s="2">
        <v>0.56256944444444446</v>
      </c>
      <c r="I3080">
        <v>12</v>
      </c>
      <c r="J3080">
        <v>12</v>
      </c>
      <c r="K3080" t="s">
        <v>60</v>
      </c>
      <c r="L3080" t="s">
        <v>13</v>
      </c>
      <c r="M3080" t="s">
        <v>29</v>
      </c>
      <c r="N3080" t="s">
        <v>30</v>
      </c>
    </row>
    <row r="3081" spans="1:14" x14ac:dyDescent="0.25">
      <c r="A3081">
        <v>25424</v>
      </c>
      <c r="B3081">
        <v>11182</v>
      </c>
      <c r="C3081">
        <f>1/COUNTIF(B:B,pizza_sales[[#This Row],[order_id]])</f>
        <v>0.5</v>
      </c>
      <c r="D3081" t="s">
        <v>44</v>
      </c>
      <c r="E3081">
        <v>1</v>
      </c>
      <c r="F3081" s="1">
        <v>42162</v>
      </c>
      <c r="G3081" s="1" t="str">
        <f>TEXT(pizza_sales[[#This Row],[order_date]],"dddd")</f>
        <v>Sunday</v>
      </c>
      <c r="H3081" s="2">
        <v>0.56256944444444446</v>
      </c>
      <c r="I3081">
        <v>9.75</v>
      </c>
      <c r="J3081">
        <v>9.75</v>
      </c>
      <c r="K3081" t="s">
        <v>60</v>
      </c>
      <c r="L3081" t="s">
        <v>13</v>
      </c>
      <c r="M3081" t="s">
        <v>26</v>
      </c>
      <c r="N3081" t="s">
        <v>27</v>
      </c>
    </row>
    <row r="3082" spans="1:14" x14ac:dyDescent="0.25">
      <c r="A3082">
        <v>25427</v>
      </c>
      <c r="B3082">
        <v>11183</v>
      </c>
      <c r="C3082">
        <f>1/COUNTIF(B:B,pizza_sales[[#This Row],[order_id]])</f>
        <v>1</v>
      </c>
      <c r="D3082" t="s">
        <v>24</v>
      </c>
      <c r="E3082">
        <v>1</v>
      </c>
      <c r="F3082" s="1">
        <v>42162</v>
      </c>
      <c r="G3082" s="1" t="str">
        <f>TEXT(pizza_sales[[#This Row],[order_date]],"dddd")</f>
        <v>Sunday</v>
      </c>
      <c r="H3082" s="2">
        <v>0.57719907407407411</v>
      </c>
      <c r="I3082">
        <v>20.25</v>
      </c>
      <c r="J3082">
        <v>20.25</v>
      </c>
      <c r="K3082" t="s">
        <v>58</v>
      </c>
      <c r="L3082" t="s">
        <v>17</v>
      </c>
      <c r="M3082" t="s">
        <v>18</v>
      </c>
      <c r="N3082" t="s">
        <v>19</v>
      </c>
    </row>
    <row r="3083" spans="1:14" x14ac:dyDescent="0.25">
      <c r="A3083">
        <v>25436</v>
      </c>
      <c r="B3083">
        <v>11188</v>
      </c>
      <c r="C3083">
        <f>1/COUNTIF(B:B,pizza_sales[[#This Row],[order_id]])</f>
        <v>1</v>
      </c>
      <c r="D3083" t="s">
        <v>45</v>
      </c>
      <c r="E3083">
        <v>1</v>
      </c>
      <c r="F3083" s="1">
        <v>42162</v>
      </c>
      <c r="G3083" s="1" t="str">
        <f>TEXT(pizza_sales[[#This Row],[order_date]],"dddd")</f>
        <v>Sunday</v>
      </c>
      <c r="H3083" s="2">
        <v>0.59866898148148151</v>
      </c>
      <c r="I3083">
        <v>10.5</v>
      </c>
      <c r="J3083">
        <v>10.5</v>
      </c>
      <c r="K3083" t="s">
        <v>60</v>
      </c>
      <c r="L3083" t="s">
        <v>13</v>
      </c>
      <c r="M3083" t="s">
        <v>14</v>
      </c>
      <c r="N3083" t="s">
        <v>15</v>
      </c>
    </row>
    <row r="3084" spans="1:14" x14ac:dyDescent="0.25">
      <c r="A3084">
        <v>25439</v>
      </c>
      <c r="B3084">
        <v>11190</v>
      </c>
      <c r="C3084">
        <f>1/COUNTIF(B:B,pizza_sales[[#This Row],[order_id]])</f>
        <v>1</v>
      </c>
      <c r="D3084" t="s">
        <v>43</v>
      </c>
      <c r="E3084">
        <v>1</v>
      </c>
      <c r="F3084" s="1">
        <v>42162</v>
      </c>
      <c r="G3084" s="1" t="str">
        <f>TEXT(pizza_sales[[#This Row],[order_date]],"dddd")</f>
        <v>Sunday</v>
      </c>
      <c r="H3084" s="2">
        <v>0.62747685185185187</v>
      </c>
      <c r="I3084">
        <v>16.25</v>
      </c>
      <c r="J3084">
        <v>16.25</v>
      </c>
      <c r="K3084" t="s">
        <v>59</v>
      </c>
      <c r="L3084" t="s">
        <v>35</v>
      </c>
      <c r="M3084" t="s">
        <v>40</v>
      </c>
      <c r="N3084" t="s">
        <v>41</v>
      </c>
    </row>
    <row r="3085" spans="1:14" x14ac:dyDescent="0.25">
      <c r="A3085">
        <v>25441</v>
      </c>
      <c r="B3085">
        <v>11191</v>
      </c>
      <c r="C3085">
        <f>1/COUNTIF(B:B,pizza_sales[[#This Row],[order_id]])</f>
        <v>1</v>
      </c>
      <c r="D3085" t="s">
        <v>43</v>
      </c>
      <c r="E3085">
        <v>1</v>
      </c>
      <c r="F3085" s="1">
        <v>42162</v>
      </c>
      <c r="G3085" s="1" t="str">
        <f>TEXT(pizza_sales[[#This Row],[order_date]],"dddd")</f>
        <v>Sunday</v>
      </c>
      <c r="H3085" s="2">
        <v>0.64983796296296292</v>
      </c>
      <c r="I3085">
        <v>16.25</v>
      </c>
      <c r="J3085">
        <v>16.25</v>
      </c>
      <c r="K3085" t="s">
        <v>59</v>
      </c>
      <c r="L3085" t="s">
        <v>35</v>
      </c>
      <c r="M3085" t="s">
        <v>40</v>
      </c>
      <c r="N3085" t="s">
        <v>41</v>
      </c>
    </row>
    <row r="3086" spans="1:14" x14ac:dyDescent="0.25">
      <c r="A3086">
        <v>25447</v>
      </c>
      <c r="B3086">
        <v>11196</v>
      </c>
      <c r="C3086">
        <f>1/COUNTIF(B:B,pizza_sales[[#This Row],[order_id]])</f>
        <v>1</v>
      </c>
      <c r="D3086" t="s">
        <v>24</v>
      </c>
      <c r="E3086">
        <v>1</v>
      </c>
      <c r="F3086" s="1">
        <v>42162</v>
      </c>
      <c r="G3086" s="1" t="str">
        <f>TEXT(pizza_sales[[#This Row],[order_date]],"dddd")</f>
        <v>Sunday</v>
      </c>
      <c r="H3086" s="2">
        <v>0.72928240740740746</v>
      </c>
      <c r="I3086">
        <v>20.25</v>
      </c>
      <c r="J3086">
        <v>20.25</v>
      </c>
      <c r="K3086" t="s">
        <v>58</v>
      </c>
      <c r="L3086" t="s">
        <v>17</v>
      </c>
      <c r="M3086" t="s">
        <v>18</v>
      </c>
      <c r="N3086" t="s">
        <v>19</v>
      </c>
    </row>
    <row r="3087" spans="1:14" x14ac:dyDescent="0.25">
      <c r="A3087">
        <v>25448</v>
      </c>
      <c r="B3087">
        <v>11197</v>
      </c>
      <c r="C3087">
        <f>1/COUNTIF(B:B,pizza_sales[[#This Row],[order_id]])</f>
        <v>1</v>
      </c>
      <c r="D3087" t="s">
        <v>56</v>
      </c>
      <c r="E3087">
        <v>1</v>
      </c>
      <c r="F3087" s="1">
        <v>42162</v>
      </c>
      <c r="G3087" s="1" t="str">
        <f>TEXT(pizza_sales[[#This Row],[order_date]],"dddd")</f>
        <v>Sunday</v>
      </c>
      <c r="H3087" s="2">
        <v>0.7305787037037037</v>
      </c>
      <c r="I3087">
        <v>20.25</v>
      </c>
      <c r="J3087">
        <v>20.25</v>
      </c>
      <c r="K3087" t="s">
        <v>58</v>
      </c>
      <c r="L3087" t="s">
        <v>35</v>
      </c>
      <c r="M3087" t="s">
        <v>36</v>
      </c>
      <c r="N3087" t="s">
        <v>37</v>
      </c>
    </row>
    <row r="3088" spans="1:14" x14ac:dyDescent="0.25">
      <c r="A3088">
        <v>25452</v>
      </c>
      <c r="B3088">
        <v>11198</v>
      </c>
      <c r="C3088">
        <f>1/COUNTIF(B:B,pizza_sales[[#This Row],[order_id]])</f>
        <v>0.5</v>
      </c>
      <c r="D3088" t="s">
        <v>50</v>
      </c>
      <c r="E3088">
        <v>1</v>
      </c>
      <c r="F3088" s="1">
        <v>42162</v>
      </c>
      <c r="G3088" s="1" t="str">
        <f>TEXT(pizza_sales[[#This Row],[order_date]],"dddd")</f>
        <v>Sunday</v>
      </c>
      <c r="H3088" s="2">
        <v>0.73990740740740746</v>
      </c>
      <c r="I3088">
        <v>16</v>
      </c>
      <c r="J3088">
        <v>16</v>
      </c>
      <c r="K3088" t="s">
        <v>59</v>
      </c>
      <c r="L3088" t="s">
        <v>13</v>
      </c>
      <c r="M3088" t="s">
        <v>32</v>
      </c>
      <c r="N3088" t="s">
        <v>33</v>
      </c>
    </row>
    <row r="3089" spans="1:14" x14ac:dyDescent="0.25">
      <c r="A3089">
        <v>25453</v>
      </c>
      <c r="B3089">
        <v>11198</v>
      </c>
      <c r="C3089">
        <f>1/COUNTIF(B:B,pizza_sales[[#This Row],[order_id]])</f>
        <v>0.5</v>
      </c>
      <c r="D3089" t="s">
        <v>44</v>
      </c>
      <c r="E3089">
        <v>1</v>
      </c>
      <c r="F3089" s="1">
        <v>42162</v>
      </c>
      <c r="G3089" s="1" t="str">
        <f>TEXT(pizza_sales[[#This Row],[order_date]],"dddd")</f>
        <v>Sunday</v>
      </c>
      <c r="H3089" s="2">
        <v>0.73990740740740746</v>
      </c>
      <c r="I3089">
        <v>9.75</v>
      </c>
      <c r="J3089">
        <v>9.75</v>
      </c>
      <c r="K3089" t="s">
        <v>60</v>
      </c>
      <c r="L3089" t="s">
        <v>13</v>
      </c>
      <c r="M3089" t="s">
        <v>26</v>
      </c>
      <c r="N3089" t="s">
        <v>27</v>
      </c>
    </row>
    <row r="3090" spans="1:14" x14ac:dyDescent="0.25">
      <c r="A3090">
        <v>25459</v>
      </c>
      <c r="B3090">
        <v>11200</v>
      </c>
      <c r="C3090">
        <f>1/COUNTIF(B:B,pizza_sales[[#This Row],[order_id]])</f>
        <v>1</v>
      </c>
      <c r="D3090" t="s">
        <v>12</v>
      </c>
      <c r="E3090">
        <v>1</v>
      </c>
      <c r="F3090" s="1">
        <v>42162</v>
      </c>
      <c r="G3090" s="1" t="str">
        <f>TEXT(pizza_sales[[#This Row],[order_date]],"dddd")</f>
        <v>Sunday</v>
      </c>
      <c r="H3090" s="2">
        <v>0.7418865740740741</v>
      </c>
      <c r="I3090">
        <v>13.25</v>
      </c>
      <c r="J3090">
        <v>13.25</v>
      </c>
      <c r="K3090" t="s">
        <v>59</v>
      </c>
      <c r="L3090" t="s">
        <v>13</v>
      </c>
      <c r="M3090" t="s">
        <v>14</v>
      </c>
      <c r="N3090" t="s">
        <v>15</v>
      </c>
    </row>
    <row r="3091" spans="1:14" x14ac:dyDescent="0.25">
      <c r="A3091">
        <v>25467</v>
      </c>
      <c r="B3091">
        <v>11206</v>
      </c>
      <c r="C3091">
        <f>1/COUNTIF(B:B,pizza_sales[[#This Row],[order_id]])</f>
        <v>1</v>
      </c>
      <c r="D3091" t="s">
        <v>44</v>
      </c>
      <c r="E3091">
        <v>1</v>
      </c>
      <c r="F3091" s="1">
        <v>42162</v>
      </c>
      <c r="G3091" s="1" t="str">
        <f>TEXT(pizza_sales[[#This Row],[order_date]],"dddd")</f>
        <v>Sunday</v>
      </c>
      <c r="H3091" s="2">
        <v>0.75608796296296299</v>
      </c>
      <c r="I3091">
        <v>9.75</v>
      </c>
      <c r="J3091">
        <v>9.75</v>
      </c>
      <c r="K3091" t="s">
        <v>60</v>
      </c>
      <c r="L3091" t="s">
        <v>13</v>
      </c>
      <c r="M3091" t="s">
        <v>26</v>
      </c>
      <c r="N3091" t="s">
        <v>27</v>
      </c>
    </row>
    <row r="3092" spans="1:14" x14ac:dyDescent="0.25">
      <c r="A3092">
        <v>25472</v>
      </c>
      <c r="B3092">
        <v>11207</v>
      </c>
      <c r="C3092">
        <f>1/COUNTIF(B:B,pizza_sales[[#This Row],[order_id]])</f>
        <v>1</v>
      </c>
      <c r="D3092" t="s">
        <v>45</v>
      </c>
      <c r="E3092">
        <v>1</v>
      </c>
      <c r="F3092" s="1">
        <v>42162</v>
      </c>
      <c r="G3092" s="1" t="str">
        <f>TEXT(pizza_sales[[#This Row],[order_date]],"dddd")</f>
        <v>Sunday</v>
      </c>
      <c r="H3092" s="2">
        <v>0.76262731481481483</v>
      </c>
      <c r="I3092">
        <v>10.5</v>
      </c>
      <c r="J3092">
        <v>10.5</v>
      </c>
      <c r="K3092" t="s">
        <v>60</v>
      </c>
      <c r="L3092" t="s">
        <v>13</v>
      </c>
      <c r="M3092" t="s">
        <v>14</v>
      </c>
      <c r="N3092" t="s">
        <v>15</v>
      </c>
    </row>
    <row r="3093" spans="1:14" x14ac:dyDescent="0.25">
      <c r="A3093">
        <v>25474</v>
      </c>
      <c r="B3093">
        <v>11208</v>
      </c>
      <c r="C3093">
        <f>1/COUNTIF(B:B,pizza_sales[[#This Row],[order_id]])</f>
        <v>1</v>
      </c>
      <c r="D3093" t="s">
        <v>24</v>
      </c>
      <c r="E3093">
        <v>1</v>
      </c>
      <c r="F3093" s="1">
        <v>42162</v>
      </c>
      <c r="G3093" s="1" t="str">
        <f>TEXT(pizza_sales[[#This Row],[order_date]],"dddd")</f>
        <v>Sunday</v>
      </c>
      <c r="H3093" s="2">
        <v>0.76788194444444446</v>
      </c>
      <c r="I3093">
        <v>20.25</v>
      </c>
      <c r="J3093">
        <v>20.25</v>
      </c>
      <c r="K3093" t="s">
        <v>58</v>
      </c>
      <c r="L3093" t="s">
        <v>17</v>
      </c>
      <c r="M3093" t="s">
        <v>18</v>
      </c>
      <c r="N3093" t="s">
        <v>19</v>
      </c>
    </row>
    <row r="3094" spans="1:14" x14ac:dyDescent="0.25">
      <c r="A3094">
        <v>25475</v>
      </c>
      <c r="B3094">
        <v>11209</v>
      </c>
      <c r="C3094">
        <f>1/COUNTIF(B:B,pizza_sales[[#This Row],[order_id]])</f>
        <v>1</v>
      </c>
      <c r="D3094" t="s">
        <v>12</v>
      </c>
      <c r="E3094">
        <v>1</v>
      </c>
      <c r="F3094" s="1">
        <v>42162</v>
      </c>
      <c r="G3094" s="1" t="str">
        <f>TEXT(pizza_sales[[#This Row],[order_date]],"dddd")</f>
        <v>Sunday</v>
      </c>
      <c r="H3094" s="2">
        <v>0.77501157407407406</v>
      </c>
      <c r="I3094">
        <v>13.25</v>
      </c>
      <c r="J3094">
        <v>13.25</v>
      </c>
      <c r="K3094" t="s">
        <v>59</v>
      </c>
      <c r="L3094" t="s">
        <v>13</v>
      </c>
      <c r="M3094" t="s">
        <v>14</v>
      </c>
      <c r="N3094" t="s">
        <v>15</v>
      </c>
    </row>
    <row r="3095" spans="1:14" x14ac:dyDescent="0.25">
      <c r="A3095">
        <v>25477</v>
      </c>
      <c r="B3095">
        <v>11210</v>
      </c>
      <c r="C3095">
        <f>1/COUNTIF(B:B,pizza_sales[[#This Row],[order_id]])</f>
        <v>1</v>
      </c>
      <c r="D3095" t="s">
        <v>12</v>
      </c>
      <c r="E3095">
        <v>1</v>
      </c>
      <c r="F3095" s="1">
        <v>42162</v>
      </c>
      <c r="G3095" s="1" t="str">
        <f>TEXT(pizza_sales[[#This Row],[order_date]],"dddd")</f>
        <v>Sunday</v>
      </c>
      <c r="H3095" s="2">
        <v>0.77836805555555555</v>
      </c>
      <c r="I3095">
        <v>13.25</v>
      </c>
      <c r="J3095">
        <v>13.25</v>
      </c>
      <c r="K3095" t="s">
        <v>59</v>
      </c>
      <c r="L3095" t="s">
        <v>13</v>
      </c>
      <c r="M3095" t="s">
        <v>14</v>
      </c>
      <c r="N3095" t="s">
        <v>15</v>
      </c>
    </row>
    <row r="3096" spans="1:14" x14ac:dyDescent="0.25">
      <c r="A3096">
        <v>25482</v>
      </c>
      <c r="B3096">
        <v>11212</v>
      </c>
      <c r="C3096">
        <f>1/COUNTIF(B:B,pizza_sales[[#This Row],[order_id]])</f>
        <v>1</v>
      </c>
      <c r="D3096" t="s">
        <v>24</v>
      </c>
      <c r="E3096">
        <v>1</v>
      </c>
      <c r="F3096" s="1">
        <v>42162</v>
      </c>
      <c r="G3096" s="1" t="str">
        <f>TEXT(pizza_sales[[#This Row],[order_date]],"dddd")</f>
        <v>Sunday</v>
      </c>
      <c r="H3096" s="2">
        <v>0.78892361111111109</v>
      </c>
      <c r="I3096">
        <v>20.25</v>
      </c>
      <c r="J3096">
        <v>20.25</v>
      </c>
      <c r="K3096" t="s">
        <v>58</v>
      </c>
      <c r="L3096" t="s">
        <v>17</v>
      </c>
      <c r="M3096" t="s">
        <v>18</v>
      </c>
      <c r="N3096" t="s">
        <v>19</v>
      </c>
    </row>
    <row r="3097" spans="1:14" x14ac:dyDescent="0.25">
      <c r="A3097">
        <v>25483</v>
      </c>
      <c r="B3097">
        <v>11213</v>
      </c>
      <c r="C3097">
        <f>1/COUNTIF(B:B,pizza_sales[[#This Row],[order_id]])</f>
        <v>1</v>
      </c>
      <c r="D3097" t="s">
        <v>28</v>
      </c>
      <c r="E3097">
        <v>1</v>
      </c>
      <c r="F3097" s="1">
        <v>42162</v>
      </c>
      <c r="G3097" s="1" t="str">
        <f>TEXT(pizza_sales[[#This Row],[order_date]],"dddd")</f>
        <v>Sunday</v>
      </c>
      <c r="H3097" s="2">
        <v>0.81895833333333334</v>
      </c>
      <c r="I3097">
        <v>12</v>
      </c>
      <c r="J3097">
        <v>12</v>
      </c>
      <c r="K3097" t="s">
        <v>60</v>
      </c>
      <c r="L3097" t="s">
        <v>13</v>
      </c>
      <c r="M3097" t="s">
        <v>29</v>
      </c>
      <c r="N3097" t="s">
        <v>30</v>
      </c>
    </row>
    <row r="3098" spans="1:14" x14ac:dyDescent="0.25">
      <c r="A3098">
        <v>25485</v>
      </c>
      <c r="B3098">
        <v>11214</v>
      </c>
      <c r="C3098">
        <f>1/COUNTIF(B:B,pizza_sales[[#This Row],[order_id]])</f>
        <v>1</v>
      </c>
      <c r="D3098" t="s">
        <v>54</v>
      </c>
      <c r="E3098">
        <v>1</v>
      </c>
      <c r="F3098" s="1">
        <v>42162</v>
      </c>
      <c r="G3098" s="1" t="str">
        <f>TEXT(pizza_sales[[#This Row],[order_date]],"dddd")</f>
        <v>Sunday</v>
      </c>
      <c r="H3098" s="2">
        <v>0.82478009259259255</v>
      </c>
      <c r="I3098">
        <v>12.25</v>
      </c>
      <c r="J3098">
        <v>12.25</v>
      </c>
      <c r="K3098" t="s">
        <v>60</v>
      </c>
      <c r="L3098" t="s">
        <v>35</v>
      </c>
      <c r="M3098" t="s">
        <v>36</v>
      </c>
      <c r="N3098" t="s">
        <v>37</v>
      </c>
    </row>
    <row r="3099" spans="1:14" x14ac:dyDescent="0.25">
      <c r="A3099">
        <v>25486</v>
      </c>
      <c r="B3099">
        <v>11215</v>
      </c>
      <c r="C3099">
        <f>1/COUNTIF(B:B,pizza_sales[[#This Row],[order_id]])</f>
        <v>1</v>
      </c>
      <c r="D3099" t="s">
        <v>50</v>
      </c>
      <c r="E3099">
        <v>1</v>
      </c>
      <c r="F3099" s="1">
        <v>42162</v>
      </c>
      <c r="G3099" s="1" t="str">
        <f>TEXT(pizza_sales[[#This Row],[order_date]],"dddd")</f>
        <v>Sunday</v>
      </c>
      <c r="H3099" s="2">
        <v>0.83040509259259254</v>
      </c>
      <c r="I3099">
        <v>16</v>
      </c>
      <c r="J3099">
        <v>16</v>
      </c>
      <c r="K3099" t="s">
        <v>59</v>
      </c>
      <c r="L3099" t="s">
        <v>13</v>
      </c>
      <c r="M3099" t="s">
        <v>32</v>
      </c>
      <c r="N3099" t="s">
        <v>33</v>
      </c>
    </row>
    <row r="3100" spans="1:14" x14ac:dyDescent="0.25">
      <c r="A3100">
        <v>25489</v>
      </c>
      <c r="B3100">
        <v>11216</v>
      </c>
      <c r="C3100">
        <f>1/COUNTIF(B:B,pizza_sales[[#This Row],[order_id]])</f>
        <v>1</v>
      </c>
      <c r="D3100" t="s">
        <v>28</v>
      </c>
      <c r="E3100">
        <v>1</v>
      </c>
      <c r="F3100" s="1">
        <v>42162</v>
      </c>
      <c r="G3100" s="1" t="str">
        <f>TEXT(pizza_sales[[#This Row],[order_date]],"dddd")</f>
        <v>Sunday</v>
      </c>
      <c r="H3100" s="2">
        <v>0.83440972222222221</v>
      </c>
      <c r="I3100">
        <v>12</v>
      </c>
      <c r="J3100">
        <v>12</v>
      </c>
      <c r="K3100" t="s">
        <v>60</v>
      </c>
      <c r="L3100" t="s">
        <v>13</v>
      </c>
      <c r="M3100" t="s">
        <v>29</v>
      </c>
      <c r="N3100" t="s">
        <v>30</v>
      </c>
    </row>
    <row r="3101" spans="1:14" x14ac:dyDescent="0.25">
      <c r="A3101">
        <v>25495</v>
      </c>
      <c r="B3101">
        <v>11221</v>
      </c>
      <c r="C3101">
        <f>1/COUNTIF(B:B,pizza_sales[[#This Row],[order_id]])</f>
        <v>1</v>
      </c>
      <c r="D3101" t="s">
        <v>16</v>
      </c>
      <c r="E3101">
        <v>1</v>
      </c>
      <c r="F3101" s="1">
        <v>42162</v>
      </c>
      <c r="G3101" s="1" t="str">
        <f>TEXT(pizza_sales[[#This Row],[order_date]],"dddd")</f>
        <v>Sunday</v>
      </c>
      <c r="H3101" s="2">
        <v>0.92839120370370365</v>
      </c>
      <c r="I3101">
        <v>16</v>
      </c>
      <c r="J3101">
        <v>16</v>
      </c>
      <c r="K3101" t="s">
        <v>59</v>
      </c>
      <c r="L3101" t="s">
        <v>17</v>
      </c>
      <c r="M3101" t="s">
        <v>18</v>
      </c>
      <c r="N3101" t="s">
        <v>19</v>
      </c>
    </row>
    <row r="3102" spans="1:14" x14ac:dyDescent="0.25">
      <c r="A3102">
        <v>25500</v>
      </c>
      <c r="B3102">
        <v>11223</v>
      </c>
      <c r="C3102">
        <f>1/COUNTIF(B:B,pizza_sales[[#This Row],[order_id]])</f>
        <v>1</v>
      </c>
      <c r="D3102" t="s">
        <v>12</v>
      </c>
      <c r="E3102">
        <v>1</v>
      </c>
      <c r="F3102" s="1">
        <v>42192</v>
      </c>
      <c r="G3102" s="1" t="str">
        <f>TEXT(pizza_sales[[#This Row],[order_date]],"dddd")</f>
        <v>Tuesday</v>
      </c>
      <c r="H3102" s="2">
        <v>0.49401620370370369</v>
      </c>
      <c r="I3102">
        <v>13.25</v>
      </c>
      <c r="J3102">
        <v>13.25</v>
      </c>
      <c r="K3102" t="s">
        <v>59</v>
      </c>
      <c r="L3102" t="s">
        <v>13</v>
      </c>
      <c r="M3102" t="s">
        <v>14</v>
      </c>
      <c r="N3102" t="s">
        <v>15</v>
      </c>
    </row>
    <row r="3103" spans="1:14" x14ac:dyDescent="0.25">
      <c r="A3103">
        <v>25509</v>
      </c>
      <c r="B3103">
        <v>11226</v>
      </c>
      <c r="C3103">
        <f>1/COUNTIF(B:B,pizza_sales[[#This Row],[order_id]])</f>
        <v>1</v>
      </c>
      <c r="D3103" t="s">
        <v>47</v>
      </c>
      <c r="E3103">
        <v>2</v>
      </c>
      <c r="F3103" s="1">
        <v>42192</v>
      </c>
      <c r="G3103" s="1" t="str">
        <f>TEXT(pizza_sales[[#This Row],[order_date]],"dddd")</f>
        <v>Tuesday</v>
      </c>
      <c r="H3103" s="2">
        <v>0.50171296296296297</v>
      </c>
      <c r="I3103">
        <v>16.5</v>
      </c>
      <c r="J3103">
        <v>33</v>
      </c>
      <c r="K3103" t="s">
        <v>58</v>
      </c>
      <c r="L3103" t="s">
        <v>13</v>
      </c>
      <c r="M3103" t="s">
        <v>14</v>
      </c>
      <c r="N3103" t="s">
        <v>15</v>
      </c>
    </row>
    <row r="3104" spans="1:14" x14ac:dyDescent="0.25">
      <c r="A3104">
        <v>25510</v>
      </c>
      <c r="B3104">
        <v>11227</v>
      </c>
      <c r="C3104">
        <f>1/COUNTIF(B:B,pizza_sales[[#This Row],[order_id]])</f>
        <v>1</v>
      </c>
      <c r="D3104" t="s">
        <v>38</v>
      </c>
      <c r="E3104">
        <v>1</v>
      </c>
      <c r="F3104" s="1">
        <v>42192</v>
      </c>
      <c r="G3104" s="1" t="str">
        <f>TEXT(pizza_sales[[#This Row],[order_date]],"dddd")</f>
        <v>Tuesday</v>
      </c>
      <c r="H3104" s="2">
        <v>0.50542824074074078</v>
      </c>
      <c r="I3104">
        <v>20.5</v>
      </c>
      <c r="J3104">
        <v>20.5</v>
      </c>
      <c r="K3104" t="s">
        <v>58</v>
      </c>
      <c r="L3104" t="s">
        <v>13</v>
      </c>
      <c r="M3104" t="s">
        <v>32</v>
      </c>
      <c r="N3104" t="s">
        <v>33</v>
      </c>
    </row>
    <row r="3105" spans="1:14" x14ac:dyDescent="0.25">
      <c r="A3105">
        <v>25514</v>
      </c>
      <c r="B3105">
        <v>11228</v>
      </c>
      <c r="C3105">
        <f>1/COUNTIF(B:B,pizza_sales[[#This Row],[order_id]])</f>
        <v>1</v>
      </c>
      <c r="D3105" t="s">
        <v>28</v>
      </c>
      <c r="E3105">
        <v>1</v>
      </c>
      <c r="F3105" s="1">
        <v>42192</v>
      </c>
      <c r="G3105" s="1" t="str">
        <f>TEXT(pizza_sales[[#This Row],[order_date]],"dddd")</f>
        <v>Tuesday</v>
      </c>
      <c r="H3105" s="2">
        <v>0.5169097222222222</v>
      </c>
      <c r="I3105">
        <v>12</v>
      </c>
      <c r="J3105">
        <v>12</v>
      </c>
      <c r="K3105" t="s">
        <v>60</v>
      </c>
      <c r="L3105" t="s">
        <v>13</v>
      </c>
      <c r="M3105" t="s">
        <v>29</v>
      </c>
      <c r="N3105" t="s">
        <v>30</v>
      </c>
    </row>
    <row r="3106" spans="1:14" x14ac:dyDescent="0.25">
      <c r="A3106">
        <v>25519</v>
      </c>
      <c r="B3106">
        <v>11230</v>
      </c>
      <c r="C3106">
        <f>1/COUNTIF(B:B,pizza_sales[[#This Row],[order_id]])</f>
        <v>1</v>
      </c>
      <c r="D3106" t="s">
        <v>28</v>
      </c>
      <c r="E3106">
        <v>1</v>
      </c>
      <c r="F3106" s="1">
        <v>42192</v>
      </c>
      <c r="G3106" s="1" t="str">
        <f>TEXT(pizza_sales[[#This Row],[order_date]],"dddd")</f>
        <v>Tuesday</v>
      </c>
      <c r="H3106" s="2">
        <v>0.51991898148148152</v>
      </c>
      <c r="I3106">
        <v>12</v>
      </c>
      <c r="J3106">
        <v>12</v>
      </c>
      <c r="K3106" t="s">
        <v>60</v>
      </c>
      <c r="L3106" t="s">
        <v>13</v>
      </c>
      <c r="M3106" t="s">
        <v>29</v>
      </c>
      <c r="N3106" t="s">
        <v>30</v>
      </c>
    </row>
    <row r="3107" spans="1:14" x14ac:dyDescent="0.25">
      <c r="A3107">
        <v>25523</v>
      </c>
      <c r="B3107">
        <v>11231</v>
      </c>
      <c r="C3107">
        <f>1/COUNTIF(B:B,pizza_sales[[#This Row],[order_id]])</f>
        <v>1</v>
      </c>
      <c r="D3107" t="s">
        <v>38</v>
      </c>
      <c r="E3107">
        <v>1</v>
      </c>
      <c r="F3107" s="1">
        <v>42192</v>
      </c>
      <c r="G3107" s="1" t="str">
        <f>TEXT(pizza_sales[[#This Row],[order_date]],"dddd")</f>
        <v>Tuesday</v>
      </c>
      <c r="H3107" s="2">
        <v>0.5250231481481481</v>
      </c>
      <c r="I3107">
        <v>20.5</v>
      </c>
      <c r="J3107">
        <v>20.5</v>
      </c>
      <c r="K3107" t="s">
        <v>58</v>
      </c>
      <c r="L3107" t="s">
        <v>13</v>
      </c>
      <c r="M3107" t="s">
        <v>32</v>
      </c>
      <c r="N3107" t="s">
        <v>33</v>
      </c>
    </row>
    <row r="3108" spans="1:14" x14ac:dyDescent="0.25">
      <c r="A3108">
        <v>25531</v>
      </c>
      <c r="B3108">
        <v>11234</v>
      </c>
      <c r="C3108">
        <f>1/COUNTIF(B:B,pizza_sales[[#This Row],[order_id]])</f>
        <v>1</v>
      </c>
      <c r="D3108" t="s">
        <v>24</v>
      </c>
      <c r="E3108">
        <v>1</v>
      </c>
      <c r="F3108" s="1">
        <v>42192</v>
      </c>
      <c r="G3108" s="1" t="str">
        <f>TEXT(pizza_sales[[#This Row],[order_date]],"dddd")</f>
        <v>Tuesday</v>
      </c>
      <c r="H3108" s="2">
        <v>0.54993055555555559</v>
      </c>
      <c r="I3108">
        <v>20.25</v>
      </c>
      <c r="J3108">
        <v>20.25</v>
      </c>
      <c r="K3108" t="s">
        <v>58</v>
      </c>
      <c r="L3108" t="s">
        <v>17</v>
      </c>
      <c r="M3108" t="s">
        <v>18</v>
      </c>
      <c r="N3108" t="s">
        <v>19</v>
      </c>
    </row>
    <row r="3109" spans="1:14" x14ac:dyDescent="0.25">
      <c r="A3109">
        <v>25537</v>
      </c>
      <c r="B3109">
        <v>11235</v>
      </c>
      <c r="C3109">
        <f>1/COUNTIF(B:B,pizza_sales[[#This Row],[order_id]])</f>
        <v>0.2</v>
      </c>
      <c r="D3109" t="s">
        <v>24</v>
      </c>
      <c r="E3109">
        <v>1</v>
      </c>
      <c r="F3109" s="1">
        <v>42192</v>
      </c>
      <c r="G3109" s="1" t="str">
        <f>TEXT(pizza_sales[[#This Row],[order_date]],"dddd")</f>
        <v>Tuesday</v>
      </c>
      <c r="H3109" s="2">
        <v>0.5522569444444444</v>
      </c>
      <c r="I3109">
        <v>20.25</v>
      </c>
      <c r="J3109">
        <v>20.25</v>
      </c>
      <c r="K3109" t="s">
        <v>58</v>
      </c>
      <c r="L3109" t="s">
        <v>17</v>
      </c>
      <c r="M3109" t="s">
        <v>18</v>
      </c>
      <c r="N3109" t="s">
        <v>19</v>
      </c>
    </row>
    <row r="3110" spans="1:14" x14ac:dyDescent="0.25">
      <c r="A3110">
        <v>25538</v>
      </c>
      <c r="B3110">
        <v>11235</v>
      </c>
      <c r="C3110">
        <f>1/COUNTIF(B:B,pizza_sales[[#This Row],[order_id]])</f>
        <v>0.2</v>
      </c>
      <c r="D3110" t="s">
        <v>38</v>
      </c>
      <c r="E3110">
        <v>1</v>
      </c>
      <c r="F3110" s="1">
        <v>42192</v>
      </c>
      <c r="G3110" s="1" t="str">
        <f>TEXT(pizza_sales[[#This Row],[order_date]],"dddd")</f>
        <v>Tuesday</v>
      </c>
      <c r="H3110" s="2">
        <v>0.5522569444444444</v>
      </c>
      <c r="I3110">
        <v>20.5</v>
      </c>
      <c r="J3110">
        <v>20.5</v>
      </c>
      <c r="K3110" t="s">
        <v>58</v>
      </c>
      <c r="L3110" t="s">
        <v>13</v>
      </c>
      <c r="M3110" t="s">
        <v>32</v>
      </c>
      <c r="N3110" t="s">
        <v>33</v>
      </c>
    </row>
    <row r="3111" spans="1:14" x14ac:dyDescent="0.25">
      <c r="A3111">
        <v>25539</v>
      </c>
      <c r="B3111">
        <v>11235</v>
      </c>
      <c r="C3111">
        <f>1/COUNTIF(B:B,pizza_sales[[#This Row],[order_id]])</f>
        <v>0.2</v>
      </c>
      <c r="D3111" t="s">
        <v>31</v>
      </c>
      <c r="E3111">
        <v>1</v>
      </c>
      <c r="F3111" s="1">
        <v>42192</v>
      </c>
      <c r="G3111" s="1" t="str">
        <f>TEXT(pizza_sales[[#This Row],[order_date]],"dddd")</f>
        <v>Tuesday</v>
      </c>
      <c r="H3111" s="2">
        <v>0.5522569444444444</v>
      </c>
      <c r="I3111">
        <v>12</v>
      </c>
      <c r="J3111">
        <v>12</v>
      </c>
      <c r="K3111" t="s">
        <v>60</v>
      </c>
      <c r="L3111" t="s">
        <v>13</v>
      </c>
      <c r="M3111" t="s">
        <v>32</v>
      </c>
      <c r="N3111" t="s">
        <v>33</v>
      </c>
    </row>
    <row r="3112" spans="1:14" x14ac:dyDescent="0.25">
      <c r="A3112">
        <v>25540</v>
      </c>
      <c r="B3112">
        <v>11235</v>
      </c>
      <c r="C3112">
        <f>1/COUNTIF(B:B,pizza_sales[[#This Row],[order_id]])</f>
        <v>0.2</v>
      </c>
      <c r="D3112" t="s">
        <v>42</v>
      </c>
      <c r="E3112">
        <v>1</v>
      </c>
      <c r="F3112" s="1">
        <v>42192</v>
      </c>
      <c r="G3112" s="1" t="str">
        <f>TEXT(pizza_sales[[#This Row],[order_date]],"dddd")</f>
        <v>Tuesday</v>
      </c>
      <c r="H3112" s="2">
        <v>0.5522569444444444</v>
      </c>
      <c r="I3112">
        <v>12.5</v>
      </c>
      <c r="J3112">
        <v>12.5</v>
      </c>
      <c r="K3112" t="s">
        <v>59</v>
      </c>
      <c r="L3112" t="s">
        <v>13</v>
      </c>
      <c r="M3112" t="s">
        <v>26</v>
      </c>
      <c r="N3112" t="s">
        <v>27</v>
      </c>
    </row>
    <row r="3113" spans="1:14" x14ac:dyDescent="0.25">
      <c r="A3113">
        <v>25545</v>
      </c>
      <c r="B3113">
        <v>11235</v>
      </c>
      <c r="C3113">
        <f>1/COUNTIF(B:B,pizza_sales[[#This Row],[order_id]])</f>
        <v>0.2</v>
      </c>
      <c r="D3113" t="s">
        <v>46</v>
      </c>
      <c r="E3113">
        <v>1</v>
      </c>
      <c r="F3113" s="1">
        <v>42192</v>
      </c>
      <c r="G3113" s="1" t="str">
        <f>TEXT(pizza_sales[[#This Row],[order_date]],"dddd")</f>
        <v>Tuesday</v>
      </c>
      <c r="H3113" s="2">
        <v>0.5522569444444444</v>
      </c>
      <c r="I3113">
        <v>25.5</v>
      </c>
      <c r="J3113">
        <v>25.5</v>
      </c>
      <c r="K3113" t="s">
        <v>61</v>
      </c>
      <c r="L3113" t="s">
        <v>13</v>
      </c>
      <c r="M3113" t="s">
        <v>21</v>
      </c>
      <c r="N3113" t="s">
        <v>22</v>
      </c>
    </row>
    <row r="3114" spans="1:14" x14ac:dyDescent="0.25">
      <c r="A3114">
        <v>25547</v>
      </c>
      <c r="B3114">
        <v>11236</v>
      </c>
      <c r="C3114">
        <f>1/COUNTIF(B:B,pizza_sales[[#This Row],[order_id]])</f>
        <v>1</v>
      </c>
      <c r="D3114" t="s">
        <v>25</v>
      </c>
      <c r="E3114">
        <v>1</v>
      </c>
      <c r="F3114" s="1">
        <v>42192</v>
      </c>
      <c r="G3114" s="1" t="str">
        <f>TEXT(pizza_sales[[#This Row],[order_date]],"dddd")</f>
        <v>Tuesday</v>
      </c>
      <c r="H3114" s="2">
        <v>0.55260416666666667</v>
      </c>
      <c r="I3114">
        <v>15.25</v>
      </c>
      <c r="J3114">
        <v>15.25</v>
      </c>
      <c r="K3114" t="s">
        <v>58</v>
      </c>
      <c r="L3114" t="s">
        <v>13</v>
      </c>
      <c r="M3114" t="s">
        <v>26</v>
      </c>
      <c r="N3114" t="s">
        <v>27</v>
      </c>
    </row>
    <row r="3115" spans="1:14" x14ac:dyDescent="0.25">
      <c r="A3115">
        <v>25559</v>
      </c>
      <c r="B3115">
        <v>11240</v>
      </c>
      <c r="C3115">
        <f>1/COUNTIF(B:B,pizza_sales[[#This Row],[order_id]])</f>
        <v>0.5</v>
      </c>
      <c r="D3115" t="s">
        <v>24</v>
      </c>
      <c r="E3115">
        <v>1</v>
      </c>
      <c r="F3115" s="1">
        <v>42192</v>
      </c>
      <c r="G3115" s="1" t="str">
        <f>TEXT(pizza_sales[[#This Row],[order_date]],"dddd")</f>
        <v>Tuesday</v>
      </c>
      <c r="H3115" s="2">
        <v>0.6629976851851852</v>
      </c>
      <c r="I3115">
        <v>20.25</v>
      </c>
      <c r="J3115">
        <v>20.25</v>
      </c>
      <c r="K3115" t="s">
        <v>58</v>
      </c>
      <c r="L3115" t="s">
        <v>17</v>
      </c>
      <c r="M3115" t="s">
        <v>18</v>
      </c>
      <c r="N3115" t="s">
        <v>19</v>
      </c>
    </row>
    <row r="3116" spans="1:14" x14ac:dyDescent="0.25">
      <c r="A3116">
        <v>25560</v>
      </c>
      <c r="B3116">
        <v>11240</v>
      </c>
      <c r="C3116">
        <f>1/COUNTIF(B:B,pizza_sales[[#This Row],[order_id]])</f>
        <v>0.5</v>
      </c>
      <c r="D3116" t="s">
        <v>16</v>
      </c>
      <c r="E3116">
        <v>1</v>
      </c>
      <c r="F3116" s="1">
        <v>42192</v>
      </c>
      <c r="G3116" s="1" t="str">
        <f>TEXT(pizza_sales[[#This Row],[order_date]],"dddd")</f>
        <v>Tuesday</v>
      </c>
      <c r="H3116" s="2">
        <v>0.6629976851851852</v>
      </c>
      <c r="I3116">
        <v>16</v>
      </c>
      <c r="J3116">
        <v>16</v>
      </c>
      <c r="K3116" t="s">
        <v>59</v>
      </c>
      <c r="L3116" t="s">
        <v>17</v>
      </c>
      <c r="M3116" t="s">
        <v>18</v>
      </c>
      <c r="N3116" t="s">
        <v>19</v>
      </c>
    </row>
    <row r="3117" spans="1:14" x14ac:dyDescent="0.25">
      <c r="A3117">
        <v>25561</v>
      </c>
      <c r="B3117">
        <v>11241</v>
      </c>
      <c r="C3117">
        <f>1/COUNTIF(B:B,pizza_sales[[#This Row],[order_id]])</f>
        <v>0.5</v>
      </c>
      <c r="D3117" t="s">
        <v>28</v>
      </c>
      <c r="E3117">
        <v>2</v>
      </c>
      <c r="F3117" s="1">
        <v>42192</v>
      </c>
      <c r="G3117" s="1" t="str">
        <f>TEXT(pizza_sales[[#This Row],[order_date]],"dddd")</f>
        <v>Tuesday</v>
      </c>
      <c r="H3117" s="2">
        <v>0.66478009259259263</v>
      </c>
      <c r="I3117">
        <v>12</v>
      </c>
      <c r="J3117">
        <v>24</v>
      </c>
      <c r="K3117" t="s">
        <v>60</v>
      </c>
      <c r="L3117" t="s">
        <v>13</v>
      </c>
      <c r="M3117" t="s">
        <v>29</v>
      </c>
      <c r="N3117" t="s">
        <v>30</v>
      </c>
    </row>
    <row r="3118" spans="1:14" x14ac:dyDescent="0.25">
      <c r="A3118">
        <v>25562</v>
      </c>
      <c r="B3118">
        <v>11241</v>
      </c>
      <c r="C3118">
        <f>1/COUNTIF(B:B,pizza_sales[[#This Row],[order_id]])</f>
        <v>0.5</v>
      </c>
      <c r="D3118" t="s">
        <v>39</v>
      </c>
      <c r="E3118">
        <v>1</v>
      </c>
      <c r="F3118" s="1">
        <v>42192</v>
      </c>
      <c r="G3118" s="1" t="str">
        <f>TEXT(pizza_sales[[#This Row],[order_date]],"dddd")</f>
        <v>Tuesday</v>
      </c>
      <c r="H3118" s="2">
        <v>0.66478009259259263</v>
      </c>
      <c r="I3118">
        <v>20.25</v>
      </c>
      <c r="J3118">
        <v>20.25</v>
      </c>
      <c r="K3118" t="s">
        <v>58</v>
      </c>
      <c r="L3118" t="s">
        <v>35</v>
      </c>
      <c r="M3118" t="s">
        <v>40</v>
      </c>
      <c r="N3118" t="s">
        <v>41</v>
      </c>
    </row>
    <row r="3119" spans="1:14" x14ac:dyDescent="0.25">
      <c r="A3119">
        <v>25570</v>
      </c>
      <c r="B3119">
        <v>11244</v>
      </c>
      <c r="C3119">
        <f>1/COUNTIF(B:B,pizza_sales[[#This Row],[order_id]])</f>
        <v>0.5</v>
      </c>
      <c r="D3119" t="s">
        <v>38</v>
      </c>
      <c r="E3119">
        <v>1</v>
      </c>
      <c r="F3119" s="1">
        <v>42192</v>
      </c>
      <c r="G3119" s="1" t="str">
        <f>TEXT(pizza_sales[[#This Row],[order_date]],"dddd")</f>
        <v>Tuesday</v>
      </c>
      <c r="H3119" s="2">
        <v>0.69125000000000003</v>
      </c>
      <c r="I3119">
        <v>20.5</v>
      </c>
      <c r="J3119">
        <v>20.5</v>
      </c>
      <c r="K3119" t="s">
        <v>58</v>
      </c>
      <c r="L3119" t="s">
        <v>13</v>
      </c>
      <c r="M3119" t="s">
        <v>32</v>
      </c>
      <c r="N3119" t="s">
        <v>33</v>
      </c>
    </row>
    <row r="3120" spans="1:14" x14ac:dyDescent="0.25">
      <c r="A3120">
        <v>25571</v>
      </c>
      <c r="B3120">
        <v>11244</v>
      </c>
      <c r="C3120">
        <f>1/COUNTIF(B:B,pizza_sales[[#This Row],[order_id]])</f>
        <v>0.5</v>
      </c>
      <c r="D3120" t="s">
        <v>48</v>
      </c>
      <c r="E3120">
        <v>1</v>
      </c>
      <c r="F3120" s="1">
        <v>42192</v>
      </c>
      <c r="G3120" s="1" t="str">
        <f>TEXT(pizza_sales[[#This Row],[order_date]],"dddd")</f>
        <v>Tuesday</v>
      </c>
      <c r="H3120" s="2">
        <v>0.69125000000000003</v>
      </c>
      <c r="I3120">
        <v>12.25</v>
      </c>
      <c r="J3120">
        <v>12.25</v>
      </c>
      <c r="K3120" t="s">
        <v>60</v>
      </c>
      <c r="L3120" t="s">
        <v>35</v>
      </c>
      <c r="M3120" t="s">
        <v>40</v>
      </c>
      <c r="N3120" t="s">
        <v>41</v>
      </c>
    </row>
    <row r="3121" spans="1:14" x14ac:dyDescent="0.25">
      <c r="A3121">
        <v>25573</v>
      </c>
      <c r="B3121">
        <v>11245</v>
      </c>
      <c r="C3121">
        <f>1/COUNTIF(B:B,pizza_sales[[#This Row],[order_id]])</f>
        <v>1</v>
      </c>
      <c r="D3121" t="s">
        <v>45</v>
      </c>
      <c r="E3121">
        <v>2</v>
      </c>
      <c r="F3121" s="1">
        <v>42192</v>
      </c>
      <c r="G3121" s="1" t="str">
        <f>TEXT(pizza_sales[[#This Row],[order_date]],"dddd")</f>
        <v>Tuesday</v>
      </c>
      <c r="H3121" s="2">
        <v>0.69578703703703704</v>
      </c>
      <c r="I3121">
        <v>10.5</v>
      </c>
      <c r="J3121">
        <v>21</v>
      </c>
      <c r="K3121" t="s">
        <v>60</v>
      </c>
      <c r="L3121" t="s">
        <v>13</v>
      </c>
      <c r="M3121" t="s">
        <v>14</v>
      </c>
      <c r="N3121" t="s">
        <v>15</v>
      </c>
    </row>
    <row r="3122" spans="1:14" x14ac:dyDescent="0.25">
      <c r="A3122">
        <v>25576</v>
      </c>
      <c r="B3122">
        <v>11246</v>
      </c>
      <c r="C3122">
        <f>1/COUNTIF(B:B,pizza_sales[[#This Row],[order_id]])</f>
        <v>1</v>
      </c>
      <c r="D3122" t="s">
        <v>45</v>
      </c>
      <c r="E3122">
        <v>1</v>
      </c>
      <c r="F3122" s="1">
        <v>42192</v>
      </c>
      <c r="G3122" s="1" t="str">
        <f>TEXT(pizza_sales[[#This Row],[order_date]],"dddd")</f>
        <v>Tuesday</v>
      </c>
      <c r="H3122" s="2">
        <v>0.71247685185185183</v>
      </c>
      <c r="I3122">
        <v>10.5</v>
      </c>
      <c r="J3122">
        <v>10.5</v>
      </c>
      <c r="K3122" t="s">
        <v>60</v>
      </c>
      <c r="L3122" t="s">
        <v>13</v>
      </c>
      <c r="M3122" t="s">
        <v>14</v>
      </c>
      <c r="N3122" t="s">
        <v>15</v>
      </c>
    </row>
    <row r="3123" spans="1:14" x14ac:dyDescent="0.25">
      <c r="A3123">
        <v>25578</v>
      </c>
      <c r="B3123">
        <v>11247</v>
      </c>
      <c r="C3123">
        <f>1/COUNTIF(B:B,pizza_sales[[#This Row],[order_id]])</f>
        <v>1</v>
      </c>
      <c r="D3123" t="s">
        <v>48</v>
      </c>
      <c r="E3123">
        <v>1</v>
      </c>
      <c r="F3123" s="1">
        <v>42192</v>
      </c>
      <c r="G3123" s="1" t="str">
        <f>TEXT(pizza_sales[[#This Row],[order_date]],"dddd")</f>
        <v>Tuesday</v>
      </c>
      <c r="H3123" s="2">
        <v>0.71296296296296291</v>
      </c>
      <c r="I3123">
        <v>12.25</v>
      </c>
      <c r="J3123">
        <v>12.25</v>
      </c>
      <c r="K3123" t="s">
        <v>60</v>
      </c>
      <c r="L3123" t="s">
        <v>35</v>
      </c>
      <c r="M3123" t="s">
        <v>40</v>
      </c>
      <c r="N3123" t="s">
        <v>41</v>
      </c>
    </row>
    <row r="3124" spans="1:14" x14ac:dyDescent="0.25">
      <c r="A3124">
        <v>25581</v>
      </c>
      <c r="B3124">
        <v>11249</v>
      </c>
      <c r="C3124">
        <f>1/COUNTIF(B:B,pizza_sales[[#This Row],[order_id]])</f>
        <v>1</v>
      </c>
      <c r="D3124" t="s">
        <v>46</v>
      </c>
      <c r="E3124">
        <v>1</v>
      </c>
      <c r="F3124" s="1">
        <v>42192</v>
      </c>
      <c r="G3124" s="1" t="str">
        <f>TEXT(pizza_sales[[#This Row],[order_date]],"dddd")</f>
        <v>Tuesday</v>
      </c>
      <c r="H3124" s="2">
        <v>0.72668981481481476</v>
      </c>
      <c r="I3124">
        <v>25.5</v>
      </c>
      <c r="J3124">
        <v>25.5</v>
      </c>
      <c r="K3124" t="s">
        <v>61</v>
      </c>
      <c r="L3124" t="s">
        <v>13</v>
      </c>
      <c r="M3124" t="s">
        <v>21</v>
      </c>
      <c r="N3124" t="s">
        <v>22</v>
      </c>
    </row>
    <row r="3125" spans="1:14" x14ac:dyDescent="0.25">
      <c r="A3125">
        <v>25583</v>
      </c>
      <c r="B3125">
        <v>11250</v>
      </c>
      <c r="C3125">
        <f>1/COUNTIF(B:B,pizza_sales[[#This Row],[order_id]])</f>
        <v>1</v>
      </c>
      <c r="D3125" t="s">
        <v>24</v>
      </c>
      <c r="E3125">
        <v>1</v>
      </c>
      <c r="F3125" s="1">
        <v>42192</v>
      </c>
      <c r="G3125" s="1" t="str">
        <f>TEXT(pizza_sales[[#This Row],[order_date]],"dddd")</f>
        <v>Tuesday</v>
      </c>
      <c r="H3125" s="2">
        <v>0.73130787037037037</v>
      </c>
      <c r="I3125">
        <v>20.25</v>
      </c>
      <c r="J3125">
        <v>20.25</v>
      </c>
      <c r="K3125" t="s">
        <v>58</v>
      </c>
      <c r="L3125" t="s">
        <v>17</v>
      </c>
      <c r="M3125" t="s">
        <v>18</v>
      </c>
      <c r="N3125" t="s">
        <v>19</v>
      </c>
    </row>
    <row r="3126" spans="1:14" x14ac:dyDescent="0.25">
      <c r="A3126">
        <v>25585</v>
      </c>
      <c r="B3126">
        <v>11251</v>
      </c>
      <c r="C3126">
        <f>1/COUNTIF(B:B,pizza_sales[[#This Row],[order_id]])</f>
        <v>1</v>
      </c>
      <c r="D3126" t="s">
        <v>24</v>
      </c>
      <c r="E3126">
        <v>1</v>
      </c>
      <c r="F3126" s="1">
        <v>42192</v>
      </c>
      <c r="G3126" s="1" t="str">
        <f>TEXT(pizza_sales[[#This Row],[order_date]],"dddd")</f>
        <v>Tuesday</v>
      </c>
      <c r="H3126" s="2">
        <v>0.73195601851851855</v>
      </c>
      <c r="I3126">
        <v>20.25</v>
      </c>
      <c r="J3126">
        <v>20.25</v>
      </c>
      <c r="K3126" t="s">
        <v>58</v>
      </c>
      <c r="L3126" t="s">
        <v>17</v>
      </c>
      <c r="M3126" t="s">
        <v>18</v>
      </c>
      <c r="N3126" t="s">
        <v>19</v>
      </c>
    </row>
    <row r="3127" spans="1:14" x14ac:dyDescent="0.25">
      <c r="A3127">
        <v>25587</v>
      </c>
      <c r="B3127">
        <v>11252</v>
      </c>
      <c r="C3127">
        <f>1/COUNTIF(B:B,pizza_sales[[#This Row],[order_id]])</f>
        <v>1</v>
      </c>
      <c r="D3127" t="s">
        <v>28</v>
      </c>
      <c r="E3127">
        <v>1</v>
      </c>
      <c r="F3127" s="1">
        <v>42192</v>
      </c>
      <c r="G3127" s="1" t="str">
        <f>TEXT(pizza_sales[[#This Row],[order_date]],"dddd")</f>
        <v>Tuesday</v>
      </c>
      <c r="H3127" s="2">
        <v>0.7365856481481482</v>
      </c>
      <c r="I3127">
        <v>12</v>
      </c>
      <c r="J3127">
        <v>12</v>
      </c>
      <c r="K3127" t="s">
        <v>60</v>
      </c>
      <c r="L3127" t="s">
        <v>13</v>
      </c>
      <c r="M3127" t="s">
        <v>29</v>
      </c>
      <c r="N3127" t="s">
        <v>30</v>
      </c>
    </row>
    <row r="3128" spans="1:14" x14ac:dyDescent="0.25">
      <c r="A3128">
        <v>25594</v>
      </c>
      <c r="B3128">
        <v>11254</v>
      </c>
      <c r="C3128">
        <f>1/COUNTIF(B:B,pizza_sales[[#This Row],[order_id]])</f>
        <v>1</v>
      </c>
      <c r="D3128" t="s">
        <v>55</v>
      </c>
      <c r="E3128">
        <v>1</v>
      </c>
      <c r="F3128" s="1">
        <v>42192</v>
      </c>
      <c r="G3128" s="1" t="str">
        <f>TEXT(pizza_sales[[#This Row],[order_date]],"dddd")</f>
        <v>Tuesday</v>
      </c>
      <c r="H3128" s="2">
        <v>0.74497685185185181</v>
      </c>
      <c r="I3128">
        <v>20.5</v>
      </c>
      <c r="J3128">
        <v>20.5</v>
      </c>
      <c r="K3128" t="s">
        <v>58</v>
      </c>
      <c r="L3128" t="s">
        <v>13</v>
      </c>
      <c r="M3128" t="s">
        <v>21</v>
      </c>
      <c r="N3128" t="s">
        <v>22</v>
      </c>
    </row>
    <row r="3129" spans="1:14" x14ac:dyDescent="0.25">
      <c r="A3129">
        <v>25595</v>
      </c>
      <c r="B3129">
        <v>11255</v>
      </c>
      <c r="C3129">
        <f>1/COUNTIF(B:B,pizza_sales[[#This Row],[order_id]])</f>
        <v>1</v>
      </c>
      <c r="D3129" t="s">
        <v>47</v>
      </c>
      <c r="E3129">
        <v>1</v>
      </c>
      <c r="F3129" s="1">
        <v>42192</v>
      </c>
      <c r="G3129" s="1" t="str">
        <f>TEXT(pizza_sales[[#This Row],[order_date]],"dddd")</f>
        <v>Tuesday</v>
      </c>
      <c r="H3129" s="2">
        <v>0.74751157407407409</v>
      </c>
      <c r="I3129">
        <v>16.5</v>
      </c>
      <c r="J3129">
        <v>16.5</v>
      </c>
      <c r="K3129" t="s">
        <v>58</v>
      </c>
      <c r="L3129" t="s">
        <v>13</v>
      </c>
      <c r="M3129" t="s">
        <v>14</v>
      </c>
      <c r="N3129" t="s">
        <v>15</v>
      </c>
    </row>
    <row r="3130" spans="1:14" x14ac:dyDescent="0.25">
      <c r="A3130">
        <v>25602</v>
      </c>
      <c r="B3130">
        <v>11258</v>
      </c>
      <c r="C3130">
        <f>1/COUNTIF(B:B,pizza_sales[[#This Row],[order_id]])</f>
        <v>1</v>
      </c>
      <c r="D3130" t="s">
        <v>12</v>
      </c>
      <c r="E3130">
        <v>1</v>
      </c>
      <c r="F3130" s="1">
        <v>42192</v>
      </c>
      <c r="G3130" s="1" t="str">
        <f>TEXT(pizza_sales[[#This Row],[order_date]],"dddd")</f>
        <v>Tuesday</v>
      </c>
      <c r="H3130" s="2">
        <v>0.76355324074074071</v>
      </c>
      <c r="I3130">
        <v>13.25</v>
      </c>
      <c r="J3130">
        <v>13.25</v>
      </c>
      <c r="K3130" t="s">
        <v>59</v>
      </c>
      <c r="L3130" t="s">
        <v>13</v>
      </c>
      <c r="M3130" t="s">
        <v>14</v>
      </c>
      <c r="N3130" t="s">
        <v>15</v>
      </c>
    </row>
    <row r="3131" spans="1:14" x14ac:dyDescent="0.25">
      <c r="A3131">
        <v>25606</v>
      </c>
      <c r="B3131">
        <v>11261</v>
      </c>
      <c r="C3131">
        <f>1/COUNTIF(B:B,pizza_sales[[#This Row],[order_id]])</f>
        <v>1</v>
      </c>
      <c r="D3131" t="s">
        <v>28</v>
      </c>
      <c r="E3131">
        <v>1</v>
      </c>
      <c r="F3131" s="1">
        <v>42192</v>
      </c>
      <c r="G3131" s="1" t="str">
        <f>TEXT(pizza_sales[[#This Row],[order_date]],"dddd")</f>
        <v>Tuesday</v>
      </c>
      <c r="H3131" s="2">
        <v>0.7844444444444445</v>
      </c>
      <c r="I3131">
        <v>12</v>
      </c>
      <c r="J3131">
        <v>12</v>
      </c>
      <c r="K3131" t="s">
        <v>60</v>
      </c>
      <c r="L3131" t="s">
        <v>13</v>
      </c>
      <c r="M3131" t="s">
        <v>29</v>
      </c>
      <c r="N3131" t="s">
        <v>30</v>
      </c>
    </row>
    <row r="3132" spans="1:14" x14ac:dyDescent="0.25">
      <c r="A3132">
        <v>25614</v>
      </c>
      <c r="B3132">
        <v>11265</v>
      </c>
      <c r="C3132">
        <f>1/COUNTIF(B:B,pizza_sales[[#This Row],[order_id]])</f>
        <v>0.33333333333333331</v>
      </c>
      <c r="D3132" t="s">
        <v>28</v>
      </c>
      <c r="E3132">
        <v>1</v>
      </c>
      <c r="F3132" s="1">
        <v>42192</v>
      </c>
      <c r="G3132" s="1" t="str">
        <f>TEXT(pizza_sales[[#This Row],[order_date]],"dddd")</f>
        <v>Tuesday</v>
      </c>
      <c r="H3132" s="2">
        <v>0.82601851851851849</v>
      </c>
      <c r="I3132">
        <v>12</v>
      </c>
      <c r="J3132">
        <v>12</v>
      </c>
      <c r="K3132" t="s">
        <v>60</v>
      </c>
      <c r="L3132" t="s">
        <v>13</v>
      </c>
      <c r="M3132" t="s">
        <v>29</v>
      </c>
      <c r="N3132" t="s">
        <v>30</v>
      </c>
    </row>
    <row r="3133" spans="1:14" x14ac:dyDescent="0.25">
      <c r="A3133">
        <v>25615</v>
      </c>
      <c r="B3133">
        <v>11265</v>
      </c>
      <c r="C3133">
        <f>1/COUNTIF(B:B,pizza_sales[[#This Row],[order_id]])</f>
        <v>0.33333333333333331</v>
      </c>
      <c r="D3133" t="s">
        <v>56</v>
      </c>
      <c r="E3133">
        <v>1</v>
      </c>
      <c r="F3133" s="1">
        <v>42192</v>
      </c>
      <c r="G3133" s="1" t="str">
        <f>TEXT(pizza_sales[[#This Row],[order_date]],"dddd")</f>
        <v>Tuesday</v>
      </c>
      <c r="H3133" s="2">
        <v>0.82601851851851849</v>
      </c>
      <c r="I3133">
        <v>20.25</v>
      </c>
      <c r="J3133">
        <v>20.25</v>
      </c>
      <c r="K3133" t="s">
        <v>58</v>
      </c>
      <c r="L3133" t="s">
        <v>35</v>
      </c>
      <c r="M3133" t="s">
        <v>36</v>
      </c>
      <c r="N3133" t="s">
        <v>37</v>
      </c>
    </row>
    <row r="3134" spans="1:14" x14ac:dyDescent="0.25">
      <c r="A3134">
        <v>25617</v>
      </c>
      <c r="B3134">
        <v>11265</v>
      </c>
      <c r="C3134">
        <f>1/COUNTIF(B:B,pizza_sales[[#This Row],[order_id]])</f>
        <v>0.33333333333333331</v>
      </c>
      <c r="D3134" t="s">
        <v>44</v>
      </c>
      <c r="E3134">
        <v>1</v>
      </c>
      <c r="F3134" s="1">
        <v>42192</v>
      </c>
      <c r="G3134" s="1" t="str">
        <f>TEXT(pizza_sales[[#This Row],[order_date]],"dddd")</f>
        <v>Tuesday</v>
      </c>
      <c r="H3134" s="2">
        <v>0.82601851851851849</v>
      </c>
      <c r="I3134">
        <v>9.75</v>
      </c>
      <c r="J3134">
        <v>9.75</v>
      </c>
      <c r="K3134" t="s">
        <v>60</v>
      </c>
      <c r="L3134" t="s">
        <v>13</v>
      </c>
      <c r="M3134" t="s">
        <v>26</v>
      </c>
      <c r="N3134" t="s">
        <v>27</v>
      </c>
    </row>
    <row r="3135" spans="1:14" x14ac:dyDescent="0.25">
      <c r="A3135">
        <v>25619</v>
      </c>
      <c r="B3135">
        <v>11266</v>
      </c>
      <c r="C3135">
        <f>1/COUNTIF(B:B,pizza_sales[[#This Row],[order_id]])</f>
        <v>1</v>
      </c>
      <c r="D3135" t="s">
        <v>34</v>
      </c>
      <c r="E3135">
        <v>1</v>
      </c>
      <c r="F3135" s="1">
        <v>42192</v>
      </c>
      <c r="G3135" s="1" t="str">
        <f>TEXT(pizza_sales[[#This Row],[order_date]],"dddd")</f>
        <v>Tuesday</v>
      </c>
      <c r="H3135" s="2">
        <v>0.82839120370370367</v>
      </c>
      <c r="I3135">
        <v>16.25</v>
      </c>
      <c r="J3135">
        <v>16.25</v>
      </c>
      <c r="K3135" t="s">
        <v>59</v>
      </c>
      <c r="L3135" t="s">
        <v>35</v>
      </c>
      <c r="M3135" t="s">
        <v>36</v>
      </c>
      <c r="N3135" t="s">
        <v>37</v>
      </c>
    </row>
    <row r="3136" spans="1:14" x14ac:dyDescent="0.25">
      <c r="A3136">
        <v>25623</v>
      </c>
      <c r="B3136">
        <v>11268</v>
      </c>
      <c r="C3136">
        <f>1/COUNTIF(B:B,pizza_sales[[#This Row],[order_id]])</f>
        <v>1</v>
      </c>
      <c r="D3136" t="s">
        <v>20</v>
      </c>
      <c r="E3136">
        <v>1</v>
      </c>
      <c r="F3136" s="1">
        <v>42192</v>
      </c>
      <c r="G3136" s="1" t="str">
        <f>TEXT(pizza_sales[[#This Row],[order_date]],"dddd")</f>
        <v>Tuesday</v>
      </c>
      <c r="H3136" s="2">
        <v>0.84903935185185186</v>
      </c>
      <c r="I3136">
        <v>12</v>
      </c>
      <c r="J3136">
        <v>12</v>
      </c>
      <c r="K3136" t="s">
        <v>60</v>
      </c>
      <c r="L3136" t="s">
        <v>13</v>
      </c>
      <c r="M3136" t="s">
        <v>21</v>
      </c>
      <c r="N3136" t="s">
        <v>22</v>
      </c>
    </row>
    <row r="3137" spans="1:14" x14ac:dyDescent="0.25">
      <c r="A3137">
        <v>25625</v>
      </c>
      <c r="B3137">
        <v>11269</v>
      </c>
      <c r="C3137">
        <f>1/COUNTIF(B:B,pizza_sales[[#This Row],[order_id]])</f>
        <v>0.5</v>
      </c>
      <c r="D3137" t="s">
        <v>50</v>
      </c>
      <c r="E3137">
        <v>1</v>
      </c>
      <c r="F3137" s="1">
        <v>42192</v>
      </c>
      <c r="G3137" s="1" t="str">
        <f>TEXT(pizza_sales[[#This Row],[order_date]],"dddd")</f>
        <v>Tuesday</v>
      </c>
      <c r="H3137" s="2">
        <v>0.84957175925925921</v>
      </c>
      <c r="I3137">
        <v>16</v>
      </c>
      <c r="J3137">
        <v>16</v>
      </c>
      <c r="K3137" t="s">
        <v>59</v>
      </c>
      <c r="L3137" t="s">
        <v>13</v>
      </c>
      <c r="M3137" t="s">
        <v>32</v>
      </c>
      <c r="N3137" t="s">
        <v>33</v>
      </c>
    </row>
    <row r="3138" spans="1:14" x14ac:dyDescent="0.25">
      <c r="A3138">
        <v>25626</v>
      </c>
      <c r="B3138">
        <v>11269</v>
      </c>
      <c r="C3138">
        <f>1/COUNTIF(B:B,pizza_sales[[#This Row],[order_id]])</f>
        <v>0.5</v>
      </c>
      <c r="D3138" t="s">
        <v>25</v>
      </c>
      <c r="E3138">
        <v>1</v>
      </c>
      <c r="F3138" s="1">
        <v>42192</v>
      </c>
      <c r="G3138" s="1" t="str">
        <f>TEXT(pizza_sales[[#This Row],[order_date]],"dddd")</f>
        <v>Tuesday</v>
      </c>
      <c r="H3138" s="2">
        <v>0.84957175925925921</v>
      </c>
      <c r="I3138">
        <v>15.25</v>
      </c>
      <c r="J3138">
        <v>15.25</v>
      </c>
      <c r="K3138" t="s">
        <v>58</v>
      </c>
      <c r="L3138" t="s">
        <v>13</v>
      </c>
      <c r="M3138" t="s">
        <v>26</v>
      </c>
      <c r="N3138" t="s">
        <v>27</v>
      </c>
    </row>
    <row r="3139" spans="1:14" x14ac:dyDescent="0.25">
      <c r="A3139">
        <v>25628</v>
      </c>
      <c r="B3139">
        <v>11270</v>
      </c>
      <c r="C3139">
        <f>1/COUNTIF(B:B,pizza_sales[[#This Row],[order_id]])</f>
        <v>1</v>
      </c>
      <c r="D3139" t="s">
        <v>44</v>
      </c>
      <c r="E3139">
        <v>1</v>
      </c>
      <c r="F3139" s="1">
        <v>42192</v>
      </c>
      <c r="G3139" s="1" t="str">
        <f>TEXT(pizza_sales[[#This Row],[order_date]],"dddd")</f>
        <v>Tuesday</v>
      </c>
      <c r="H3139" s="2">
        <v>0.84966435185185185</v>
      </c>
      <c r="I3139">
        <v>9.75</v>
      </c>
      <c r="J3139">
        <v>9.75</v>
      </c>
      <c r="K3139" t="s">
        <v>60</v>
      </c>
      <c r="L3139" t="s">
        <v>13</v>
      </c>
      <c r="M3139" t="s">
        <v>26</v>
      </c>
      <c r="N3139" t="s">
        <v>27</v>
      </c>
    </row>
    <row r="3140" spans="1:14" x14ac:dyDescent="0.25">
      <c r="A3140">
        <v>25634</v>
      </c>
      <c r="B3140">
        <v>11275</v>
      </c>
      <c r="C3140">
        <f>1/COUNTIF(B:B,pizza_sales[[#This Row],[order_id]])</f>
        <v>1</v>
      </c>
      <c r="D3140" t="s">
        <v>24</v>
      </c>
      <c r="E3140">
        <v>1</v>
      </c>
      <c r="F3140" s="1">
        <v>42223</v>
      </c>
      <c r="G3140" s="1" t="str">
        <f>TEXT(pizza_sales[[#This Row],[order_date]],"dddd")</f>
        <v>Friday</v>
      </c>
      <c r="H3140" s="2">
        <v>0.47298611111111111</v>
      </c>
      <c r="I3140">
        <v>20.25</v>
      </c>
      <c r="J3140">
        <v>20.25</v>
      </c>
      <c r="K3140" t="s">
        <v>58</v>
      </c>
      <c r="L3140" t="s">
        <v>17</v>
      </c>
      <c r="M3140" t="s">
        <v>18</v>
      </c>
      <c r="N3140" t="s">
        <v>19</v>
      </c>
    </row>
    <row r="3141" spans="1:14" x14ac:dyDescent="0.25">
      <c r="A3141">
        <v>25636</v>
      </c>
      <c r="B3141">
        <v>11276</v>
      </c>
      <c r="C3141">
        <f>1/COUNTIF(B:B,pizza_sales[[#This Row],[order_id]])</f>
        <v>0.5</v>
      </c>
      <c r="D3141" t="s">
        <v>44</v>
      </c>
      <c r="E3141">
        <v>1</v>
      </c>
      <c r="F3141" s="1">
        <v>42223</v>
      </c>
      <c r="G3141" s="1" t="str">
        <f>TEXT(pizza_sales[[#This Row],[order_date]],"dddd")</f>
        <v>Friday</v>
      </c>
      <c r="H3141" s="2">
        <v>0.47920138888888891</v>
      </c>
      <c r="I3141">
        <v>9.75</v>
      </c>
      <c r="J3141">
        <v>9.75</v>
      </c>
      <c r="K3141" t="s">
        <v>60</v>
      </c>
      <c r="L3141" t="s">
        <v>13</v>
      </c>
      <c r="M3141" t="s">
        <v>26</v>
      </c>
      <c r="N3141" t="s">
        <v>27</v>
      </c>
    </row>
    <row r="3142" spans="1:14" x14ac:dyDescent="0.25">
      <c r="A3142">
        <v>25637</v>
      </c>
      <c r="B3142">
        <v>11276</v>
      </c>
      <c r="C3142">
        <f>1/COUNTIF(B:B,pizza_sales[[#This Row],[order_id]])</f>
        <v>0.5</v>
      </c>
      <c r="D3142" t="s">
        <v>39</v>
      </c>
      <c r="E3142">
        <v>1</v>
      </c>
      <c r="F3142" s="1">
        <v>42223</v>
      </c>
      <c r="G3142" s="1" t="str">
        <f>TEXT(pizza_sales[[#This Row],[order_date]],"dddd")</f>
        <v>Friday</v>
      </c>
      <c r="H3142" s="2">
        <v>0.47920138888888891</v>
      </c>
      <c r="I3142">
        <v>20.25</v>
      </c>
      <c r="J3142">
        <v>20.25</v>
      </c>
      <c r="K3142" t="s">
        <v>58</v>
      </c>
      <c r="L3142" t="s">
        <v>35</v>
      </c>
      <c r="M3142" t="s">
        <v>40</v>
      </c>
      <c r="N3142" t="s">
        <v>41</v>
      </c>
    </row>
    <row r="3143" spans="1:14" x14ac:dyDescent="0.25">
      <c r="A3143">
        <v>25639</v>
      </c>
      <c r="B3143">
        <v>11277</v>
      </c>
      <c r="C3143">
        <f>1/COUNTIF(B:B,pizza_sales[[#This Row],[order_id]])</f>
        <v>1</v>
      </c>
      <c r="D3143" t="s">
        <v>42</v>
      </c>
      <c r="E3143">
        <v>1</v>
      </c>
      <c r="F3143" s="1">
        <v>42223</v>
      </c>
      <c r="G3143" s="1" t="str">
        <f>TEXT(pizza_sales[[#This Row],[order_date]],"dddd")</f>
        <v>Friday</v>
      </c>
      <c r="H3143" s="2">
        <v>0.48011574074074076</v>
      </c>
      <c r="I3143">
        <v>12.5</v>
      </c>
      <c r="J3143">
        <v>12.5</v>
      </c>
      <c r="K3143" t="s">
        <v>59</v>
      </c>
      <c r="L3143" t="s">
        <v>13</v>
      </c>
      <c r="M3143" t="s">
        <v>26</v>
      </c>
      <c r="N3143" t="s">
        <v>27</v>
      </c>
    </row>
    <row r="3144" spans="1:14" x14ac:dyDescent="0.25">
      <c r="A3144">
        <v>25642</v>
      </c>
      <c r="B3144">
        <v>11280</v>
      </c>
      <c r="C3144">
        <f>1/COUNTIF(B:B,pizza_sales[[#This Row],[order_id]])</f>
        <v>0.5</v>
      </c>
      <c r="D3144" t="s">
        <v>28</v>
      </c>
      <c r="E3144">
        <v>1</v>
      </c>
      <c r="F3144" s="1">
        <v>42223</v>
      </c>
      <c r="G3144" s="1" t="str">
        <f>TEXT(pizza_sales[[#This Row],[order_date]],"dddd")</f>
        <v>Friday</v>
      </c>
      <c r="H3144" s="2">
        <v>0.49145833333333333</v>
      </c>
      <c r="I3144">
        <v>12</v>
      </c>
      <c r="J3144">
        <v>12</v>
      </c>
      <c r="K3144" t="s">
        <v>60</v>
      </c>
      <c r="L3144" t="s">
        <v>13</v>
      </c>
      <c r="M3144" t="s">
        <v>29</v>
      </c>
      <c r="N3144" t="s">
        <v>30</v>
      </c>
    </row>
    <row r="3145" spans="1:14" x14ac:dyDescent="0.25">
      <c r="A3145">
        <v>25643</v>
      </c>
      <c r="B3145">
        <v>11280</v>
      </c>
      <c r="C3145">
        <f>1/COUNTIF(B:B,pizza_sales[[#This Row],[order_id]])</f>
        <v>0.5</v>
      </c>
      <c r="D3145" t="s">
        <v>12</v>
      </c>
      <c r="E3145">
        <v>1</v>
      </c>
      <c r="F3145" s="1">
        <v>42223</v>
      </c>
      <c r="G3145" s="1" t="str">
        <f>TEXT(pizza_sales[[#This Row],[order_date]],"dddd")</f>
        <v>Friday</v>
      </c>
      <c r="H3145" s="2">
        <v>0.49145833333333333</v>
      </c>
      <c r="I3145">
        <v>13.25</v>
      </c>
      <c r="J3145">
        <v>13.25</v>
      </c>
      <c r="K3145" t="s">
        <v>59</v>
      </c>
      <c r="L3145" t="s">
        <v>13</v>
      </c>
      <c r="M3145" t="s">
        <v>14</v>
      </c>
      <c r="N3145" t="s">
        <v>15</v>
      </c>
    </row>
    <row r="3146" spans="1:14" x14ac:dyDescent="0.25">
      <c r="A3146">
        <v>25645</v>
      </c>
      <c r="B3146">
        <v>11281</v>
      </c>
      <c r="C3146">
        <f>1/COUNTIF(B:B,pizza_sales[[#This Row],[order_id]])</f>
        <v>1</v>
      </c>
      <c r="D3146" t="s">
        <v>16</v>
      </c>
      <c r="E3146">
        <v>1</v>
      </c>
      <c r="F3146" s="1">
        <v>42223</v>
      </c>
      <c r="G3146" s="1" t="str">
        <f>TEXT(pizza_sales[[#This Row],[order_date]],"dddd")</f>
        <v>Friday</v>
      </c>
      <c r="H3146" s="2">
        <v>0.4954513888888889</v>
      </c>
      <c r="I3146">
        <v>16</v>
      </c>
      <c r="J3146">
        <v>16</v>
      </c>
      <c r="K3146" t="s">
        <v>59</v>
      </c>
      <c r="L3146" t="s">
        <v>17</v>
      </c>
      <c r="M3146" t="s">
        <v>18</v>
      </c>
      <c r="N3146" t="s">
        <v>19</v>
      </c>
    </row>
    <row r="3147" spans="1:14" x14ac:dyDescent="0.25">
      <c r="A3147">
        <v>25652</v>
      </c>
      <c r="B3147">
        <v>11285</v>
      </c>
      <c r="C3147">
        <f>1/COUNTIF(B:B,pizza_sales[[#This Row],[order_id]])</f>
        <v>0.5</v>
      </c>
      <c r="D3147" t="s">
        <v>51</v>
      </c>
      <c r="E3147">
        <v>1</v>
      </c>
      <c r="F3147" s="1">
        <v>42223</v>
      </c>
      <c r="G3147" s="1" t="str">
        <f>TEXT(pizza_sales[[#This Row],[order_date]],"dddd")</f>
        <v>Friday</v>
      </c>
      <c r="H3147" s="2">
        <v>0.50497685185185182</v>
      </c>
      <c r="I3147">
        <v>23.65</v>
      </c>
      <c r="J3147">
        <v>23.65</v>
      </c>
      <c r="K3147" t="s">
        <v>60</v>
      </c>
      <c r="L3147" t="s">
        <v>35</v>
      </c>
      <c r="M3147" t="s">
        <v>52</v>
      </c>
      <c r="N3147" t="s">
        <v>53</v>
      </c>
    </row>
    <row r="3148" spans="1:14" x14ac:dyDescent="0.25">
      <c r="A3148">
        <v>25654</v>
      </c>
      <c r="B3148">
        <v>11285</v>
      </c>
      <c r="C3148">
        <f>1/COUNTIF(B:B,pizza_sales[[#This Row],[order_id]])</f>
        <v>0.5</v>
      </c>
      <c r="D3148" t="s">
        <v>25</v>
      </c>
      <c r="E3148">
        <v>1</v>
      </c>
      <c r="F3148" s="1">
        <v>42223</v>
      </c>
      <c r="G3148" s="1" t="str">
        <f>TEXT(pizza_sales[[#This Row],[order_date]],"dddd")</f>
        <v>Friday</v>
      </c>
      <c r="H3148" s="2">
        <v>0.50497685185185182</v>
      </c>
      <c r="I3148">
        <v>15.25</v>
      </c>
      <c r="J3148">
        <v>15.25</v>
      </c>
      <c r="K3148" t="s">
        <v>58</v>
      </c>
      <c r="L3148" t="s">
        <v>13</v>
      </c>
      <c r="M3148" t="s">
        <v>26</v>
      </c>
      <c r="N3148" t="s">
        <v>27</v>
      </c>
    </row>
    <row r="3149" spans="1:14" x14ac:dyDescent="0.25">
      <c r="A3149">
        <v>25659</v>
      </c>
      <c r="B3149">
        <v>11289</v>
      </c>
      <c r="C3149">
        <f>1/COUNTIF(B:B,pizza_sales[[#This Row],[order_id]])</f>
        <v>1</v>
      </c>
      <c r="D3149" t="s">
        <v>56</v>
      </c>
      <c r="E3149">
        <v>1</v>
      </c>
      <c r="F3149" s="1">
        <v>42223</v>
      </c>
      <c r="G3149" s="1" t="str">
        <f>TEXT(pizza_sales[[#This Row],[order_date]],"dddd")</f>
        <v>Friday</v>
      </c>
      <c r="H3149" s="2">
        <v>0.51460648148148147</v>
      </c>
      <c r="I3149">
        <v>20.25</v>
      </c>
      <c r="J3149">
        <v>20.25</v>
      </c>
      <c r="K3149" t="s">
        <v>58</v>
      </c>
      <c r="L3149" t="s">
        <v>35</v>
      </c>
      <c r="M3149" t="s">
        <v>36</v>
      </c>
      <c r="N3149" t="s">
        <v>37</v>
      </c>
    </row>
    <row r="3150" spans="1:14" x14ac:dyDescent="0.25">
      <c r="A3150">
        <v>25661</v>
      </c>
      <c r="B3150">
        <v>11290</v>
      </c>
      <c r="C3150">
        <f>1/COUNTIF(B:B,pizza_sales[[#This Row],[order_id]])</f>
        <v>1</v>
      </c>
      <c r="D3150" t="s">
        <v>28</v>
      </c>
      <c r="E3150">
        <v>1</v>
      </c>
      <c r="F3150" s="1">
        <v>42223</v>
      </c>
      <c r="G3150" s="1" t="str">
        <f>TEXT(pizza_sales[[#This Row],[order_date]],"dddd")</f>
        <v>Friday</v>
      </c>
      <c r="H3150" s="2">
        <v>0.52128472222222222</v>
      </c>
      <c r="I3150">
        <v>12</v>
      </c>
      <c r="J3150">
        <v>12</v>
      </c>
      <c r="K3150" t="s">
        <v>60</v>
      </c>
      <c r="L3150" t="s">
        <v>13</v>
      </c>
      <c r="M3150" t="s">
        <v>29</v>
      </c>
      <c r="N3150" t="s">
        <v>30</v>
      </c>
    </row>
    <row r="3151" spans="1:14" x14ac:dyDescent="0.25">
      <c r="A3151">
        <v>25664</v>
      </c>
      <c r="B3151">
        <v>11291</v>
      </c>
      <c r="C3151">
        <f>1/COUNTIF(B:B,pizza_sales[[#This Row],[order_id]])</f>
        <v>0.5</v>
      </c>
      <c r="D3151" t="s">
        <v>45</v>
      </c>
      <c r="E3151">
        <v>1</v>
      </c>
      <c r="F3151" s="1">
        <v>42223</v>
      </c>
      <c r="G3151" s="1" t="str">
        <f>TEXT(pizza_sales[[#This Row],[order_date]],"dddd")</f>
        <v>Friday</v>
      </c>
      <c r="H3151" s="2">
        <v>0.53083333333333338</v>
      </c>
      <c r="I3151">
        <v>10.5</v>
      </c>
      <c r="J3151">
        <v>10.5</v>
      </c>
      <c r="K3151" t="s">
        <v>60</v>
      </c>
      <c r="L3151" t="s">
        <v>13</v>
      </c>
      <c r="M3151" t="s">
        <v>14</v>
      </c>
      <c r="N3151" t="s">
        <v>15</v>
      </c>
    </row>
    <row r="3152" spans="1:14" x14ac:dyDescent="0.25">
      <c r="A3152">
        <v>25665</v>
      </c>
      <c r="B3152">
        <v>11291</v>
      </c>
      <c r="C3152">
        <f>1/COUNTIF(B:B,pizza_sales[[#This Row],[order_id]])</f>
        <v>0.5</v>
      </c>
      <c r="D3152" t="s">
        <v>25</v>
      </c>
      <c r="E3152">
        <v>1</v>
      </c>
      <c r="F3152" s="1">
        <v>42223</v>
      </c>
      <c r="G3152" s="1" t="str">
        <f>TEXT(pizza_sales[[#This Row],[order_date]],"dddd")</f>
        <v>Friday</v>
      </c>
      <c r="H3152" s="2">
        <v>0.53083333333333338</v>
      </c>
      <c r="I3152">
        <v>15.25</v>
      </c>
      <c r="J3152">
        <v>15.25</v>
      </c>
      <c r="K3152" t="s">
        <v>58</v>
      </c>
      <c r="L3152" t="s">
        <v>13</v>
      </c>
      <c r="M3152" t="s">
        <v>26</v>
      </c>
      <c r="N3152" t="s">
        <v>27</v>
      </c>
    </row>
    <row r="3153" spans="1:14" x14ac:dyDescent="0.25">
      <c r="A3153">
        <v>25670</v>
      </c>
      <c r="B3153">
        <v>11293</v>
      </c>
      <c r="C3153">
        <f>1/COUNTIF(B:B,pizza_sales[[#This Row],[order_id]])</f>
        <v>1</v>
      </c>
      <c r="D3153" t="s">
        <v>44</v>
      </c>
      <c r="E3153">
        <v>1</v>
      </c>
      <c r="F3153" s="1">
        <v>42223</v>
      </c>
      <c r="G3153" s="1" t="str">
        <f>TEXT(pizza_sales[[#This Row],[order_date]],"dddd")</f>
        <v>Friday</v>
      </c>
      <c r="H3153" s="2">
        <v>0.53802083333333328</v>
      </c>
      <c r="I3153">
        <v>9.75</v>
      </c>
      <c r="J3153">
        <v>9.75</v>
      </c>
      <c r="K3153" t="s">
        <v>60</v>
      </c>
      <c r="L3153" t="s">
        <v>13</v>
      </c>
      <c r="M3153" t="s">
        <v>26</v>
      </c>
      <c r="N3153" t="s">
        <v>27</v>
      </c>
    </row>
    <row r="3154" spans="1:14" x14ac:dyDescent="0.25">
      <c r="A3154">
        <v>25673</v>
      </c>
      <c r="B3154">
        <v>11295</v>
      </c>
      <c r="C3154">
        <f>1/COUNTIF(B:B,pizza_sales[[#This Row],[order_id]])</f>
        <v>0.5</v>
      </c>
      <c r="D3154" t="s">
        <v>34</v>
      </c>
      <c r="E3154">
        <v>1</v>
      </c>
      <c r="F3154" s="1">
        <v>42223</v>
      </c>
      <c r="G3154" s="1" t="str">
        <f>TEXT(pizza_sales[[#This Row],[order_date]],"dddd")</f>
        <v>Friday</v>
      </c>
      <c r="H3154" s="2">
        <v>0.55026620370370372</v>
      </c>
      <c r="I3154">
        <v>16.25</v>
      </c>
      <c r="J3154">
        <v>16.25</v>
      </c>
      <c r="K3154" t="s">
        <v>59</v>
      </c>
      <c r="L3154" t="s">
        <v>35</v>
      </c>
      <c r="M3154" t="s">
        <v>36</v>
      </c>
      <c r="N3154" t="s">
        <v>37</v>
      </c>
    </row>
    <row r="3155" spans="1:14" x14ac:dyDescent="0.25">
      <c r="A3155">
        <v>25677</v>
      </c>
      <c r="B3155">
        <v>11295</v>
      </c>
      <c r="C3155">
        <f>1/COUNTIF(B:B,pizza_sales[[#This Row],[order_id]])</f>
        <v>0.5</v>
      </c>
      <c r="D3155" t="s">
        <v>38</v>
      </c>
      <c r="E3155">
        <v>1</v>
      </c>
      <c r="F3155" s="1">
        <v>42223</v>
      </c>
      <c r="G3155" s="1" t="str">
        <f>TEXT(pizza_sales[[#This Row],[order_date]],"dddd")</f>
        <v>Friday</v>
      </c>
      <c r="H3155" s="2">
        <v>0.55026620370370372</v>
      </c>
      <c r="I3155">
        <v>20.5</v>
      </c>
      <c r="J3155">
        <v>20.5</v>
      </c>
      <c r="K3155" t="s">
        <v>58</v>
      </c>
      <c r="L3155" t="s">
        <v>13</v>
      </c>
      <c r="M3155" t="s">
        <v>32</v>
      </c>
      <c r="N3155" t="s">
        <v>33</v>
      </c>
    </row>
    <row r="3156" spans="1:14" x14ac:dyDescent="0.25">
      <c r="A3156">
        <v>25679</v>
      </c>
      <c r="B3156">
        <v>11296</v>
      </c>
      <c r="C3156">
        <f>1/COUNTIF(B:B,pizza_sales[[#This Row],[order_id]])</f>
        <v>1</v>
      </c>
      <c r="D3156" t="s">
        <v>51</v>
      </c>
      <c r="E3156">
        <v>1</v>
      </c>
      <c r="F3156" s="1">
        <v>42223</v>
      </c>
      <c r="G3156" s="1" t="str">
        <f>TEXT(pizza_sales[[#This Row],[order_date]],"dddd")</f>
        <v>Friday</v>
      </c>
      <c r="H3156" s="2">
        <v>0.55045138888888889</v>
      </c>
      <c r="I3156">
        <v>23.65</v>
      </c>
      <c r="J3156">
        <v>23.65</v>
      </c>
      <c r="K3156" t="s">
        <v>60</v>
      </c>
      <c r="L3156" t="s">
        <v>35</v>
      </c>
      <c r="M3156" t="s">
        <v>52</v>
      </c>
      <c r="N3156" t="s">
        <v>53</v>
      </c>
    </row>
    <row r="3157" spans="1:14" x14ac:dyDescent="0.25">
      <c r="A3157">
        <v>25683</v>
      </c>
      <c r="B3157">
        <v>11298</v>
      </c>
      <c r="C3157">
        <f>1/COUNTIF(B:B,pizza_sales[[#This Row],[order_id]])</f>
        <v>1</v>
      </c>
      <c r="D3157" t="s">
        <v>49</v>
      </c>
      <c r="E3157">
        <v>1</v>
      </c>
      <c r="F3157" s="1">
        <v>42223</v>
      </c>
      <c r="G3157" s="1" t="str">
        <f>TEXT(pizza_sales[[#This Row],[order_date]],"dddd")</f>
        <v>Friday</v>
      </c>
      <c r="H3157" s="2">
        <v>0.57567129629629632</v>
      </c>
      <c r="I3157">
        <v>16</v>
      </c>
      <c r="J3157">
        <v>16</v>
      </c>
      <c r="K3157" t="s">
        <v>59</v>
      </c>
      <c r="L3157" t="s">
        <v>13</v>
      </c>
      <c r="M3157" t="s">
        <v>21</v>
      </c>
      <c r="N3157" t="s">
        <v>22</v>
      </c>
    </row>
    <row r="3158" spans="1:14" x14ac:dyDescent="0.25">
      <c r="A3158">
        <v>25688</v>
      </c>
      <c r="B3158">
        <v>11299</v>
      </c>
      <c r="C3158">
        <f>1/COUNTIF(B:B,pizza_sales[[#This Row],[order_id]])</f>
        <v>1</v>
      </c>
      <c r="D3158" t="s">
        <v>44</v>
      </c>
      <c r="E3158">
        <v>1</v>
      </c>
      <c r="F3158" s="1">
        <v>42223</v>
      </c>
      <c r="G3158" s="1" t="str">
        <f>TEXT(pizza_sales[[#This Row],[order_date]],"dddd")</f>
        <v>Friday</v>
      </c>
      <c r="H3158" s="2">
        <v>0.5891319444444445</v>
      </c>
      <c r="I3158">
        <v>9.75</v>
      </c>
      <c r="J3158">
        <v>9.75</v>
      </c>
      <c r="K3158" t="s">
        <v>60</v>
      </c>
      <c r="L3158" t="s">
        <v>13</v>
      </c>
      <c r="M3158" t="s">
        <v>26</v>
      </c>
      <c r="N3158" t="s">
        <v>27</v>
      </c>
    </row>
    <row r="3159" spans="1:14" x14ac:dyDescent="0.25">
      <c r="A3159">
        <v>25700</v>
      </c>
      <c r="B3159">
        <v>11306</v>
      </c>
      <c r="C3159">
        <f>1/COUNTIF(B:B,pizza_sales[[#This Row],[order_id]])</f>
        <v>1</v>
      </c>
      <c r="D3159" t="s">
        <v>34</v>
      </c>
      <c r="E3159">
        <v>1</v>
      </c>
      <c r="F3159" s="1">
        <v>42223</v>
      </c>
      <c r="G3159" s="1" t="str">
        <f>TEXT(pizza_sales[[#This Row],[order_date]],"dddd")</f>
        <v>Friday</v>
      </c>
      <c r="H3159" s="2">
        <v>0.62240740740740741</v>
      </c>
      <c r="I3159">
        <v>16.25</v>
      </c>
      <c r="J3159">
        <v>16.25</v>
      </c>
      <c r="K3159" t="s">
        <v>59</v>
      </c>
      <c r="L3159" t="s">
        <v>35</v>
      </c>
      <c r="M3159" t="s">
        <v>36</v>
      </c>
      <c r="N3159" t="s">
        <v>37</v>
      </c>
    </row>
    <row r="3160" spans="1:14" x14ac:dyDescent="0.25">
      <c r="A3160">
        <v>25706</v>
      </c>
      <c r="B3160">
        <v>11308</v>
      </c>
      <c r="C3160">
        <f>1/COUNTIF(B:B,pizza_sales[[#This Row],[order_id]])</f>
        <v>1</v>
      </c>
      <c r="D3160" t="s">
        <v>24</v>
      </c>
      <c r="E3160">
        <v>1</v>
      </c>
      <c r="F3160" s="1">
        <v>42223</v>
      </c>
      <c r="G3160" s="1" t="str">
        <f>TEXT(pizza_sales[[#This Row],[order_date]],"dddd")</f>
        <v>Friday</v>
      </c>
      <c r="H3160" s="2">
        <v>0.6371296296296296</v>
      </c>
      <c r="I3160">
        <v>20.25</v>
      </c>
      <c r="J3160">
        <v>20.25</v>
      </c>
      <c r="K3160" t="s">
        <v>58</v>
      </c>
      <c r="L3160" t="s">
        <v>17</v>
      </c>
      <c r="M3160" t="s">
        <v>18</v>
      </c>
      <c r="N3160" t="s">
        <v>19</v>
      </c>
    </row>
    <row r="3161" spans="1:14" x14ac:dyDescent="0.25">
      <c r="A3161">
        <v>25707</v>
      </c>
      <c r="B3161">
        <v>11309</v>
      </c>
      <c r="C3161">
        <f>1/COUNTIF(B:B,pizza_sales[[#This Row],[order_id]])</f>
        <v>1</v>
      </c>
      <c r="D3161" t="s">
        <v>55</v>
      </c>
      <c r="E3161">
        <v>1</v>
      </c>
      <c r="F3161" s="1">
        <v>42223</v>
      </c>
      <c r="G3161" s="1" t="str">
        <f>TEXT(pizza_sales[[#This Row],[order_date]],"dddd")</f>
        <v>Friday</v>
      </c>
      <c r="H3161" s="2">
        <v>0.64057870370370373</v>
      </c>
      <c r="I3161">
        <v>20.5</v>
      </c>
      <c r="J3161">
        <v>20.5</v>
      </c>
      <c r="K3161" t="s">
        <v>58</v>
      </c>
      <c r="L3161" t="s">
        <v>13</v>
      </c>
      <c r="M3161" t="s">
        <v>21</v>
      </c>
      <c r="N3161" t="s">
        <v>22</v>
      </c>
    </row>
    <row r="3162" spans="1:14" x14ac:dyDescent="0.25">
      <c r="A3162">
        <v>25711</v>
      </c>
      <c r="B3162">
        <v>11311</v>
      </c>
      <c r="C3162">
        <f>1/COUNTIF(B:B,pizza_sales[[#This Row],[order_id]])</f>
        <v>1</v>
      </c>
      <c r="D3162" t="s">
        <v>46</v>
      </c>
      <c r="E3162">
        <v>1</v>
      </c>
      <c r="F3162" s="1">
        <v>42223</v>
      </c>
      <c r="G3162" s="1" t="str">
        <f>TEXT(pizza_sales[[#This Row],[order_date]],"dddd")</f>
        <v>Friday</v>
      </c>
      <c r="H3162" s="2">
        <v>0.66835648148148152</v>
      </c>
      <c r="I3162">
        <v>25.5</v>
      </c>
      <c r="J3162">
        <v>25.5</v>
      </c>
      <c r="K3162" t="s">
        <v>61</v>
      </c>
      <c r="L3162" t="s">
        <v>13</v>
      </c>
      <c r="M3162" t="s">
        <v>21</v>
      </c>
      <c r="N3162" t="s">
        <v>22</v>
      </c>
    </row>
    <row r="3163" spans="1:14" x14ac:dyDescent="0.25">
      <c r="A3163">
        <v>25721</v>
      </c>
      <c r="B3163">
        <v>11318</v>
      </c>
      <c r="C3163">
        <f>1/COUNTIF(B:B,pizza_sales[[#This Row],[order_id]])</f>
        <v>1</v>
      </c>
      <c r="D3163" t="s">
        <v>31</v>
      </c>
      <c r="E3163">
        <v>1</v>
      </c>
      <c r="F3163" s="1">
        <v>42223</v>
      </c>
      <c r="G3163" s="1" t="str">
        <f>TEXT(pizza_sales[[#This Row],[order_date]],"dddd")</f>
        <v>Friday</v>
      </c>
      <c r="H3163" s="2">
        <v>0.74033564814814812</v>
      </c>
      <c r="I3163">
        <v>12</v>
      </c>
      <c r="J3163">
        <v>12</v>
      </c>
      <c r="K3163" t="s">
        <v>60</v>
      </c>
      <c r="L3163" t="s">
        <v>13</v>
      </c>
      <c r="M3163" t="s">
        <v>32</v>
      </c>
      <c r="N3163" t="s">
        <v>33</v>
      </c>
    </row>
    <row r="3164" spans="1:14" x14ac:dyDescent="0.25">
      <c r="A3164">
        <v>25727</v>
      </c>
      <c r="B3164">
        <v>11320</v>
      </c>
      <c r="C3164">
        <f>1/COUNTIF(B:B,pizza_sales[[#This Row],[order_id]])</f>
        <v>1</v>
      </c>
      <c r="D3164" t="s">
        <v>47</v>
      </c>
      <c r="E3164">
        <v>1</v>
      </c>
      <c r="F3164" s="1">
        <v>42223</v>
      </c>
      <c r="G3164" s="1" t="str">
        <f>TEXT(pizza_sales[[#This Row],[order_date]],"dddd")</f>
        <v>Friday</v>
      </c>
      <c r="H3164" s="2">
        <v>0.75302083333333336</v>
      </c>
      <c r="I3164">
        <v>16.5</v>
      </c>
      <c r="J3164">
        <v>16.5</v>
      </c>
      <c r="K3164" t="s">
        <v>58</v>
      </c>
      <c r="L3164" t="s">
        <v>13</v>
      </c>
      <c r="M3164" t="s">
        <v>14</v>
      </c>
      <c r="N3164" t="s">
        <v>15</v>
      </c>
    </row>
    <row r="3165" spans="1:14" x14ac:dyDescent="0.25">
      <c r="A3165">
        <v>25736</v>
      </c>
      <c r="B3165">
        <v>11324</v>
      </c>
      <c r="C3165">
        <f>1/COUNTIF(B:B,pizza_sales[[#This Row],[order_id]])</f>
        <v>0.5</v>
      </c>
      <c r="D3165" t="s">
        <v>38</v>
      </c>
      <c r="E3165">
        <v>1</v>
      </c>
      <c r="F3165" s="1">
        <v>42223</v>
      </c>
      <c r="G3165" s="1" t="str">
        <f>TEXT(pizza_sales[[#This Row],[order_date]],"dddd")</f>
        <v>Friday</v>
      </c>
      <c r="H3165" s="2">
        <v>0.77784722222222225</v>
      </c>
      <c r="I3165">
        <v>20.5</v>
      </c>
      <c r="J3165">
        <v>20.5</v>
      </c>
      <c r="K3165" t="s">
        <v>58</v>
      </c>
      <c r="L3165" t="s">
        <v>13</v>
      </c>
      <c r="M3165" t="s">
        <v>32</v>
      </c>
      <c r="N3165" t="s">
        <v>33</v>
      </c>
    </row>
    <row r="3166" spans="1:14" x14ac:dyDescent="0.25">
      <c r="A3166">
        <v>25737</v>
      </c>
      <c r="B3166">
        <v>11324</v>
      </c>
      <c r="C3166">
        <f>1/COUNTIF(B:B,pizza_sales[[#This Row],[order_id]])</f>
        <v>0.5</v>
      </c>
      <c r="D3166" t="s">
        <v>44</v>
      </c>
      <c r="E3166">
        <v>1</v>
      </c>
      <c r="F3166" s="1">
        <v>42223</v>
      </c>
      <c r="G3166" s="1" t="str">
        <f>TEXT(pizza_sales[[#This Row],[order_date]],"dddd")</f>
        <v>Friday</v>
      </c>
      <c r="H3166" s="2">
        <v>0.77784722222222225</v>
      </c>
      <c r="I3166">
        <v>9.75</v>
      </c>
      <c r="J3166">
        <v>9.75</v>
      </c>
      <c r="K3166" t="s">
        <v>60</v>
      </c>
      <c r="L3166" t="s">
        <v>13</v>
      </c>
      <c r="M3166" t="s">
        <v>26</v>
      </c>
      <c r="N3166" t="s">
        <v>27</v>
      </c>
    </row>
    <row r="3167" spans="1:14" x14ac:dyDescent="0.25">
      <c r="A3167">
        <v>25744</v>
      </c>
      <c r="B3167">
        <v>11327</v>
      </c>
      <c r="C3167">
        <f>1/COUNTIF(B:B,pizza_sales[[#This Row],[order_id]])</f>
        <v>1</v>
      </c>
      <c r="D3167" t="s">
        <v>20</v>
      </c>
      <c r="E3167">
        <v>1</v>
      </c>
      <c r="F3167" s="1">
        <v>42223</v>
      </c>
      <c r="G3167" s="1" t="str">
        <f>TEXT(pizza_sales[[#This Row],[order_date]],"dddd")</f>
        <v>Friday</v>
      </c>
      <c r="H3167" s="2">
        <v>0.79857638888888893</v>
      </c>
      <c r="I3167">
        <v>12</v>
      </c>
      <c r="J3167">
        <v>12</v>
      </c>
      <c r="K3167" t="s">
        <v>60</v>
      </c>
      <c r="L3167" t="s">
        <v>13</v>
      </c>
      <c r="M3167" t="s">
        <v>21</v>
      </c>
      <c r="N3167" t="s">
        <v>22</v>
      </c>
    </row>
    <row r="3168" spans="1:14" x14ac:dyDescent="0.25">
      <c r="A3168">
        <v>25747</v>
      </c>
      <c r="B3168">
        <v>11329</v>
      </c>
      <c r="C3168">
        <f>1/COUNTIF(B:B,pizza_sales[[#This Row],[order_id]])</f>
        <v>1</v>
      </c>
      <c r="D3168" t="s">
        <v>51</v>
      </c>
      <c r="E3168">
        <v>1</v>
      </c>
      <c r="F3168" s="1">
        <v>42223</v>
      </c>
      <c r="G3168" s="1" t="str">
        <f>TEXT(pizza_sales[[#This Row],[order_date]],"dddd")</f>
        <v>Friday</v>
      </c>
      <c r="H3168" s="2">
        <v>0.8066550925925926</v>
      </c>
      <c r="I3168">
        <v>23.65</v>
      </c>
      <c r="J3168">
        <v>23.65</v>
      </c>
      <c r="K3168" t="s">
        <v>60</v>
      </c>
      <c r="L3168" t="s">
        <v>35</v>
      </c>
      <c r="M3168" t="s">
        <v>52</v>
      </c>
      <c r="N3168" t="s">
        <v>53</v>
      </c>
    </row>
    <row r="3169" spans="1:14" x14ac:dyDescent="0.25">
      <c r="A3169">
        <v>25749</v>
      </c>
      <c r="B3169">
        <v>11330</v>
      </c>
      <c r="C3169">
        <f>1/COUNTIF(B:B,pizza_sales[[#This Row],[order_id]])</f>
        <v>1</v>
      </c>
      <c r="D3169" t="s">
        <v>51</v>
      </c>
      <c r="E3169">
        <v>1</v>
      </c>
      <c r="F3169" s="1">
        <v>42223</v>
      </c>
      <c r="G3169" s="1" t="str">
        <f>TEXT(pizza_sales[[#This Row],[order_date]],"dddd")</f>
        <v>Friday</v>
      </c>
      <c r="H3169" s="2">
        <v>0.81668981481481484</v>
      </c>
      <c r="I3169">
        <v>23.65</v>
      </c>
      <c r="J3169">
        <v>23.65</v>
      </c>
      <c r="K3169" t="s">
        <v>60</v>
      </c>
      <c r="L3169" t="s">
        <v>35</v>
      </c>
      <c r="M3169" t="s">
        <v>52</v>
      </c>
      <c r="N3169" t="s">
        <v>53</v>
      </c>
    </row>
    <row r="3170" spans="1:14" x14ac:dyDescent="0.25">
      <c r="A3170">
        <v>25757</v>
      </c>
      <c r="B3170">
        <v>11334</v>
      </c>
      <c r="C3170">
        <f>1/COUNTIF(B:B,pizza_sales[[#This Row],[order_id]])</f>
        <v>1</v>
      </c>
      <c r="D3170" t="s">
        <v>25</v>
      </c>
      <c r="E3170">
        <v>1</v>
      </c>
      <c r="F3170" s="1">
        <v>42223</v>
      </c>
      <c r="G3170" s="1" t="str">
        <f>TEXT(pizza_sales[[#This Row],[order_date]],"dddd")</f>
        <v>Friday</v>
      </c>
      <c r="H3170" s="2">
        <v>0.84722222222222221</v>
      </c>
      <c r="I3170">
        <v>15.25</v>
      </c>
      <c r="J3170">
        <v>15.25</v>
      </c>
      <c r="K3170" t="s">
        <v>58</v>
      </c>
      <c r="L3170" t="s">
        <v>13</v>
      </c>
      <c r="M3170" t="s">
        <v>26</v>
      </c>
      <c r="N3170" t="s">
        <v>27</v>
      </c>
    </row>
    <row r="3171" spans="1:14" x14ac:dyDescent="0.25">
      <c r="A3171">
        <v>25767</v>
      </c>
      <c r="B3171">
        <v>11339</v>
      </c>
      <c r="C3171">
        <f>1/COUNTIF(B:B,pizza_sales[[#This Row],[order_id]])</f>
        <v>1</v>
      </c>
      <c r="D3171" t="s">
        <v>49</v>
      </c>
      <c r="E3171">
        <v>1</v>
      </c>
      <c r="F3171" s="1">
        <v>42223</v>
      </c>
      <c r="G3171" s="1" t="str">
        <f>TEXT(pizza_sales[[#This Row],[order_date]],"dddd")</f>
        <v>Friday</v>
      </c>
      <c r="H3171" s="2">
        <v>0.92167824074074078</v>
      </c>
      <c r="I3171">
        <v>16</v>
      </c>
      <c r="J3171">
        <v>16</v>
      </c>
      <c r="K3171" t="s">
        <v>59</v>
      </c>
      <c r="L3171" t="s">
        <v>13</v>
      </c>
      <c r="M3171" t="s">
        <v>21</v>
      </c>
      <c r="N3171" t="s">
        <v>22</v>
      </c>
    </row>
    <row r="3172" spans="1:14" x14ac:dyDescent="0.25">
      <c r="A3172">
        <v>25770</v>
      </c>
      <c r="B3172">
        <v>11340</v>
      </c>
      <c r="C3172">
        <f>1/COUNTIF(B:B,pizza_sales[[#This Row],[order_id]])</f>
        <v>1</v>
      </c>
      <c r="D3172" t="s">
        <v>42</v>
      </c>
      <c r="E3172">
        <v>1</v>
      </c>
      <c r="F3172" s="1">
        <v>42223</v>
      </c>
      <c r="G3172" s="1" t="str">
        <f>TEXT(pizza_sales[[#This Row],[order_date]],"dddd")</f>
        <v>Friday</v>
      </c>
      <c r="H3172" s="2">
        <v>0.93245370370370373</v>
      </c>
      <c r="I3172">
        <v>12.5</v>
      </c>
      <c r="J3172">
        <v>12.5</v>
      </c>
      <c r="K3172" t="s">
        <v>59</v>
      </c>
      <c r="L3172" t="s">
        <v>13</v>
      </c>
      <c r="M3172" t="s">
        <v>26</v>
      </c>
      <c r="N3172" t="s">
        <v>27</v>
      </c>
    </row>
    <row r="3173" spans="1:14" x14ac:dyDescent="0.25">
      <c r="A3173">
        <v>25773</v>
      </c>
      <c r="B3173">
        <v>11341</v>
      </c>
      <c r="C3173">
        <f>1/COUNTIF(B:B,pizza_sales[[#This Row],[order_id]])</f>
        <v>1</v>
      </c>
      <c r="D3173" t="s">
        <v>34</v>
      </c>
      <c r="E3173">
        <v>1</v>
      </c>
      <c r="F3173" s="1">
        <v>42254</v>
      </c>
      <c r="G3173" s="1" t="str">
        <f>TEXT(pizza_sales[[#This Row],[order_date]],"dddd")</f>
        <v>Monday</v>
      </c>
      <c r="H3173" s="2">
        <v>0.47733796296296294</v>
      </c>
      <c r="I3173">
        <v>16.25</v>
      </c>
      <c r="J3173">
        <v>16.25</v>
      </c>
      <c r="K3173" t="s">
        <v>59</v>
      </c>
      <c r="L3173" t="s">
        <v>35</v>
      </c>
      <c r="M3173" t="s">
        <v>36</v>
      </c>
      <c r="N3173" t="s">
        <v>37</v>
      </c>
    </row>
    <row r="3174" spans="1:14" x14ac:dyDescent="0.25">
      <c r="A3174">
        <v>25781</v>
      </c>
      <c r="B3174">
        <v>11347</v>
      </c>
      <c r="C3174">
        <f>1/COUNTIF(B:B,pizza_sales[[#This Row],[order_id]])</f>
        <v>1</v>
      </c>
      <c r="D3174" t="s">
        <v>48</v>
      </c>
      <c r="E3174">
        <v>1</v>
      </c>
      <c r="F3174" s="1">
        <v>42254</v>
      </c>
      <c r="G3174" s="1" t="str">
        <f>TEXT(pizza_sales[[#This Row],[order_date]],"dddd")</f>
        <v>Monday</v>
      </c>
      <c r="H3174" s="2">
        <v>0.50011574074074072</v>
      </c>
      <c r="I3174">
        <v>12.25</v>
      </c>
      <c r="J3174">
        <v>12.25</v>
      </c>
      <c r="K3174" t="s">
        <v>60</v>
      </c>
      <c r="L3174" t="s">
        <v>35</v>
      </c>
      <c r="M3174" t="s">
        <v>40</v>
      </c>
      <c r="N3174" t="s">
        <v>41</v>
      </c>
    </row>
    <row r="3175" spans="1:14" x14ac:dyDescent="0.25">
      <c r="A3175">
        <v>25783</v>
      </c>
      <c r="B3175">
        <v>11348</v>
      </c>
      <c r="C3175">
        <f>1/COUNTIF(B:B,pizza_sales[[#This Row],[order_id]])</f>
        <v>1</v>
      </c>
      <c r="D3175" t="s">
        <v>24</v>
      </c>
      <c r="E3175">
        <v>1</v>
      </c>
      <c r="F3175" s="1">
        <v>42254</v>
      </c>
      <c r="G3175" s="1" t="str">
        <f>TEXT(pizza_sales[[#This Row],[order_date]],"dddd")</f>
        <v>Monday</v>
      </c>
      <c r="H3175" s="2">
        <v>0.50082175925925931</v>
      </c>
      <c r="I3175">
        <v>20.25</v>
      </c>
      <c r="J3175">
        <v>20.25</v>
      </c>
      <c r="K3175" t="s">
        <v>58</v>
      </c>
      <c r="L3175" t="s">
        <v>17</v>
      </c>
      <c r="M3175" t="s">
        <v>18</v>
      </c>
      <c r="N3175" t="s">
        <v>19</v>
      </c>
    </row>
    <row r="3176" spans="1:14" x14ac:dyDescent="0.25">
      <c r="A3176">
        <v>25786</v>
      </c>
      <c r="B3176">
        <v>11350</v>
      </c>
      <c r="C3176">
        <f>1/COUNTIF(B:B,pizza_sales[[#This Row],[order_id]])</f>
        <v>0.25</v>
      </c>
      <c r="D3176" t="s">
        <v>28</v>
      </c>
      <c r="E3176">
        <v>1</v>
      </c>
      <c r="F3176" s="1">
        <v>42254</v>
      </c>
      <c r="G3176" s="1" t="str">
        <f>TEXT(pizza_sales[[#This Row],[order_date]],"dddd")</f>
        <v>Monday</v>
      </c>
      <c r="H3176" s="2">
        <v>0.5110069444444445</v>
      </c>
      <c r="I3176">
        <v>12</v>
      </c>
      <c r="J3176">
        <v>12</v>
      </c>
      <c r="K3176" t="s">
        <v>60</v>
      </c>
      <c r="L3176" t="s">
        <v>13</v>
      </c>
      <c r="M3176" t="s">
        <v>29</v>
      </c>
      <c r="N3176" t="s">
        <v>30</v>
      </c>
    </row>
    <row r="3177" spans="1:14" x14ac:dyDescent="0.25">
      <c r="A3177">
        <v>25787</v>
      </c>
      <c r="B3177">
        <v>11350</v>
      </c>
      <c r="C3177">
        <f>1/COUNTIF(B:B,pizza_sales[[#This Row],[order_id]])</f>
        <v>0.25</v>
      </c>
      <c r="D3177" t="s">
        <v>51</v>
      </c>
      <c r="E3177">
        <v>1</v>
      </c>
      <c r="F3177" s="1">
        <v>42254</v>
      </c>
      <c r="G3177" s="1" t="str">
        <f>TEXT(pizza_sales[[#This Row],[order_date]],"dddd")</f>
        <v>Monday</v>
      </c>
      <c r="H3177" s="2">
        <v>0.5110069444444445</v>
      </c>
      <c r="I3177">
        <v>23.65</v>
      </c>
      <c r="J3177">
        <v>23.65</v>
      </c>
      <c r="K3177" t="s">
        <v>60</v>
      </c>
      <c r="L3177" t="s">
        <v>35</v>
      </c>
      <c r="M3177" t="s">
        <v>52</v>
      </c>
      <c r="N3177" t="s">
        <v>53</v>
      </c>
    </row>
    <row r="3178" spans="1:14" x14ac:dyDescent="0.25">
      <c r="A3178">
        <v>25788</v>
      </c>
      <c r="B3178">
        <v>11350</v>
      </c>
      <c r="C3178">
        <f>1/COUNTIF(B:B,pizza_sales[[#This Row],[order_id]])</f>
        <v>0.25</v>
      </c>
      <c r="D3178" t="s">
        <v>56</v>
      </c>
      <c r="E3178">
        <v>1</v>
      </c>
      <c r="F3178" s="1">
        <v>42254</v>
      </c>
      <c r="G3178" s="1" t="str">
        <f>TEXT(pizza_sales[[#This Row],[order_date]],"dddd")</f>
        <v>Monday</v>
      </c>
      <c r="H3178" s="2">
        <v>0.5110069444444445</v>
      </c>
      <c r="I3178">
        <v>20.25</v>
      </c>
      <c r="J3178">
        <v>20.25</v>
      </c>
      <c r="K3178" t="s">
        <v>58</v>
      </c>
      <c r="L3178" t="s">
        <v>35</v>
      </c>
      <c r="M3178" t="s">
        <v>36</v>
      </c>
      <c r="N3178" t="s">
        <v>37</v>
      </c>
    </row>
    <row r="3179" spans="1:14" x14ac:dyDescent="0.25">
      <c r="A3179">
        <v>25794</v>
      </c>
      <c r="B3179">
        <v>11350</v>
      </c>
      <c r="C3179">
        <f>1/COUNTIF(B:B,pizza_sales[[#This Row],[order_id]])</f>
        <v>0.25</v>
      </c>
      <c r="D3179" t="s">
        <v>16</v>
      </c>
      <c r="E3179">
        <v>1</v>
      </c>
      <c r="F3179" s="1">
        <v>42254</v>
      </c>
      <c r="G3179" s="1" t="str">
        <f>TEXT(pizza_sales[[#This Row],[order_date]],"dddd")</f>
        <v>Monday</v>
      </c>
      <c r="H3179" s="2">
        <v>0.5110069444444445</v>
      </c>
      <c r="I3179">
        <v>16</v>
      </c>
      <c r="J3179">
        <v>16</v>
      </c>
      <c r="K3179" t="s">
        <v>59</v>
      </c>
      <c r="L3179" t="s">
        <v>17</v>
      </c>
      <c r="M3179" t="s">
        <v>18</v>
      </c>
      <c r="N3179" t="s">
        <v>19</v>
      </c>
    </row>
    <row r="3180" spans="1:14" x14ac:dyDescent="0.25">
      <c r="A3180">
        <v>25798</v>
      </c>
      <c r="B3180">
        <v>11351</v>
      </c>
      <c r="C3180">
        <f>1/COUNTIF(B:B,pizza_sales[[#This Row],[order_id]])</f>
        <v>0.5</v>
      </c>
      <c r="D3180" t="s">
        <v>28</v>
      </c>
      <c r="E3180">
        <v>1</v>
      </c>
      <c r="F3180" s="1">
        <v>42254</v>
      </c>
      <c r="G3180" s="1" t="str">
        <f>TEXT(pizza_sales[[#This Row],[order_date]],"dddd")</f>
        <v>Monday</v>
      </c>
      <c r="H3180" s="2">
        <v>0.51193287037037039</v>
      </c>
      <c r="I3180">
        <v>12</v>
      </c>
      <c r="J3180">
        <v>12</v>
      </c>
      <c r="K3180" t="s">
        <v>60</v>
      </c>
      <c r="L3180" t="s">
        <v>13</v>
      </c>
      <c r="M3180" t="s">
        <v>29</v>
      </c>
      <c r="N3180" t="s">
        <v>30</v>
      </c>
    </row>
    <row r="3181" spans="1:14" x14ac:dyDescent="0.25">
      <c r="A3181">
        <v>25799</v>
      </c>
      <c r="B3181">
        <v>11351</v>
      </c>
      <c r="C3181">
        <f>1/COUNTIF(B:B,pizza_sales[[#This Row],[order_id]])</f>
        <v>0.5</v>
      </c>
      <c r="D3181" t="s">
        <v>24</v>
      </c>
      <c r="E3181">
        <v>1</v>
      </c>
      <c r="F3181" s="1">
        <v>42254</v>
      </c>
      <c r="G3181" s="1" t="str">
        <f>TEXT(pizza_sales[[#This Row],[order_date]],"dddd")</f>
        <v>Monday</v>
      </c>
      <c r="H3181" s="2">
        <v>0.51193287037037039</v>
      </c>
      <c r="I3181">
        <v>20.25</v>
      </c>
      <c r="J3181">
        <v>20.25</v>
      </c>
      <c r="K3181" t="s">
        <v>58</v>
      </c>
      <c r="L3181" t="s">
        <v>17</v>
      </c>
      <c r="M3181" t="s">
        <v>18</v>
      </c>
      <c r="N3181" t="s">
        <v>19</v>
      </c>
    </row>
    <row r="3182" spans="1:14" x14ac:dyDescent="0.25">
      <c r="A3182">
        <v>25800</v>
      </c>
      <c r="B3182">
        <v>11352</v>
      </c>
      <c r="C3182">
        <f>1/COUNTIF(B:B,pizza_sales[[#This Row],[order_id]])</f>
        <v>1</v>
      </c>
      <c r="D3182" t="s">
        <v>28</v>
      </c>
      <c r="E3182">
        <v>1</v>
      </c>
      <c r="F3182" s="1">
        <v>42254</v>
      </c>
      <c r="G3182" s="1" t="str">
        <f>TEXT(pizza_sales[[#This Row],[order_date]],"dddd")</f>
        <v>Monday</v>
      </c>
      <c r="H3182" s="2">
        <v>0.5212268518518518</v>
      </c>
      <c r="I3182">
        <v>12</v>
      </c>
      <c r="J3182">
        <v>12</v>
      </c>
      <c r="K3182" t="s">
        <v>60</v>
      </c>
      <c r="L3182" t="s">
        <v>13</v>
      </c>
      <c r="M3182" t="s">
        <v>29</v>
      </c>
      <c r="N3182" t="s">
        <v>30</v>
      </c>
    </row>
    <row r="3183" spans="1:14" x14ac:dyDescent="0.25">
      <c r="A3183">
        <v>25805</v>
      </c>
      <c r="B3183">
        <v>11356</v>
      </c>
      <c r="C3183">
        <f>1/COUNTIF(B:B,pizza_sales[[#This Row],[order_id]])</f>
        <v>1</v>
      </c>
      <c r="D3183" t="s">
        <v>48</v>
      </c>
      <c r="E3183">
        <v>1</v>
      </c>
      <c r="F3183" s="1">
        <v>42254</v>
      </c>
      <c r="G3183" s="1" t="str">
        <f>TEXT(pizza_sales[[#This Row],[order_date]],"dddd")</f>
        <v>Monday</v>
      </c>
      <c r="H3183" s="2">
        <v>0.53410879629629626</v>
      </c>
      <c r="I3183">
        <v>12.25</v>
      </c>
      <c r="J3183">
        <v>12.25</v>
      </c>
      <c r="K3183" t="s">
        <v>60</v>
      </c>
      <c r="L3183" t="s">
        <v>35</v>
      </c>
      <c r="M3183" t="s">
        <v>40</v>
      </c>
      <c r="N3183" t="s">
        <v>41</v>
      </c>
    </row>
    <row r="3184" spans="1:14" x14ac:dyDescent="0.25">
      <c r="A3184">
        <v>25807</v>
      </c>
      <c r="B3184">
        <v>11357</v>
      </c>
      <c r="C3184">
        <f>1/COUNTIF(B:B,pizza_sales[[#This Row],[order_id]])</f>
        <v>1</v>
      </c>
      <c r="D3184" t="s">
        <v>16</v>
      </c>
      <c r="E3184">
        <v>1</v>
      </c>
      <c r="F3184" s="1">
        <v>42254</v>
      </c>
      <c r="G3184" s="1" t="str">
        <f>TEXT(pizza_sales[[#This Row],[order_date]],"dddd")</f>
        <v>Monday</v>
      </c>
      <c r="H3184" s="2">
        <v>0.54502314814814812</v>
      </c>
      <c r="I3184">
        <v>16</v>
      </c>
      <c r="J3184">
        <v>16</v>
      </c>
      <c r="K3184" t="s">
        <v>59</v>
      </c>
      <c r="L3184" t="s">
        <v>17</v>
      </c>
      <c r="M3184" t="s">
        <v>18</v>
      </c>
      <c r="N3184" t="s">
        <v>19</v>
      </c>
    </row>
    <row r="3185" spans="1:14" x14ac:dyDescent="0.25">
      <c r="A3185">
        <v>25809</v>
      </c>
      <c r="B3185">
        <v>11358</v>
      </c>
      <c r="C3185">
        <f>1/COUNTIF(B:B,pizza_sales[[#This Row],[order_id]])</f>
        <v>0.33333333333333331</v>
      </c>
      <c r="D3185" t="s">
        <v>28</v>
      </c>
      <c r="E3185">
        <v>1</v>
      </c>
      <c r="F3185" s="1">
        <v>42254</v>
      </c>
      <c r="G3185" s="1" t="str">
        <f>TEXT(pizza_sales[[#This Row],[order_date]],"dddd")</f>
        <v>Monday</v>
      </c>
      <c r="H3185" s="2">
        <v>0.54745370370370372</v>
      </c>
      <c r="I3185">
        <v>12</v>
      </c>
      <c r="J3185">
        <v>12</v>
      </c>
      <c r="K3185" t="s">
        <v>60</v>
      </c>
      <c r="L3185" t="s">
        <v>13</v>
      </c>
      <c r="M3185" t="s">
        <v>29</v>
      </c>
      <c r="N3185" t="s">
        <v>30</v>
      </c>
    </row>
    <row r="3186" spans="1:14" x14ac:dyDescent="0.25">
      <c r="A3186">
        <v>25812</v>
      </c>
      <c r="B3186">
        <v>11358</v>
      </c>
      <c r="C3186">
        <f>1/COUNTIF(B:B,pizza_sales[[#This Row],[order_id]])</f>
        <v>0.33333333333333331</v>
      </c>
      <c r="D3186" t="s">
        <v>47</v>
      </c>
      <c r="E3186">
        <v>1</v>
      </c>
      <c r="F3186" s="1">
        <v>42254</v>
      </c>
      <c r="G3186" s="1" t="str">
        <f>TEXT(pizza_sales[[#This Row],[order_date]],"dddd")</f>
        <v>Monday</v>
      </c>
      <c r="H3186" s="2">
        <v>0.54745370370370372</v>
      </c>
      <c r="I3186">
        <v>16.5</v>
      </c>
      <c r="J3186">
        <v>16.5</v>
      </c>
      <c r="K3186" t="s">
        <v>58</v>
      </c>
      <c r="L3186" t="s">
        <v>13</v>
      </c>
      <c r="M3186" t="s">
        <v>14</v>
      </c>
      <c r="N3186" t="s">
        <v>15</v>
      </c>
    </row>
    <row r="3187" spans="1:14" x14ac:dyDescent="0.25">
      <c r="A3187">
        <v>25814</v>
      </c>
      <c r="B3187">
        <v>11358</v>
      </c>
      <c r="C3187">
        <f>1/COUNTIF(B:B,pizza_sales[[#This Row],[order_id]])</f>
        <v>0.33333333333333331</v>
      </c>
      <c r="D3187" t="s">
        <v>16</v>
      </c>
      <c r="E3187">
        <v>1</v>
      </c>
      <c r="F3187" s="1">
        <v>42254</v>
      </c>
      <c r="G3187" s="1" t="str">
        <f>TEXT(pizza_sales[[#This Row],[order_date]],"dddd")</f>
        <v>Monday</v>
      </c>
      <c r="H3187" s="2">
        <v>0.54745370370370372</v>
      </c>
      <c r="I3187">
        <v>16</v>
      </c>
      <c r="J3187">
        <v>16</v>
      </c>
      <c r="K3187" t="s">
        <v>59</v>
      </c>
      <c r="L3187" t="s">
        <v>17</v>
      </c>
      <c r="M3187" t="s">
        <v>18</v>
      </c>
      <c r="N3187" t="s">
        <v>19</v>
      </c>
    </row>
    <row r="3188" spans="1:14" x14ac:dyDescent="0.25">
      <c r="A3188">
        <v>25824</v>
      </c>
      <c r="B3188">
        <v>11362</v>
      </c>
      <c r="C3188">
        <f>1/COUNTIF(B:B,pizza_sales[[#This Row],[order_id]])</f>
        <v>1</v>
      </c>
      <c r="D3188" t="s">
        <v>47</v>
      </c>
      <c r="E3188">
        <v>1</v>
      </c>
      <c r="F3188" s="1">
        <v>42254</v>
      </c>
      <c r="G3188" s="1" t="str">
        <f>TEXT(pizza_sales[[#This Row],[order_date]],"dddd")</f>
        <v>Monday</v>
      </c>
      <c r="H3188" s="2">
        <v>0.58013888888888887</v>
      </c>
      <c r="I3188">
        <v>16.5</v>
      </c>
      <c r="J3188">
        <v>16.5</v>
      </c>
      <c r="K3188" t="s">
        <v>58</v>
      </c>
      <c r="L3188" t="s">
        <v>13</v>
      </c>
      <c r="M3188" t="s">
        <v>14</v>
      </c>
      <c r="N3188" t="s">
        <v>15</v>
      </c>
    </row>
    <row r="3189" spans="1:14" x14ac:dyDescent="0.25">
      <c r="A3189">
        <v>25826</v>
      </c>
      <c r="B3189">
        <v>11364</v>
      </c>
      <c r="C3189">
        <f>1/COUNTIF(B:B,pizza_sales[[#This Row],[order_id]])</f>
        <v>1</v>
      </c>
      <c r="D3189" t="s">
        <v>34</v>
      </c>
      <c r="E3189">
        <v>1</v>
      </c>
      <c r="F3189" s="1">
        <v>42254</v>
      </c>
      <c r="G3189" s="1" t="str">
        <f>TEXT(pizza_sales[[#This Row],[order_date]],"dddd")</f>
        <v>Monday</v>
      </c>
      <c r="H3189" s="2">
        <v>0.6075694444444445</v>
      </c>
      <c r="I3189">
        <v>16.25</v>
      </c>
      <c r="J3189">
        <v>16.25</v>
      </c>
      <c r="K3189" t="s">
        <v>59</v>
      </c>
      <c r="L3189" t="s">
        <v>35</v>
      </c>
      <c r="M3189" t="s">
        <v>36</v>
      </c>
      <c r="N3189" t="s">
        <v>37</v>
      </c>
    </row>
    <row r="3190" spans="1:14" x14ac:dyDescent="0.25">
      <c r="A3190">
        <v>25833</v>
      </c>
      <c r="B3190">
        <v>11369</v>
      </c>
      <c r="C3190">
        <f>1/COUNTIF(B:B,pizza_sales[[#This Row],[order_id]])</f>
        <v>0.5</v>
      </c>
      <c r="D3190" t="s">
        <v>31</v>
      </c>
      <c r="E3190">
        <v>1</v>
      </c>
      <c r="F3190" s="1">
        <v>42254</v>
      </c>
      <c r="G3190" s="1" t="str">
        <f>TEXT(pizza_sales[[#This Row],[order_date]],"dddd")</f>
        <v>Monday</v>
      </c>
      <c r="H3190" s="2">
        <v>0.69414351851851852</v>
      </c>
      <c r="I3190">
        <v>12</v>
      </c>
      <c r="J3190">
        <v>12</v>
      </c>
      <c r="K3190" t="s">
        <v>60</v>
      </c>
      <c r="L3190" t="s">
        <v>13</v>
      </c>
      <c r="M3190" t="s">
        <v>32</v>
      </c>
      <c r="N3190" t="s">
        <v>33</v>
      </c>
    </row>
    <row r="3191" spans="1:14" x14ac:dyDescent="0.25">
      <c r="A3191">
        <v>25834</v>
      </c>
      <c r="B3191">
        <v>11369</v>
      </c>
      <c r="C3191">
        <f>1/COUNTIF(B:B,pizza_sales[[#This Row],[order_id]])</f>
        <v>0.5</v>
      </c>
      <c r="D3191" t="s">
        <v>44</v>
      </c>
      <c r="E3191">
        <v>1</v>
      </c>
      <c r="F3191" s="1">
        <v>42254</v>
      </c>
      <c r="G3191" s="1" t="str">
        <f>TEXT(pizza_sales[[#This Row],[order_date]],"dddd")</f>
        <v>Monday</v>
      </c>
      <c r="H3191" s="2">
        <v>0.69414351851851852</v>
      </c>
      <c r="I3191">
        <v>9.75</v>
      </c>
      <c r="J3191">
        <v>9.75</v>
      </c>
      <c r="K3191" t="s">
        <v>60</v>
      </c>
      <c r="L3191" t="s">
        <v>13</v>
      </c>
      <c r="M3191" t="s">
        <v>26</v>
      </c>
      <c r="N3191" t="s">
        <v>27</v>
      </c>
    </row>
    <row r="3192" spans="1:14" x14ac:dyDescent="0.25">
      <c r="A3192">
        <v>25841</v>
      </c>
      <c r="B3192">
        <v>11371</v>
      </c>
      <c r="C3192">
        <f>1/COUNTIF(B:B,pizza_sales[[#This Row],[order_id]])</f>
        <v>1</v>
      </c>
      <c r="D3192" t="s">
        <v>25</v>
      </c>
      <c r="E3192">
        <v>1</v>
      </c>
      <c r="F3192" s="1">
        <v>42254</v>
      </c>
      <c r="G3192" s="1" t="str">
        <f>TEXT(pizza_sales[[#This Row],[order_date]],"dddd")</f>
        <v>Monday</v>
      </c>
      <c r="H3192" s="2">
        <v>0.69916666666666671</v>
      </c>
      <c r="I3192">
        <v>15.25</v>
      </c>
      <c r="J3192">
        <v>15.25</v>
      </c>
      <c r="K3192" t="s">
        <v>58</v>
      </c>
      <c r="L3192" t="s">
        <v>13</v>
      </c>
      <c r="M3192" t="s">
        <v>26</v>
      </c>
      <c r="N3192" t="s">
        <v>27</v>
      </c>
    </row>
    <row r="3193" spans="1:14" x14ac:dyDescent="0.25">
      <c r="A3193">
        <v>25848</v>
      </c>
      <c r="B3193">
        <v>11375</v>
      </c>
      <c r="C3193">
        <f>1/COUNTIF(B:B,pizza_sales[[#This Row],[order_id]])</f>
        <v>1</v>
      </c>
      <c r="D3193" t="s">
        <v>49</v>
      </c>
      <c r="E3193">
        <v>1</v>
      </c>
      <c r="F3193" s="1">
        <v>42254</v>
      </c>
      <c r="G3193" s="1" t="str">
        <f>TEXT(pizza_sales[[#This Row],[order_date]],"dddd")</f>
        <v>Monday</v>
      </c>
      <c r="H3193" s="2">
        <v>0.70611111111111113</v>
      </c>
      <c r="I3193">
        <v>16</v>
      </c>
      <c r="J3193">
        <v>16</v>
      </c>
      <c r="K3193" t="s">
        <v>59</v>
      </c>
      <c r="L3193" t="s">
        <v>13</v>
      </c>
      <c r="M3193" t="s">
        <v>21</v>
      </c>
      <c r="N3193" t="s">
        <v>22</v>
      </c>
    </row>
    <row r="3194" spans="1:14" x14ac:dyDescent="0.25">
      <c r="A3194">
        <v>25855</v>
      </c>
      <c r="B3194">
        <v>11378</v>
      </c>
      <c r="C3194">
        <f>1/COUNTIF(B:B,pizza_sales[[#This Row],[order_id]])</f>
        <v>1</v>
      </c>
      <c r="D3194" t="s">
        <v>42</v>
      </c>
      <c r="E3194">
        <v>1</v>
      </c>
      <c r="F3194" s="1">
        <v>42254</v>
      </c>
      <c r="G3194" s="1" t="str">
        <f>TEXT(pizza_sales[[#This Row],[order_date]],"dddd")</f>
        <v>Monday</v>
      </c>
      <c r="H3194" s="2">
        <v>0.72828703703703701</v>
      </c>
      <c r="I3194">
        <v>12.5</v>
      </c>
      <c r="J3194">
        <v>12.5</v>
      </c>
      <c r="K3194" t="s">
        <v>59</v>
      </c>
      <c r="L3194" t="s">
        <v>13</v>
      </c>
      <c r="M3194" t="s">
        <v>26</v>
      </c>
      <c r="N3194" t="s">
        <v>27</v>
      </c>
    </row>
    <row r="3195" spans="1:14" x14ac:dyDescent="0.25">
      <c r="A3195">
        <v>25857</v>
      </c>
      <c r="B3195">
        <v>11379</v>
      </c>
      <c r="C3195">
        <f>1/COUNTIF(B:B,pizza_sales[[#This Row],[order_id]])</f>
        <v>1</v>
      </c>
      <c r="D3195" t="s">
        <v>25</v>
      </c>
      <c r="E3195">
        <v>1</v>
      </c>
      <c r="F3195" s="1">
        <v>42254</v>
      </c>
      <c r="G3195" s="1" t="str">
        <f>TEXT(pizza_sales[[#This Row],[order_date]],"dddd")</f>
        <v>Monday</v>
      </c>
      <c r="H3195" s="2">
        <v>0.73001157407407402</v>
      </c>
      <c r="I3195">
        <v>15.25</v>
      </c>
      <c r="J3195">
        <v>15.25</v>
      </c>
      <c r="K3195" t="s">
        <v>58</v>
      </c>
      <c r="L3195" t="s">
        <v>13</v>
      </c>
      <c r="M3195" t="s">
        <v>26</v>
      </c>
      <c r="N3195" t="s">
        <v>27</v>
      </c>
    </row>
    <row r="3196" spans="1:14" x14ac:dyDescent="0.25">
      <c r="A3196">
        <v>25865</v>
      </c>
      <c r="B3196">
        <v>11383</v>
      </c>
      <c r="C3196">
        <f>1/COUNTIF(B:B,pizza_sales[[#This Row],[order_id]])</f>
        <v>1</v>
      </c>
      <c r="D3196" t="s">
        <v>28</v>
      </c>
      <c r="E3196">
        <v>1</v>
      </c>
      <c r="F3196" s="1">
        <v>42254</v>
      </c>
      <c r="G3196" s="1" t="str">
        <f>TEXT(pizza_sales[[#This Row],[order_date]],"dddd")</f>
        <v>Monday</v>
      </c>
      <c r="H3196" s="2">
        <v>0.7593981481481481</v>
      </c>
      <c r="I3196">
        <v>12</v>
      </c>
      <c r="J3196">
        <v>12</v>
      </c>
      <c r="K3196" t="s">
        <v>60</v>
      </c>
      <c r="L3196" t="s">
        <v>13</v>
      </c>
      <c r="M3196" t="s">
        <v>29</v>
      </c>
      <c r="N3196" t="s">
        <v>30</v>
      </c>
    </row>
    <row r="3197" spans="1:14" x14ac:dyDescent="0.25">
      <c r="A3197">
        <v>25873</v>
      </c>
      <c r="B3197">
        <v>11385</v>
      </c>
      <c r="C3197">
        <f>1/COUNTIF(B:B,pizza_sales[[#This Row],[order_id]])</f>
        <v>1</v>
      </c>
      <c r="D3197" t="s">
        <v>31</v>
      </c>
      <c r="E3197">
        <v>1</v>
      </c>
      <c r="F3197" s="1">
        <v>42254</v>
      </c>
      <c r="G3197" s="1" t="str">
        <f>TEXT(pizza_sales[[#This Row],[order_date]],"dddd")</f>
        <v>Monday</v>
      </c>
      <c r="H3197" s="2">
        <v>0.77936342592592589</v>
      </c>
      <c r="I3197">
        <v>12</v>
      </c>
      <c r="J3197">
        <v>12</v>
      </c>
      <c r="K3197" t="s">
        <v>60</v>
      </c>
      <c r="L3197" t="s">
        <v>13</v>
      </c>
      <c r="M3197" t="s">
        <v>32</v>
      </c>
      <c r="N3197" t="s">
        <v>33</v>
      </c>
    </row>
    <row r="3198" spans="1:14" x14ac:dyDescent="0.25">
      <c r="A3198">
        <v>25875</v>
      </c>
      <c r="B3198">
        <v>11386</v>
      </c>
      <c r="C3198">
        <f>1/COUNTIF(B:B,pizza_sales[[#This Row],[order_id]])</f>
        <v>1</v>
      </c>
      <c r="D3198" t="s">
        <v>12</v>
      </c>
      <c r="E3198">
        <v>1</v>
      </c>
      <c r="F3198" s="1">
        <v>42254</v>
      </c>
      <c r="G3198" s="1" t="str">
        <f>TEXT(pizza_sales[[#This Row],[order_date]],"dddd")</f>
        <v>Monday</v>
      </c>
      <c r="H3198" s="2">
        <v>0.78141203703703699</v>
      </c>
      <c r="I3198">
        <v>13.25</v>
      </c>
      <c r="J3198">
        <v>13.25</v>
      </c>
      <c r="K3198" t="s">
        <v>59</v>
      </c>
      <c r="L3198" t="s">
        <v>13</v>
      </c>
      <c r="M3198" t="s">
        <v>14</v>
      </c>
      <c r="N3198" t="s">
        <v>15</v>
      </c>
    </row>
    <row r="3199" spans="1:14" x14ac:dyDescent="0.25">
      <c r="A3199">
        <v>25877</v>
      </c>
      <c r="B3199">
        <v>11387</v>
      </c>
      <c r="C3199">
        <f>1/COUNTIF(B:B,pizza_sales[[#This Row],[order_id]])</f>
        <v>0.33333333333333331</v>
      </c>
      <c r="D3199" t="s">
        <v>56</v>
      </c>
      <c r="E3199">
        <v>1</v>
      </c>
      <c r="F3199" s="1">
        <v>42254</v>
      </c>
      <c r="G3199" s="1" t="str">
        <f>TEXT(pizza_sales[[#This Row],[order_date]],"dddd")</f>
        <v>Monday</v>
      </c>
      <c r="H3199" s="2">
        <v>0.79366898148148146</v>
      </c>
      <c r="I3199">
        <v>20.25</v>
      </c>
      <c r="J3199">
        <v>20.25</v>
      </c>
      <c r="K3199" t="s">
        <v>58</v>
      </c>
      <c r="L3199" t="s">
        <v>35</v>
      </c>
      <c r="M3199" t="s">
        <v>36</v>
      </c>
      <c r="N3199" t="s">
        <v>37</v>
      </c>
    </row>
    <row r="3200" spans="1:14" x14ac:dyDescent="0.25">
      <c r="A3200">
        <v>25878</v>
      </c>
      <c r="B3200">
        <v>11387</v>
      </c>
      <c r="C3200">
        <f>1/COUNTIF(B:B,pizza_sales[[#This Row],[order_id]])</f>
        <v>0.33333333333333331</v>
      </c>
      <c r="D3200" t="s">
        <v>39</v>
      </c>
      <c r="E3200">
        <v>1</v>
      </c>
      <c r="F3200" s="1">
        <v>42254</v>
      </c>
      <c r="G3200" s="1" t="str">
        <f>TEXT(pizza_sales[[#This Row],[order_date]],"dddd")</f>
        <v>Monday</v>
      </c>
      <c r="H3200" s="2">
        <v>0.79366898148148146</v>
      </c>
      <c r="I3200">
        <v>20.25</v>
      </c>
      <c r="J3200">
        <v>20.25</v>
      </c>
      <c r="K3200" t="s">
        <v>58</v>
      </c>
      <c r="L3200" t="s">
        <v>35</v>
      </c>
      <c r="M3200" t="s">
        <v>40</v>
      </c>
      <c r="N3200" t="s">
        <v>41</v>
      </c>
    </row>
    <row r="3201" spans="1:14" x14ac:dyDescent="0.25">
      <c r="A3201">
        <v>25880</v>
      </c>
      <c r="B3201">
        <v>11387</v>
      </c>
      <c r="C3201">
        <f>1/COUNTIF(B:B,pizza_sales[[#This Row],[order_id]])</f>
        <v>0.33333333333333331</v>
      </c>
      <c r="D3201" t="s">
        <v>20</v>
      </c>
      <c r="E3201">
        <v>1</v>
      </c>
      <c r="F3201" s="1">
        <v>42254</v>
      </c>
      <c r="G3201" s="1" t="str">
        <f>TEXT(pizza_sales[[#This Row],[order_date]],"dddd")</f>
        <v>Monday</v>
      </c>
      <c r="H3201" s="2">
        <v>0.79366898148148146</v>
      </c>
      <c r="I3201">
        <v>12</v>
      </c>
      <c r="J3201">
        <v>12</v>
      </c>
      <c r="K3201" t="s">
        <v>60</v>
      </c>
      <c r="L3201" t="s">
        <v>13</v>
      </c>
      <c r="M3201" t="s">
        <v>21</v>
      </c>
      <c r="N3201" t="s">
        <v>22</v>
      </c>
    </row>
    <row r="3202" spans="1:14" x14ac:dyDescent="0.25">
      <c r="A3202">
        <v>25882</v>
      </c>
      <c r="B3202">
        <v>11388</v>
      </c>
      <c r="C3202">
        <f>1/COUNTIF(B:B,pizza_sales[[#This Row],[order_id]])</f>
        <v>1</v>
      </c>
      <c r="D3202" t="s">
        <v>24</v>
      </c>
      <c r="E3202">
        <v>2</v>
      </c>
      <c r="F3202" s="1">
        <v>42254</v>
      </c>
      <c r="G3202" s="1" t="str">
        <f>TEXT(pizza_sales[[#This Row],[order_date]],"dddd")</f>
        <v>Monday</v>
      </c>
      <c r="H3202" s="2">
        <v>0.81041666666666667</v>
      </c>
      <c r="I3202">
        <v>20.25</v>
      </c>
      <c r="J3202">
        <v>40.5</v>
      </c>
      <c r="K3202" t="s">
        <v>58</v>
      </c>
      <c r="L3202" t="s">
        <v>17</v>
      </c>
      <c r="M3202" t="s">
        <v>18</v>
      </c>
      <c r="N3202" t="s">
        <v>19</v>
      </c>
    </row>
    <row r="3203" spans="1:14" x14ac:dyDescent="0.25">
      <c r="A3203">
        <v>25885</v>
      </c>
      <c r="B3203">
        <v>11390</v>
      </c>
      <c r="C3203">
        <f>1/COUNTIF(B:B,pizza_sales[[#This Row],[order_id]])</f>
        <v>1</v>
      </c>
      <c r="D3203" t="s">
        <v>39</v>
      </c>
      <c r="E3203">
        <v>1</v>
      </c>
      <c r="F3203" s="1">
        <v>42254</v>
      </c>
      <c r="G3203" s="1" t="str">
        <f>TEXT(pizza_sales[[#This Row],[order_date]],"dddd")</f>
        <v>Monday</v>
      </c>
      <c r="H3203" s="2">
        <v>0.81859953703703703</v>
      </c>
      <c r="I3203">
        <v>20.25</v>
      </c>
      <c r="J3203">
        <v>20.25</v>
      </c>
      <c r="K3203" t="s">
        <v>58</v>
      </c>
      <c r="L3203" t="s">
        <v>35</v>
      </c>
      <c r="M3203" t="s">
        <v>40</v>
      </c>
      <c r="N3203" t="s">
        <v>41</v>
      </c>
    </row>
    <row r="3204" spans="1:14" x14ac:dyDescent="0.25">
      <c r="A3204">
        <v>25889</v>
      </c>
      <c r="B3204">
        <v>11391</v>
      </c>
      <c r="C3204">
        <f>1/COUNTIF(B:B,pizza_sales[[#This Row],[order_id]])</f>
        <v>1</v>
      </c>
      <c r="D3204" t="s">
        <v>43</v>
      </c>
      <c r="E3204">
        <v>1</v>
      </c>
      <c r="F3204" s="1">
        <v>42254</v>
      </c>
      <c r="G3204" s="1" t="str">
        <f>TEXT(pizza_sales[[#This Row],[order_date]],"dddd")</f>
        <v>Monday</v>
      </c>
      <c r="H3204" s="2">
        <v>0.81961805555555556</v>
      </c>
      <c r="I3204">
        <v>16.25</v>
      </c>
      <c r="J3204">
        <v>16.25</v>
      </c>
      <c r="K3204" t="s">
        <v>59</v>
      </c>
      <c r="L3204" t="s">
        <v>35</v>
      </c>
      <c r="M3204" t="s">
        <v>40</v>
      </c>
      <c r="N3204" t="s">
        <v>41</v>
      </c>
    </row>
    <row r="3205" spans="1:14" x14ac:dyDescent="0.25">
      <c r="A3205">
        <v>25897</v>
      </c>
      <c r="B3205">
        <v>11395</v>
      </c>
      <c r="C3205">
        <f>1/COUNTIF(B:B,pizza_sales[[#This Row],[order_id]])</f>
        <v>1</v>
      </c>
      <c r="D3205" t="s">
        <v>42</v>
      </c>
      <c r="E3205">
        <v>1</v>
      </c>
      <c r="F3205" s="1">
        <v>42254</v>
      </c>
      <c r="G3205" s="1" t="str">
        <f>TEXT(pizza_sales[[#This Row],[order_date]],"dddd")</f>
        <v>Monday</v>
      </c>
      <c r="H3205" s="2">
        <v>0.85094907407407405</v>
      </c>
      <c r="I3205">
        <v>12.5</v>
      </c>
      <c r="J3205">
        <v>12.5</v>
      </c>
      <c r="K3205" t="s">
        <v>59</v>
      </c>
      <c r="L3205" t="s">
        <v>13</v>
      </c>
      <c r="M3205" t="s">
        <v>26</v>
      </c>
      <c r="N3205" t="s">
        <v>27</v>
      </c>
    </row>
    <row r="3206" spans="1:14" x14ac:dyDescent="0.25">
      <c r="A3206">
        <v>25905</v>
      </c>
      <c r="B3206">
        <v>11398</v>
      </c>
      <c r="C3206">
        <f>1/COUNTIF(B:B,pizza_sales[[#This Row],[order_id]])</f>
        <v>1</v>
      </c>
      <c r="D3206" t="s">
        <v>49</v>
      </c>
      <c r="E3206">
        <v>1</v>
      </c>
      <c r="F3206" s="1">
        <v>42254</v>
      </c>
      <c r="G3206" s="1" t="str">
        <f>TEXT(pizza_sales[[#This Row],[order_date]],"dddd")</f>
        <v>Monday</v>
      </c>
      <c r="H3206" s="2">
        <v>0.91571759259259256</v>
      </c>
      <c r="I3206">
        <v>16</v>
      </c>
      <c r="J3206">
        <v>16</v>
      </c>
      <c r="K3206" t="s">
        <v>59</v>
      </c>
      <c r="L3206" t="s">
        <v>13</v>
      </c>
      <c r="M3206" t="s">
        <v>21</v>
      </c>
      <c r="N3206" t="s">
        <v>22</v>
      </c>
    </row>
    <row r="3207" spans="1:14" x14ac:dyDescent="0.25">
      <c r="A3207">
        <v>25907</v>
      </c>
      <c r="B3207">
        <v>11400</v>
      </c>
      <c r="C3207">
        <f>1/COUNTIF(B:B,pizza_sales[[#This Row],[order_id]])</f>
        <v>1</v>
      </c>
      <c r="D3207" t="s">
        <v>16</v>
      </c>
      <c r="E3207">
        <v>1</v>
      </c>
      <c r="F3207" s="1">
        <v>42284</v>
      </c>
      <c r="G3207" s="1" t="str">
        <f>TEXT(pizza_sales[[#This Row],[order_date]],"dddd")</f>
        <v>Wednesday</v>
      </c>
      <c r="H3207" s="2">
        <v>0.48766203703703703</v>
      </c>
      <c r="I3207">
        <v>16</v>
      </c>
      <c r="J3207">
        <v>16</v>
      </c>
      <c r="K3207" t="s">
        <v>59</v>
      </c>
      <c r="L3207" t="s">
        <v>17</v>
      </c>
      <c r="M3207" t="s">
        <v>18</v>
      </c>
      <c r="N3207" t="s">
        <v>19</v>
      </c>
    </row>
    <row r="3208" spans="1:14" x14ac:dyDescent="0.25">
      <c r="A3208">
        <v>25911</v>
      </c>
      <c r="B3208">
        <v>11404</v>
      </c>
      <c r="C3208">
        <f>1/COUNTIF(B:B,pizza_sales[[#This Row],[order_id]])</f>
        <v>1</v>
      </c>
      <c r="D3208" t="s">
        <v>45</v>
      </c>
      <c r="E3208">
        <v>1</v>
      </c>
      <c r="F3208" s="1">
        <v>42284</v>
      </c>
      <c r="G3208" s="1" t="str">
        <f>TEXT(pizza_sales[[#This Row],[order_date]],"dddd")</f>
        <v>Wednesday</v>
      </c>
      <c r="H3208" s="2">
        <v>0.507349537037037</v>
      </c>
      <c r="I3208">
        <v>10.5</v>
      </c>
      <c r="J3208">
        <v>10.5</v>
      </c>
      <c r="K3208" t="s">
        <v>60</v>
      </c>
      <c r="L3208" t="s">
        <v>13</v>
      </c>
      <c r="M3208" t="s">
        <v>14</v>
      </c>
      <c r="N3208" t="s">
        <v>15</v>
      </c>
    </row>
    <row r="3209" spans="1:14" x14ac:dyDescent="0.25">
      <c r="A3209">
        <v>25912</v>
      </c>
      <c r="B3209">
        <v>11405</v>
      </c>
      <c r="C3209">
        <f>1/COUNTIF(B:B,pizza_sales[[#This Row],[order_id]])</f>
        <v>1</v>
      </c>
      <c r="D3209" t="s">
        <v>34</v>
      </c>
      <c r="E3209">
        <v>1</v>
      </c>
      <c r="F3209" s="1">
        <v>42284</v>
      </c>
      <c r="G3209" s="1" t="str">
        <f>TEXT(pizza_sales[[#This Row],[order_date]],"dddd")</f>
        <v>Wednesday</v>
      </c>
      <c r="H3209" s="2">
        <v>0.51274305555555555</v>
      </c>
      <c r="I3209">
        <v>16.25</v>
      </c>
      <c r="J3209">
        <v>16.25</v>
      </c>
      <c r="K3209" t="s">
        <v>59</v>
      </c>
      <c r="L3209" t="s">
        <v>35</v>
      </c>
      <c r="M3209" t="s">
        <v>36</v>
      </c>
      <c r="N3209" t="s">
        <v>37</v>
      </c>
    </row>
    <row r="3210" spans="1:14" x14ac:dyDescent="0.25">
      <c r="A3210">
        <v>25919</v>
      </c>
      <c r="B3210">
        <v>11408</v>
      </c>
      <c r="C3210">
        <f>1/COUNTIF(B:B,pizza_sales[[#This Row],[order_id]])</f>
        <v>1</v>
      </c>
      <c r="D3210" t="s">
        <v>28</v>
      </c>
      <c r="E3210">
        <v>1</v>
      </c>
      <c r="F3210" s="1">
        <v>42284</v>
      </c>
      <c r="G3210" s="1" t="str">
        <f>TEXT(pizza_sales[[#This Row],[order_date]],"dddd")</f>
        <v>Wednesday</v>
      </c>
      <c r="H3210" s="2">
        <v>0.51701388888888888</v>
      </c>
      <c r="I3210">
        <v>12</v>
      </c>
      <c r="J3210">
        <v>12</v>
      </c>
      <c r="K3210" t="s">
        <v>60</v>
      </c>
      <c r="L3210" t="s">
        <v>13</v>
      </c>
      <c r="M3210" t="s">
        <v>29</v>
      </c>
      <c r="N3210" t="s">
        <v>30</v>
      </c>
    </row>
    <row r="3211" spans="1:14" x14ac:dyDescent="0.25">
      <c r="A3211">
        <v>25923</v>
      </c>
      <c r="B3211">
        <v>11410</v>
      </c>
      <c r="C3211">
        <f>1/COUNTIF(B:B,pizza_sales[[#This Row],[order_id]])</f>
        <v>0.5</v>
      </c>
      <c r="D3211" t="s">
        <v>42</v>
      </c>
      <c r="E3211">
        <v>1</v>
      </c>
      <c r="F3211" s="1">
        <v>42284</v>
      </c>
      <c r="G3211" s="1" t="str">
        <f>TEXT(pizza_sales[[#This Row],[order_date]],"dddd")</f>
        <v>Wednesday</v>
      </c>
      <c r="H3211" s="2">
        <v>0.53754629629629624</v>
      </c>
      <c r="I3211">
        <v>12.5</v>
      </c>
      <c r="J3211">
        <v>12.5</v>
      </c>
      <c r="K3211" t="s">
        <v>59</v>
      </c>
      <c r="L3211" t="s">
        <v>13</v>
      </c>
      <c r="M3211" t="s">
        <v>26</v>
      </c>
      <c r="N3211" t="s">
        <v>27</v>
      </c>
    </row>
    <row r="3212" spans="1:14" x14ac:dyDescent="0.25">
      <c r="A3212">
        <v>25924</v>
      </c>
      <c r="B3212">
        <v>11410</v>
      </c>
      <c r="C3212">
        <f>1/COUNTIF(B:B,pizza_sales[[#This Row],[order_id]])</f>
        <v>0.5</v>
      </c>
      <c r="D3212" t="s">
        <v>48</v>
      </c>
      <c r="E3212">
        <v>1</v>
      </c>
      <c r="F3212" s="1">
        <v>42284</v>
      </c>
      <c r="G3212" s="1" t="str">
        <f>TEXT(pizza_sales[[#This Row],[order_date]],"dddd")</f>
        <v>Wednesday</v>
      </c>
      <c r="H3212" s="2">
        <v>0.53754629629629624</v>
      </c>
      <c r="I3212">
        <v>12.25</v>
      </c>
      <c r="J3212">
        <v>12.25</v>
      </c>
      <c r="K3212" t="s">
        <v>60</v>
      </c>
      <c r="L3212" t="s">
        <v>35</v>
      </c>
      <c r="M3212" t="s">
        <v>40</v>
      </c>
      <c r="N3212" t="s">
        <v>41</v>
      </c>
    </row>
    <row r="3213" spans="1:14" x14ac:dyDescent="0.25">
      <c r="A3213">
        <v>25933</v>
      </c>
      <c r="B3213">
        <v>11412</v>
      </c>
      <c r="C3213">
        <f>1/COUNTIF(B:B,pizza_sales[[#This Row],[order_id]])</f>
        <v>1</v>
      </c>
      <c r="D3213" t="s">
        <v>44</v>
      </c>
      <c r="E3213">
        <v>1</v>
      </c>
      <c r="F3213" s="1">
        <v>42284</v>
      </c>
      <c r="G3213" s="1" t="str">
        <f>TEXT(pizza_sales[[#This Row],[order_date]],"dddd")</f>
        <v>Wednesday</v>
      </c>
      <c r="H3213" s="2">
        <v>0.5556712962962963</v>
      </c>
      <c r="I3213">
        <v>9.75</v>
      </c>
      <c r="J3213">
        <v>9.75</v>
      </c>
      <c r="K3213" t="s">
        <v>60</v>
      </c>
      <c r="L3213" t="s">
        <v>13</v>
      </c>
      <c r="M3213" t="s">
        <v>26</v>
      </c>
      <c r="N3213" t="s">
        <v>27</v>
      </c>
    </row>
    <row r="3214" spans="1:14" x14ac:dyDescent="0.25">
      <c r="A3214">
        <v>25938</v>
      </c>
      <c r="B3214">
        <v>11415</v>
      </c>
      <c r="C3214">
        <f>1/COUNTIF(B:B,pizza_sales[[#This Row],[order_id]])</f>
        <v>1</v>
      </c>
      <c r="D3214" t="s">
        <v>50</v>
      </c>
      <c r="E3214">
        <v>1</v>
      </c>
      <c r="F3214" s="1">
        <v>42284</v>
      </c>
      <c r="G3214" s="1" t="str">
        <f>TEXT(pizza_sales[[#This Row],[order_date]],"dddd")</f>
        <v>Wednesday</v>
      </c>
      <c r="H3214" s="2">
        <v>0.56108796296296293</v>
      </c>
      <c r="I3214">
        <v>16</v>
      </c>
      <c r="J3214">
        <v>16</v>
      </c>
      <c r="K3214" t="s">
        <v>59</v>
      </c>
      <c r="L3214" t="s">
        <v>13</v>
      </c>
      <c r="M3214" t="s">
        <v>32</v>
      </c>
      <c r="N3214" t="s">
        <v>33</v>
      </c>
    </row>
    <row r="3215" spans="1:14" x14ac:dyDescent="0.25">
      <c r="A3215">
        <v>25939</v>
      </c>
      <c r="B3215">
        <v>11416</v>
      </c>
      <c r="C3215">
        <f>1/COUNTIF(B:B,pizza_sales[[#This Row],[order_id]])</f>
        <v>0.5</v>
      </c>
      <c r="D3215" t="s">
        <v>23</v>
      </c>
      <c r="E3215">
        <v>1</v>
      </c>
      <c r="F3215" s="1">
        <v>42284</v>
      </c>
      <c r="G3215" s="1" t="str">
        <f>TEXT(pizza_sales[[#This Row],[order_date]],"dddd")</f>
        <v>Wednesday</v>
      </c>
      <c r="H3215" s="2">
        <v>0.56215277777777772</v>
      </c>
      <c r="I3215">
        <v>12</v>
      </c>
      <c r="J3215">
        <v>12</v>
      </c>
      <c r="K3215" t="s">
        <v>60</v>
      </c>
      <c r="L3215" t="s">
        <v>17</v>
      </c>
      <c r="M3215" t="s">
        <v>18</v>
      </c>
      <c r="N3215" t="s">
        <v>19</v>
      </c>
    </row>
    <row r="3216" spans="1:14" x14ac:dyDescent="0.25">
      <c r="A3216">
        <v>25940</v>
      </c>
      <c r="B3216">
        <v>11416</v>
      </c>
      <c r="C3216">
        <f>1/COUNTIF(B:B,pizza_sales[[#This Row],[order_id]])</f>
        <v>0.5</v>
      </c>
      <c r="D3216" t="s">
        <v>42</v>
      </c>
      <c r="E3216">
        <v>1</v>
      </c>
      <c r="F3216" s="1">
        <v>42284</v>
      </c>
      <c r="G3216" s="1" t="str">
        <f>TEXT(pizza_sales[[#This Row],[order_date]],"dddd")</f>
        <v>Wednesday</v>
      </c>
      <c r="H3216" s="2">
        <v>0.56215277777777772</v>
      </c>
      <c r="I3216">
        <v>12.5</v>
      </c>
      <c r="J3216">
        <v>12.5</v>
      </c>
      <c r="K3216" t="s">
        <v>59</v>
      </c>
      <c r="L3216" t="s">
        <v>13</v>
      </c>
      <c r="M3216" t="s">
        <v>26</v>
      </c>
      <c r="N3216" t="s">
        <v>27</v>
      </c>
    </row>
    <row r="3217" spans="1:14" x14ac:dyDescent="0.25">
      <c r="A3217">
        <v>25946</v>
      </c>
      <c r="B3217">
        <v>11420</v>
      </c>
      <c r="C3217">
        <f>1/COUNTIF(B:B,pizza_sales[[#This Row],[order_id]])</f>
        <v>1</v>
      </c>
      <c r="D3217" t="s">
        <v>55</v>
      </c>
      <c r="E3217">
        <v>1</v>
      </c>
      <c r="F3217" s="1">
        <v>42284</v>
      </c>
      <c r="G3217" s="1" t="str">
        <f>TEXT(pizza_sales[[#This Row],[order_date]],"dddd")</f>
        <v>Wednesday</v>
      </c>
      <c r="H3217" s="2">
        <v>0.59337962962962965</v>
      </c>
      <c r="I3217">
        <v>20.5</v>
      </c>
      <c r="J3217">
        <v>20.5</v>
      </c>
      <c r="K3217" t="s">
        <v>58</v>
      </c>
      <c r="L3217" t="s">
        <v>13</v>
      </c>
      <c r="M3217" t="s">
        <v>21</v>
      </c>
      <c r="N3217" t="s">
        <v>22</v>
      </c>
    </row>
    <row r="3218" spans="1:14" x14ac:dyDescent="0.25">
      <c r="A3218">
        <v>25950</v>
      </c>
      <c r="B3218">
        <v>11424</v>
      </c>
      <c r="C3218">
        <f>1/COUNTIF(B:B,pizza_sales[[#This Row],[order_id]])</f>
        <v>1</v>
      </c>
      <c r="D3218" t="s">
        <v>44</v>
      </c>
      <c r="E3218">
        <v>1</v>
      </c>
      <c r="F3218" s="1">
        <v>42284</v>
      </c>
      <c r="G3218" s="1" t="str">
        <f>TEXT(pizza_sales[[#This Row],[order_date]],"dddd")</f>
        <v>Wednesday</v>
      </c>
      <c r="H3218" s="2">
        <v>0.60870370370370375</v>
      </c>
      <c r="I3218">
        <v>9.75</v>
      </c>
      <c r="J3218">
        <v>9.75</v>
      </c>
      <c r="K3218" t="s">
        <v>60</v>
      </c>
      <c r="L3218" t="s">
        <v>13</v>
      </c>
      <c r="M3218" t="s">
        <v>26</v>
      </c>
      <c r="N3218" t="s">
        <v>27</v>
      </c>
    </row>
    <row r="3219" spans="1:14" x14ac:dyDescent="0.25">
      <c r="A3219">
        <v>25952</v>
      </c>
      <c r="B3219">
        <v>11425</v>
      </c>
      <c r="C3219">
        <f>1/COUNTIF(B:B,pizza_sales[[#This Row],[order_id]])</f>
        <v>1</v>
      </c>
      <c r="D3219" t="s">
        <v>47</v>
      </c>
      <c r="E3219">
        <v>1</v>
      </c>
      <c r="F3219" s="1">
        <v>42284</v>
      </c>
      <c r="G3219" s="1" t="str">
        <f>TEXT(pizza_sales[[#This Row],[order_date]],"dddd")</f>
        <v>Wednesday</v>
      </c>
      <c r="H3219" s="2">
        <v>0.62884259259259256</v>
      </c>
      <c r="I3219">
        <v>16.5</v>
      </c>
      <c r="J3219">
        <v>16.5</v>
      </c>
      <c r="K3219" t="s">
        <v>58</v>
      </c>
      <c r="L3219" t="s">
        <v>13</v>
      </c>
      <c r="M3219" t="s">
        <v>14</v>
      </c>
      <c r="N3219" t="s">
        <v>15</v>
      </c>
    </row>
    <row r="3220" spans="1:14" x14ac:dyDescent="0.25">
      <c r="A3220">
        <v>25955</v>
      </c>
      <c r="B3220">
        <v>11427</v>
      </c>
      <c r="C3220">
        <f>1/COUNTIF(B:B,pizza_sales[[#This Row],[order_id]])</f>
        <v>1</v>
      </c>
      <c r="D3220" t="s">
        <v>16</v>
      </c>
      <c r="E3220">
        <v>1</v>
      </c>
      <c r="F3220" s="1">
        <v>42284</v>
      </c>
      <c r="G3220" s="1" t="str">
        <f>TEXT(pizza_sales[[#This Row],[order_date]],"dddd")</f>
        <v>Wednesday</v>
      </c>
      <c r="H3220" s="2">
        <v>0.63875000000000004</v>
      </c>
      <c r="I3220">
        <v>16</v>
      </c>
      <c r="J3220">
        <v>16</v>
      </c>
      <c r="K3220" t="s">
        <v>59</v>
      </c>
      <c r="L3220" t="s">
        <v>17</v>
      </c>
      <c r="M3220" t="s">
        <v>18</v>
      </c>
      <c r="N3220" t="s">
        <v>19</v>
      </c>
    </row>
    <row r="3221" spans="1:14" x14ac:dyDescent="0.25">
      <c r="A3221">
        <v>25964</v>
      </c>
      <c r="B3221">
        <v>11428</v>
      </c>
      <c r="C3221">
        <f>1/COUNTIF(B:B,pizza_sales[[#This Row],[order_id]])</f>
        <v>0.33333333333333331</v>
      </c>
      <c r="D3221" t="s">
        <v>24</v>
      </c>
      <c r="E3221">
        <v>1</v>
      </c>
      <c r="F3221" s="1">
        <v>42284</v>
      </c>
      <c r="G3221" s="1" t="str">
        <f>TEXT(pizza_sales[[#This Row],[order_date]],"dddd")</f>
        <v>Wednesday</v>
      </c>
      <c r="H3221" s="2">
        <v>0.65231481481481479</v>
      </c>
      <c r="I3221">
        <v>20.25</v>
      </c>
      <c r="J3221">
        <v>20.25</v>
      </c>
      <c r="K3221" t="s">
        <v>58</v>
      </c>
      <c r="L3221" t="s">
        <v>17</v>
      </c>
      <c r="M3221" t="s">
        <v>18</v>
      </c>
      <c r="N3221" t="s">
        <v>19</v>
      </c>
    </row>
    <row r="3222" spans="1:14" x14ac:dyDescent="0.25">
      <c r="A3222">
        <v>25965</v>
      </c>
      <c r="B3222">
        <v>11428</v>
      </c>
      <c r="C3222">
        <f>1/COUNTIF(B:B,pizza_sales[[#This Row],[order_id]])</f>
        <v>0.33333333333333331</v>
      </c>
      <c r="D3222" t="s">
        <v>16</v>
      </c>
      <c r="E3222">
        <v>1</v>
      </c>
      <c r="F3222" s="1">
        <v>42284</v>
      </c>
      <c r="G3222" s="1" t="str">
        <f>TEXT(pizza_sales[[#This Row],[order_date]],"dddd")</f>
        <v>Wednesday</v>
      </c>
      <c r="H3222" s="2">
        <v>0.65231481481481479</v>
      </c>
      <c r="I3222">
        <v>16</v>
      </c>
      <c r="J3222">
        <v>16</v>
      </c>
      <c r="K3222" t="s">
        <v>59</v>
      </c>
      <c r="L3222" t="s">
        <v>17</v>
      </c>
      <c r="M3222" t="s">
        <v>18</v>
      </c>
      <c r="N3222" t="s">
        <v>19</v>
      </c>
    </row>
    <row r="3223" spans="1:14" x14ac:dyDescent="0.25">
      <c r="A3223">
        <v>25968</v>
      </c>
      <c r="B3223">
        <v>11428</v>
      </c>
      <c r="C3223">
        <f>1/COUNTIF(B:B,pizza_sales[[#This Row],[order_id]])</f>
        <v>0.33333333333333331</v>
      </c>
      <c r="D3223" t="s">
        <v>49</v>
      </c>
      <c r="E3223">
        <v>1</v>
      </c>
      <c r="F3223" s="1">
        <v>42284</v>
      </c>
      <c r="G3223" s="1" t="str">
        <f>TEXT(pizza_sales[[#This Row],[order_date]],"dddd")</f>
        <v>Wednesday</v>
      </c>
      <c r="H3223" s="2">
        <v>0.65231481481481479</v>
      </c>
      <c r="I3223">
        <v>16</v>
      </c>
      <c r="J3223">
        <v>16</v>
      </c>
      <c r="K3223" t="s">
        <v>59</v>
      </c>
      <c r="L3223" t="s">
        <v>13</v>
      </c>
      <c r="M3223" t="s">
        <v>21</v>
      </c>
      <c r="N3223" t="s">
        <v>22</v>
      </c>
    </row>
    <row r="3224" spans="1:14" x14ac:dyDescent="0.25">
      <c r="A3224">
        <v>25970</v>
      </c>
      <c r="B3224">
        <v>11429</v>
      </c>
      <c r="C3224">
        <f>1/COUNTIF(B:B,pizza_sales[[#This Row],[order_id]])</f>
        <v>1</v>
      </c>
      <c r="D3224" t="s">
        <v>51</v>
      </c>
      <c r="E3224">
        <v>1</v>
      </c>
      <c r="F3224" s="1">
        <v>42284</v>
      </c>
      <c r="G3224" s="1" t="str">
        <f>TEXT(pizza_sales[[#This Row],[order_date]],"dddd")</f>
        <v>Wednesday</v>
      </c>
      <c r="H3224" s="2">
        <v>0.6570138888888889</v>
      </c>
      <c r="I3224">
        <v>23.65</v>
      </c>
      <c r="J3224">
        <v>23.65</v>
      </c>
      <c r="K3224" t="s">
        <v>60</v>
      </c>
      <c r="L3224" t="s">
        <v>35</v>
      </c>
      <c r="M3224" t="s">
        <v>52</v>
      </c>
      <c r="N3224" t="s">
        <v>53</v>
      </c>
    </row>
    <row r="3225" spans="1:14" x14ac:dyDescent="0.25">
      <c r="A3225">
        <v>25972</v>
      </c>
      <c r="B3225">
        <v>11431</v>
      </c>
      <c r="C3225">
        <f>1/COUNTIF(B:B,pizza_sales[[#This Row],[order_id]])</f>
        <v>0.5</v>
      </c>
      <c r="D3225" t="s">
        <v>51</v>
      </c>
      <c r="E3225">
        <v>1</v>
      </c>
      <c r="F3225" s="1">
        <v>42284</v>
      </c>
      <c r="G3225" s="1" t="str">
        <f>TEXT(pizza_sales[[#This Row],[order_date]],"dddd")</f>
        <v>Wednesday</v>
      </c>
      <c r="H3225" s="2">
        <v>0.66229166666666661</v>
      </c>
      <c r="I3225">
        <v>23.65</v>
      </c>
      <c r="J3225">
        <v>23.65</v>
      </c>
      <c r="K3225" t="s">
        <v>60</v>
      </c>
      <c r="L3225" t="s">
        <v>35</v>
      </c>
      <c r="M3225" t="s">
        <v>52</v>
      </c>
      <c r="N3225" t="s">
        <v>53</v>
      </c>
    </row>
    <row r="3226" spans="1:14" x14ac:dyDescent="0.25">
      <c r="A3226">
        <v>25974</v>
      </c>
      <c r="B3226">
        <v>11431</v>
      </c>
      <c r="C3226">
        <f>1/COUNTIF(B:B,pizza_sales[[#This Row],[order_id]])</f>
        <v>0.5</v>
      </c>
      <c r="D3226" t="s">
        <v>23</v>
      </c>
      <c r="E3226">
        <v>1</v>
      </c>
      <c r="F3226" s="1">
        <v>42284</v>
      </c>
      <c r="G3226" s="1" t="str">
        <f>TEXT(pizza_sales[[#This Row],[order_date]],"dddd")</f>
        <v>Wednesday</v>
      </c>
      <c r="H3226" s="2">
        <v>0.66229166666666661</v>
      </c>
      <c r="I3226">
        <v>12</v>
      </c>
      <c r="J3226">
        <v>12</v>
      </c>
      <c r="K3226" t="s">
        <v>60</v>
      </c>
      <c r="L3226" t="s">
        <v>17</v>
      </c>
      <c r="M3226" t="s">
        <v>18</v>
      </c>
      <c r="N3226" t="s">
        <v>19</v>
      </c>
    </row>
    <row r="3227" spans="1:14" x14ac:dyDescent="0.25">
      <c r="A3227">
        <v>25977</v>
      </c>
      <c r="B3227">
        <v>11432</v>
      </c>
      <c r="C3227">
        <f>1/COUNTIF(B:B,pizza_sales[[#This Row],[order_id]])</f>
        <v>1</v>
      </c>
      <c r="D3227" t="s">
        <v>38</v>
      </c>
      <c r="E3227">
        <v>1</v>
      </c>
      <c r="F3227" s="1">
        <v>42284</v>
      </c>
      <c r="G3227" s="1" t="str">
        <f>TEXT(pizza_sales[[#This Row],[order_date]],"dddd")</f>
        <v>Wednesday</v>
      </c>
      <c r="H3227" s="2">
        <v>0.67398148148148151</v>
      </c>
      <c r="I3227">
        <v>20.5</v>
      </c>
      <c r="J3227">
        <v>20.5</v>
      </c>
      <c r="K3227" t="s">
        <v>58</v>
      </c>
      <c r="L3227" t="s">
        <v>13</v>
      </c>
      <c r="M3227" t="s">
        <v>32</v>
      </c>
      <c r="N3227" t="s">
        <v>33</v>
      </c>
    </row>
    <row r="3228" spans="1:14" x14ac:dyDescent="0.25">
      <c r="A3228">
        <v>25978</v>
      </c>
      <c r="B3228">
        <v>11433</v>
      </c>
      <c r="C3228">
        <f>1/COUNTIF(B:B,pizza_sales[[#This Row],[order_id]])</f>
        <v>1</v>
      </c>
      <c r="D3228" t="s">
        <v>42</v>
      </c>
      <c r="E3228">
        <v>1</v>
      </c>
      <c r="F3228" s="1">
        <v>42284</v>
      </c>
      <c r="G3228" s="1" t="str">
        <f>TEXT(pizza_sales[[#This Row],[order_date]],"dddd")</f>
        <v>Wednesday</v>
      </c>
      <c r="H3228" s="2">
        <v>0.68042824074074071</v>
      </c>
      <c r="I3228">
        <v>12.5</v>
      </c>
      <c r="J3228">
        <v>12.5</v>
      </c>
      <c r="K3228" t="s">
        <v>59</v>
      </c>
      <c r="L3228" t="s">
        <v>13</v>
      </c>
      <c r="M3228" t="s">
        <v>26</v>
      </c>
      <c r="N3228" t="s">
        <v>27</v>
      </c>
    </row>
    <row r="3229" spans="1:14" x14ac:dyDescent="0.25">
      <c r="A3229">
        <v>25989</v>
      </c>
      <c r="B3229">
        <v>11439</v>
      </c>
      <c r="C3229">
        <f>1/COUNTIF(B:B,pizza_sales[[#This Row],[order_id]])</f>
        <v>1</v>
      </c>
      <c r="D3229" t="s">
        <v>34</v>
      </c>
      <c r="E3229">
        <v>1</v>
      </c>
      <c r="F3229" s="1">
        <v>42284</v>
      </c>
      <c r="G3229" s="1" t="str">
        <f>TEXT(pizza_sales[[#This Row],[order_date]],"dddd")</f>
        <v>Wednesday</v>
      </c>
      <c r="H3229" s="2">
        <v>0.74020833333333336</v>
      </c>
      <c r="I3229">
        <v>16.25</v>
      </c>
      <c r="J3229">
        <v>16.25</v>
      </c>
      <c r="K3229" t="s">
        <v>59</v>
      </c>
      <c r="L3229" t="s">
        <v>35</v>
      </c>
      <c r="M3229" t="s">
        <v>36</v>
      </c>
      <c r="N3229" t="s">
        <v>37</v>
      </c>
    </row>
    <row r="3230" spans="1:14" x14ac:dyDescent="0.25">
      <c r="A3230">
        <v>25993</v>
      </c>
      <c r="B3230">
        <v>11441</v>
      </c>
      <c r="C3230">
        <f>1/COUNTIF(B:B,pizza_sales[[#This Row],[order_id]])</f>
        <v>1</v>
      </c>
      <c r="D3230" t="s">
        <v>34</v>
      </c>
      <c r="E3230">
        <v>1</v>
      </c>
      <c r="F3230" s="1">
        <v>42284</v>
      </c>
      <c r="G3230" s="1" t="str">
        <f>TEXT(pizza_sales[[#This Row],[order_date]],"dddd")</f>
        <v>Wednesday</v>
      </c>
      <c r="H3230" s="2">
        <v>0.75850694444444444</v>
      </c>
      <c r="I3230">
        <v>16.25</v>
      </c>
      <c r="J3230">
        <v>16.25</v>
      </c>
      <c r="K3230" t="s">
        <v>59</v>
      </c>
      <c r="L3230" t="s">
        <v>35</v>
      </c>
      <c r="M3230" t="s">
        <v>36</v>
      </c>
      <c r="N3230" t="s">
        <v>37</v>
      </c>
    </row>
    <row r="3231" spans="1:14" x14ac:dyDescent="0.25">
      <c r="A3231">
        <v>25999</v>
      </c>
      <c r="B3231">
        <v>11444</v>
      </c>
      <c r="C3231">
        <f>1/COUNTIF(B:B,pizza_sales[[#This Row],[order_id]])</f>
        <v>1</v>
      </c>
      <c r="D3231" t="s">
        <v>43</v>
      </c>
      <c r="E3231">
        <v>1</v>
      </c>
      <c r="F3231" s="1">
        <v>42284</v>
      </c>
      <c r="G3231" s="1" t="str">
        <f>TEXT(pizza_sales[[#This Row],[order_date]],"dddd")</f>
        <v>Wednesday</v>
      </c>
      <c r="H3231" s="2">
        <v>0.76731481481481478</v>
      </c>
      <c r="I3231">
        <v>16.25</v>
      </c>
      <c r="J3231">
        <v>16.25</v>
      </c>
      <c r="K3231" t="s">
        <v>59</v>
      </c>
      <c r="L3231" t="s">
        <v>35</v>
      </c>
      <c r="M3231" t="s">
        <v>40</v>
      </c>
      <c r="N3231" t="s">
        <v>41</v>
      </c>
    </row>
    <row r="3232" spans="1:14" x14ac:dyDescent="0.25">
      <c r="A3232">
        <v>26001</v>
      </c>
      <c r="B3232">
        <v>11445</v>
      </c>
      <c r="C3232">
        <f>1/COUNTIF(B:B,pizza_sales[[#This Row],[order_id]])</f>
        <v>1</v>
      </c>
      <c r="D3232" t="s">
        <v>44</v>
      </c>
      <c r="E3232">
        <v>1</v>
      </c>
      <c r="F3232" s="1">
        <v>42284</v>
      </c>
      <c r="G3232" s="1" t="str">
        <f>TEXT(pizza_sales[[#This Row],[order_date]],"dddd")</f>
        <v>Wednesday</v>
      </c>
      <c r="H3232" s="2">
        <v>0.7822337962962963</v>
      </c>
      <c r="I3232">
        <v>9.75</v>
      </c>
      <c r="J3232">
        <v>9.75</v>
      </c>
      <c r="K3232" t="s">
        <v>60</v>
      </c>
      <c r="L3232" t="s">
        <v>13</v>
      </c>
      <c r="M3232" t="s">
        <v>26</v>
      </c>
      <c r="N3232" t="s">
        <v>27</v>
      </c>
    </row>
    <row r="3233" spans="1:14" x14ac:dyDescent="0.25">
      <c r="A3233">
        <v>26003</v>
      </c>
      <c r="B3233">
        <v>11447</v>
      </c>
      <c r="C3233">
        <f>1/COUNTIF(B:B,pizza_sales[[#This Row],[order_id]])</f>
        <v>1</v>
      </c>
      <c r="D3233" t="s">
        <v>51</v>
      </c>
      <c r="E3233">
        <v>1</v>
      </c>
      <c r="F3233" s="1">
        <v>42284</v>
      </c>
      <c r="G3233" s="1" t="str">
        <f>TEXT(pizza_sales[[#This Row],[order_date]],"dddd")</f>
        <v>Wednesday</v>
      </c>
      <c r="H3233" s="2">
        <v>0.78803240740740743</v>
      </c>
      <c r="I3233">
        <v>23.65</v>
      </c>
      <c r="J3233">
        <v>23.65</v>
      </c>
      <c r="K3233" t="s">
        <v>60</v>
      </c>
      <c r="L3233" t="s">
        <v>35</v>
      </c>
      <c r="M3233" t="s">
        <v>52</v>
      </c>
      <c r="N3233" t="s">
        <v>53</v>
      </c>
    </row>
    <row r="3234" spans="1:14" x14ac:dyDescent="0.25">
      <c r="A3234">
        <v>26010</v>
      </c>
      <c r="B3234">
        <v>11450</v>
      </c>
      <c r="C3234">
        <f>1/COUNTIF(B:B,pizza_sales[[#This Row],[order_id]])</f>
        <v>1</v>
      </c>
      <c r="D3234" t="s">
        <v>38</v>
      </c>
      <c r="E3234">
        <v>1</v>
      </c>
      <c r="F3234" s="1">
        <v>42284</v>
      </c>
      <c r="G3234" s="1" t="str">
        <f>TEXT(pizza_sales[[#This Row],[order_date]],"dddd")</f>
        <v>Wednesday</v>
      </c>
      <c r="H3234" s="2">
        <v>0.79912037037037043</v>
      </c>
      <c r="I3234">
        <v>20.5</v>
      </c>
      <c r="J3234">
        <v>20.5</v>
      </c>
      <c r="K3234" t="s">
        <v>58</v>
      </c>
      <c r="L3234" t="s">
        <v>13</v>
      </c>
      <c r="M3234" t="s">
        <v>32</v>
      </c>
      <c r="N3234" t="s">
        <v>33</v>
      </c>
    </row>
    <row r="3235" spans="1:14" x14ac:dyDescent="0.25">
      <c r="A3235">
        <v>26013</v>
      </c>
      <c r="B3235">
        <v>11451</v>
      </c>
      <c r="C3235">
        <f>1/COUNTIF(B:B,pizza_sales[[#This Row],[order_id]])</f>
        <v>1</v>
      </c>
      <c r="D3235" t="s">
        <v>44</v>
      </c>
      <c r="E3235">
        <v>1</v>
      </c>
      <c r="F3235" s="1">
        <v>42284</v>
      </c>
      <c r="G3235" s="1" t="str">
        <f>TEXT(pizza_sales[[#This Row],[order_date]],"dddd")</f>
        <v>Wednesday</v>
      </c>
      <c r="H3235" s="2">
        <v>0.80126157407407406</v>
      </c>
      <c r="I3235">
        <v>9.75</v>
      </c>
      <c r="J3235">
        <v>9.75</v>
      </c>
      <c r="K3235" t="s">
        <v>60</v>
      </c>
      <c r="L3235" t="s">
        <v>13</v>
      </c>
      <c r="M3235" t="s">
        <v>26</v>
      </c>
      <c r="N3235" t="s">
        <v>27</v>
      </c>
    </row>
    <row r="3236" spans="1:14" x14ac:dyDescent="0.25">
      <c r="A3236">
        <v>26019</v>
      </c>
      <c r="B3236">
        <v>11454</v>
      </c>
      <c r="C3236">
        <f>1/COUNTIF(B:B,pizza_sales[[#This Row],[order_id]])</f>
        <v>1</v>
      </c>
      <c r="D3236" t="s">
        <v>12</v>
      </c>
      <c r="E3236">
        <v>1</v>
      </c>
      <c r="F3236" s="1">
        <v>42284</v>
      </c>
      <c r="G3236" s="1" t="str">
        <f>TEXT(pizza_sales[[#This Row],[order_date]],"dddd")</f>
        <v>Wednesday</v>
      </c>
      <c r="H3236" s="2">
        <v>0.83285879629629633</v>
      </c>
      <c r="I3236">
        <v>13.25</v>
      </c>
      <c r="J3236">
        <v>13.25</v>
      </c>
      <c r="K3236" t="s">
        <v>59</v>
      </c>
      <c r="L3236" t="s">
        <v>13</v>
      </c>
      <c r="M3236" t="s">
        <v>14</v>
      </c>
      <c r="N3236" t="s">
        <v>15</v>
      </c>
    </row>
    <row r="3237" spans="1:14" x14ac:dyDescent="0.25">
      <c r="A3237">
        <v>26021</v>
      </c>
      <c r="B3237">
        <v>11456</v>
      </c>
      <c r="C3237">
        <f>1/COUNTIF(B:B,pizza_sales[[#This Row],[order_id]])</f>
        <v>1</v>
      </c>
      <c r="D3237" t="s">
        <v>28</v>
      </c>
      <c r="E3237">
        <v>1</v>
      </c>
      <c r="F3237" s="1">
        <v>42284</v>
      </c>
      <c r="G3237" s="1" t="str">
        <f>TEXT(pizza_sales[[#This Row],[order_date]],"dddd")</f>
        <v>Wednesday</v>
      </c>
      <c r="H3237" s="2">
        <v>0.84723379629629625</v>
      </c>
      <c r="I3237">
        <v>12</v>
      </c>
      <c r="J3237">
        <v>12</v>
      </c>
      <c r="K3237" t="s">
        <v>60</v>
      </c>
      <c r="L3237" t="s">
        <v>13</v>
      </c>
      <c r="M3237" t="s">
        <v>29</v>
      </c>
      <c r="N3237" t="s">
        <v>30</v>
      </c>
    </row>
    <row r="3238" spans="1:14" x14ac:dyDescent="0.25">
      <c r="A3238">
        <v>26022</v>
      </c>
      <c r="B3238">
        <v>11457</v>
      </c>
      <c r="C3238">
        <f>1/COUNTIF(B:B,pizza_sales[[#This Row],[order_id]])</f>
        <v>1</v>
      </c>
      <c r="D3238" t="s">
        <v>39</v>
      </c>
      <c r="E3238">
        <v>1</v>
      </c>
      <c r="F3238" s="1">
        <v>42284</v>
      </c>
      <c r="G3238" s="1" t="str">
        <f>TEXT(pizza_sales[[#This Row],[order_date]],"dddd")</f>
        <v>Wednesday</v>
      </c>
      <c r="H3238" s="2">
        <v>0.85195601851851854</v>
      </c>
      <c r="I3238">
        <v>20.25</v>
      </c>
      <c r="J3238">
        <v>20.25</v>
      </c>
      <c r="K3238" t="s">
        <v>58</v>
      </c>
      <c r="L3238" t="s">
        <v>35</v>
      </c>
      <c r="M3238" t="s">
        <v>40</v>
      </c>
      <c r="N3238" t="s">
        <v>41</v>
      </c>
    </row>
    <row r="3239" spans="1:14" x14ac:dyDescent="0.25">
      <c r="A3239">
        <v>26023</v>
      </c>
      <c r="B3239">
        <v>11458</v>
      </c>
      <c r="C3239">
        <f>1/COUNTIF(B:B,pizza_sales[[#This Row],[order_id]])</f>
        <v>1</v>
      </c>
      <c r="D3239" t="s">
        <v>34</v>
      </c>
      <c r="E3239">
        <v>1</v>
      </c>
      <c r="F3239" s="1">
        <v>42284</v>
      </c>
      <c r="G3239" s="1" t="str">
        <f>TEXT(pizza_sales[[#This Row],[order_date]],"dddd")</f>
        <v>Wednesday</v>
      </c>
      <c r="H3239" s="2">
        <v>0.86407407407407411</v>
      </c>
      <c r="I3239">
        <v>16.25</v>
      </c>
      <c r="J3239">
        <v>16.25</v>
      </c>
      <c r="K3239" t="s">
        <v>59</v>
      </c>
      <c r="L3239" t="s">
        <v>35</v>
      </c>
      <c r="M3239" t="s">
        <v>36</v>
      </c>
      <c r="N3239" t="s">
        <v>37</v>
      </c>
    </row>
    <row r="3240" spans="1:14" x14ac:dyDescent="0.25">
      <c r="A3240">
        <v>26029</v>
      </c>
      <c r="B3240">
        <v>11462</v>
      </c>
      <c r="C3240">
        <f>1/COUNTIF(B:B,pizza_sales[[#This Row],[order_id]])</f>
        <v>1</v>
      </c>
      <c r="D3240" t="s">
        <v>44</v>
      </c>
      <c r="E3240">
        <v>1</v>
      </c>
      <c r="F3240" s="1">
        <v>42284</v>
      </c>
      <c r="G3240" s="1" t="str">
        <f>TEXT(pizza_sales[[#This Row],[order_date]],"dddd")</f>
        <v>Wednesday</v>
      </c>
      <c r="H3240" s="2">
        <v>0.91017361111111106</v>
      </c>
      <c r="I3240">
        <v>9.75</v>
      </c>
      <c r="J3240">
        <v>9.75</v>
      </c>
      <c r="K3240" t="s">
        <v>60</v>
      </c>
      <c r="L3240" t="s">
        <v>13</v>
      </c>
      <c r="M3240" t="s">
        <v>26</v>
      </c>
      <c r="N3240" t="s">
        <v>27</v>
      </c>
    </row>
    <row r="3241" spans="1:14" x14ac:dyDescent="0.25">
      <c r="A3241">
        <v>26041</v>
      </c>
      <c r="B3241">
        <v>11467</v>
      </c>
      <c r="C3241">
        <f>1/COUNTIF(B:B,pizza_sales[[#This Row],[order_id]])</f>
        <v>0.5</v>
      </c>
      <c r="D3241" t="s">
        <v>47</v>
      </c>
      <c r="E3241">
        <v>1</v>
      </c>
      <c r="F3241" s="1">
        <v>42284</v>
      </c>
      <c r="G3241" s="1" t="str">
        <f>TEXT(pizza_sales[[#This Row],[order_date]],"dddd")</f>
        <v>Wednesday</v>
      </c>
      <c r="H3241" s="2">
        <v>0.93800925925925926</v>
      </c>
      <c r="I3241">
        <v>16.5</v>
      </c>
      <c r="J3241">
        <v>16.5</v>
      </c>
      <c r="K3241" t="s">
        <v>58</v>
      </c>
      <c r="L3241" t="s">
        <v>13</v>
      </c>
      <c r="M3241" t="s">
        <v>14</v>
      </c>
      <c r="N3241" t="s">
        <v>15</v>
      </c>
    </row>
    <row r="3242" spans="1:14" x14ac:dyDescent="0.25">
      <c r="A3242">
        <v>26042</v>
      </c>
      <c r="B3242">
        <v>11467</v>
      </c>
      <c r="C3242">
        <f>1/COUNTIF(B:B,pizza_sales[[#This Row],[order_id]])</f>
        <v>0.5</v>
      </c>
      <c r="D3242" t="s">
        <v>12</v>
      </c>
      <c r="E3242">
        <v>1</v>
      </c>
      <c r="F3242" s="1">
        <v>42284</v>
      </c>
      <c r="G3242" s="1" t="str">
        <f>TEXT(pizza_sales[[#This Row],[order_date]],"dddd")</f>
        <v>Wednesday</v>
      </c>
      <c r="H3242" s="2">
        <v>0.93800925925925926</v>
      </c>
      <c r="I3242">
        <v>13.25</v>
      </c>
      <c r="J3242">
        <v>13.25</v>
      </c>
      <c r="K3242" t="s">
        <v>59</v>
      </c>
      <c r="L3242" t="s">
        <v>13</v>
      </c>
      <c r="M3242" t="s">
        <v>14</v>
      </c>
      <c r="N3242" t="s">
        <v>15</v>
      </c>
    </row>
    <row r="3243" spans="1:14" x14ac:dyDescent="0.25">
      <c r="A3243">
        <v>26043</v>
      </c>
      <c r="B3243">
        <v>11468</v>
      </c>
      <c r="C3243">
        <f>1/COUNTIF(B:B,pizza_sales[[#This Row],[order_id]])</f>
        <v>1</v>
      </c>
      <c r="D3243" t="s">
        <v>42</v>
      </c>
      <c r="E3243">
        <v>1</v>
      </c>
      <c r="F3243" s="1">
        <v>42284</v>
      </c>
      <c r="G3243" s="1" t="str">
        <f>TEXT(pizza_sales[[#This Row],[order_date]],"dddd")</f>
        <v>Wednesday</v>
      </c>
      <c r="H3243" s="2">
        <v>0.94300925925925927</v>
      </c>
      <c r="I3243">
        <v>12.5</v>
      </c>
      <c r="J3243">
        <v>12.5</v>
      </c>
      <c r="K3243" t="s">
        <v>59</v>
      </c>
      <c r="L3243" t="s">
        <v>13</v>
      </c>
      <c r="M3243" t="s">
        <v>26</v>
      </c>
      <c r="N3243" t="s">
        <v>27</v>
      </c>
    </row>
    <row r="3244" spans="1:14" x14ac:dyDescent="0.25">
      <c r="A3244">
        <v>26047</v>
      </c>
      <c r="B3244">
        <v>11469</v>
      </c>
      <c r="C3244">
        <f>1/COUNTIF(B:B,pizza_sales[[#This Row],[order_id]])</f>
        <v>1</v>
      </c>
      <c r="D3244" t="s">
        <v>39</v>
      </c>
      <c r="E3244">
        <v>1</v>
      </c>
      <c r="F3244" s="1">
        <v>42284</v>
      </c>
      <c r="G3244" s="1" t="str">
        <f>TEXT(pizza_sales[[#This Row],[order_date]],"dddd")</f>
        <v>Wednesday</v>
      </c>
      <c r="H3244" s="2">
        <v>0.95003472222222218</v>
      </c>
      <c r="I3244">
        <v>20.25</v>
      </c>
      <c r="J3244">
        <v>20.25</v>
      </c>
      <c r="K3244" t="s">
        <v>58</v>
      </c>
      <c r="L3244" t="s">
        <v>35</v>
      </c>
      <c r="M3244" t="s">
        <v>40</v>
      </c>
      <c r="N3244" t="s">
        <v>41</v>
      </c>
    </row>
    <row r="3245" spans="1:14" x14ac:dyDescent="0.25">
      <c r="A3245">
        <v>26052</v>
      </c>
      <c r="B3245">
        <v>11471</v>
      </c>
      <c r="C3245">
        <f>1/COUNTIF(B:B,pizza_sales[[#This Row],[order_id]])</f>
        <v>1</v>
      </c>
      <c r="D3245" t="s">
        <v>39</v>
      </c>
      <c r="E3245">
        <v>1</v>
      </c>
      <c r="F3245" s="1">
        <v>42315</v>
      </c>
      <c r="G3245" s="1" t="str">
        <f>TEXT(pizza_sales[[#This Row],[order_date]],"dddd")</f>
        <v>Saturday</v>
      </c>
      <c r="H3245" s="2">
        <v>0.51619212962962968</v>
      </c>
      <c r="I3245">
        <v>20.25</v>
      </c>
      <c r="J3245">
        <v>20.25</v>
      </c>
      <c r="K3245" t="s">
        <v>58</v>
      </c>
      <c r="L3245" t="s">
        <v>35</v>
      </c>
      <c r="M3245" t="s">
        <v>40</v>
      </c>
      <c r="N3245" t="s">
        <v>41</v>
      </c>
    </row>
    <row r="3246" spans="1:14" x14ac:dyDescent="0.25">
      <c r="A3246">
        <v>26057</v>
      </c>
      <c r="B3246">
        <v>11474</v>
      </c>
      <c r="C3246">
        <f>1/COUNTIF(B:B,pizza_sales[[#This Row],[order_id]])</f>
        <v>1</v>
      </c>
      <c r="D3246" t="s">
        <v>31</v>
      </c>
      <c r="E3246">
        <v>1</v>
      </c>
      <c r="F3246" s="1">
        <v>42315</v>
      </c>
      <c r="G3246" s="1" t="str">
        <f>TEXT(pizza_sales[[#This Row],[order_date]],"dddd")</f>
        <v>Saturday</v>
      </c>
      <c r="H3246" s="2">
        <v>0.53</v>
      </c>
      <c r="I3246">
        <v>12</v>
      </c>
      <c r="J3246">
        <v>12</v>
      </c>
      <c r="K3246" t="s">
        <v>60</v>
      </c>
      <c r="L3246" t="s">
        <v>13</v>
      </c>
      <c r="M3246" t="s">
        <v>32</v>
      </c>
      <c r="N3246" t="s">
        <v>33</v>
      </c>
    </row>
    <row r="3247" spans="1:14" x14ac:dyDescent="0.25">
      <c r="A3247">
        <v>26059</v>
      </c>
      <c r="B3247">
        <v>11475</v>
      </c>
      <c r="C3247">
        <f>1/COUNTIF(B:B,pizza_sales[[#This Row],[order_id]])</f>
        <v>1</v>
      </c>
      <c r="D3247" t="s">
        <v>44</v>
      </c>
      <c r="E3247">
        <v>1</v>
      </c>
      <c r="F3247" s="1">
        <v>42315</v>
      </c>
      <c r="G3247" s="1" t="str">
        <f>TEXT(pizza_sales[[#This Row],[order_date]],"dddd")</f>
        <v>Saturday</v>
      </c>
      <c r="H3247" s="2">
        <v>0.53082175925925923</v>
      </c>
      <c r="I3247">
        <v>9.75</v>
      </c>
      <c r="J3247">
        <v>9.75</v>
      </c>
      <c r="K3247" t="s">
        <v>60</v>
      </c>
      <c r="L3247" t="s">
        <v>13</v>
      </c>
      <c r="M3247" t="s">
        <v>26</v>
      </c>
      <c r="N3247" t="s">
        <v>27</v>
      </c>
    </row>
    <row r="3248" spans="1:14" x14ac:dyDescent="0.25">
      <c r="A3248">
        <v>26062</v>
      </c>
      <c r="B3248">
        <v>11476</v>
      </c>
      <c r="C3248">
        <f>1/COUNTIF(B:B,pizza_sales[[#This Row],[order_id]])</f>
        <v>1</v>
      </c>
      <c r="D3248" t="s">
        <v>16</v>
      </c>
      <c r="E3248">
        <v>1</v>
      </c>
      <c r="F3248" s="1">
        <v>42315</v>
      </c>
      <c r="G3248" s="1" t="str">
        <f>TEXT(pizza_sales[[#This Row],[order_date]],"dddd")</f>
        <v>Saturday</v>
      </c>
      <c r="H3248" s="2">
        <v>0.54427083333333337</v>
      </c>
      <c r="I3248">
        <v>16</v>
      </c>
      <c r="J3248">
        <v>16</v>
      </c>
      <c r="K3248" t="s">
        <v>59</v>
      </c>
      <c r="L3248" t="s">
        <v>17</v>
      </c>
      <c r="M3248" t="s">
        <v>18</v>
      </c>
      <c r="N3248" t="s">
        <v>19</v>
      </c>
    </row>
    <row r="3249" spans="1:14" x14ac:dyDescent="0.25">
      <c r="A3249">
        <v>26066</v>
      </c>
      <c r="B3249">
        <v>11478</v>
      </c>
      <c r="C3249">
        <f>1/COUNTIF(B:B,pizza_sales[[#This Row],[order_id]])</f>
        <v>0.5</v>
      </c>
      <c r="D3249" t="s">
        <v>28</v>
      </c>
      <c r="E3249">
        <v>1</v>
      </c>
      <c r="F3249" s="1">
        <v>42315</v>
      </c>
      <c r="G3249" s="1" t="str">
        <f>TEXT(pizza_sales[[#This Row],[order_date]],"dddd")</f>
        <v>Saturday</v>
      </c>
      <c r="H3249" s="2">
        <v>0.57545138888888892</v>
      </c>
      <c r="I3249">
        <v>12</v>
      </c>
      <c r="J3249">
        <v>12</v>
      </c>
      <c r="K3249" t="s">
        <v>60</v>
      </c>
      <c r="L3249" t="s">
        <v>13</v>
      </c>
      <c r="M3249" t="s">
        <v>29</v>
      </c>
      <c r="N3249" t="s">
        <v>30</v>
      </c>
    </row>
    <row r="3250" spans="1:14" x14ac:dyDescent="0.25">
      <c r="A3250">
        <v>26073</v>
      </c>
      <c r="B3250">
        <v>11478</v>
      </c>
      <c r="C3250">
        <f>1/COUNTIF(B:B,pizza_sales[[#This Row],[order_id]])</f>
        <v>0.5</v>
      </c>
      <c r="D3250" t="s">
        <v>48</v>
      </c>
      <c r="E3250">
        <v>1</v>
      </c>
      <c r="F3250" s="1">
        <v>42315</v>
      </c>
      <c r="G3250" s="1" t="str">
        <f>TEXT(pizza_sales[[#This Row],[order_date]],"dddd")</f>
        <v>Saturday</v>
      </c>
      <c r="H3250" s="2">
        <v>0.57545138888888892</v>
      </c>
      <c r="I3250">
        <v>12.25</v>
      </c>
      <c r="J3250">
        <v>12.25</v>
      </c>
      <c r="K3250" t="s">
        <v>60</v>
      </c>
      <c r="L3250" t="s">
        <v>35</v>
      </c>
      <c r="M3250" t="s">
        <v>40</v>
      </c>
      <c r="N3250" t="s">
        <v>41</v>
      </c>
    </row>
    <row r="3251" spans="1:14" x14ac:dyDescent="0.25">
      <c r="A3251">
        <v>26078</v>
      </c>
      <c r="B3251">
        <v>11481</v>
      </c>
      <c r="C3251">
        <f>1/COUNTIF(B:B,pizza_sales[[#This Row],[order_id]])</f>
        <v>1</v>
      </c>
      <c r="D3251" t="s">
        <v>42</v>
      </c>
      <c r="E3251">
        <v>1</v>
      </c>
      <c r="F3251" s="1">
        <v>42315</v>
      </c>
      <c r="G3251" s="1" t="str">
        <f>TEXT(pizza_sales[[#This Row],[order_date]],"dddd")</f>
        <v>Saturday</v>
      </c>
      <c r="H3251" s="2">
        <v>0.59332175925925923</v>
      </c>
      <c r="I3251">
        <v>12.5</v>
      </c>
      <c r="J3251">
        <v>12.5</v>
      </c>
      <c r="K3251" t="s">
        <v>59</v>
      </c>
      <c r="L3251" t="s">
        <v>13</v>
      </c>
      <c r="M3251" t="s">
        <v>26</v>
      </c>
      <c r="N3251" t="s">
        <v>27</v>
      </c>
    </row>
    <row r="3252" spans="1:14" x14ac:dyDescent="0.25">
      <c r="A3252">
        <v>26080</v>
      </c>
      <c r="B3252">
        <v>11482</v>
      </c>
      <c r="C3252">
        <f>1/COUNTIF(B:B,pizza_sales[[#This Row],[order_id]])</f>
        <v>1</v>
      </c>
      <c r="D3252" t="s">
        <v>50</v>
      </c>
      <c r="E3252">
        <v>1</v>
      </c>
      <c r="F3252" s="1">
        <v>42315</v>
      </c>
      <c r="G3252" s="1" t="str">
        <f>TEXT(pizza_sales[[#This Row],[order_date]],"dddd")</f>
        <v>Saturday</v>
      </c>
      <c r="H3252" s="2">
        <v>0.62255787037037036</v>
      </c>
      <c r="I3252">
        <v>16</v>
      </c>
      <c r="J3252">
        <v>16</v>
      </c>
      <c r="K3252" t="s">
        <v>59</v>
      </c>
      <c r="L3252" t="s">
        <v>13</v>
      </c>
      <c r="M3252" t="s">
        <v>32</v>
      </c>
      <c r="N3252" t="s">
        <v>33</v>
      </c>
    </row>
    <row r="3253" spans="1:14" x14ac:dyDescent="0.25">
      <c r="A3253">
        <v>26084</v>
      </c>
      <c r="B3253">
        <v>11485</v>
      </c>
      <c r="C3253">
        <f>1/COUNTIF(B:B,pizza_sales[[#This Row],[order_id]])</f>
        <v>1</v>
      </c>
      <c r="D3253" t="s">
        <v>28</v>
      </c>
      <c r="E3253">
        <v>1</v>
      </c>
      <c r="F3253" s="1">
        <v>42315</v>
      </c>
      <c r="G3253" s="1" t="str">
        <f>TEXT(pizza_sales[[#This Row],[order_date]],"dddd")</f>
        <v>Saturday</v>
      </c>
      <c r="H3253" s="2">
        <v>0.66003472222222226</v>
      </c>
      <c r="I3253">
        <v>12</v>
      </c>
      <c r="J3253">
        <v>12</v>
      </c>
      <c r="K3253" t="s">
        <v>60</v>
      </c>
      <c r="L3253" t="s">
        <v>13</v>
      </c>
      <c r="M3253" t="s">
        <v>29</v>
      </c>
      <c r="N3253" t="s">
        <v>30</v>
      </c>
    </row>
    <row r="3254" spans="1:14" x14ac:dyDescent="0.25">
      <c r="A3254">
        <v>26088</v>
      </c>
      <c r="B3254">
        <v>11486</v>
      </c>
      <c r="C3254">
        <f>1/COUNTIF(B:B,pizza_sales[[#This Row],[order_id]])</f>
        <v>0.5</v>
      </c>
      <c r="D3254" t="s">
        <v>12</v>
      </c>
      <c r="E3254">
        <v>1</v>
      </c>
      <c r="F3254" s="1">
        <v>42315</v>
      </c>
      <c r="G3254" s="1" t="str">
        <f>TEXT(pizza_sales[[#This Row],[order_date]],"dddd")</f>
        <v>Saturday</v>
      </c>
      <c r="H3254" s="2">
        <v>0.66909722222222223</v>
      </c>
      <c r="I3254">
        <v>13.25</v>
      </c>
      <c r="J3254">
        <v>13.25</v>
      </c>
      <c r="K3254" t="s">
        <v>59</v>
      </c>
      <c r="L3254" t="s">
        <v>13</v>
      </c>
      <c r="M3254" t="s">
        <v>14</v>
      </c>
      <c r="N3254" t="s">
        <v>15</v>
      </c>
    </row>
    <row r="3255" spans="1:14" x14ac:dyDescent="0.25">
      <c r="A3255">
        <v>26089</v>
      </c>
      <c r="B3255">
        <v>11486</v>
      </c>
      <c r="C3255">
        <f>1/COUNTIF(B:B,pizza_sales[[#This Row],[order_id]])</f>
        <v>0.5</v>
      </c>
      <c r="D3255" t="s">
        <v>39</v>
      </c>
      <c r="E3255">
        <v>2</v>
      </c>
      <c r="F3255" s="1">
        <v>42315</v>
      </c>
      <c r="G3255" s="1" t="str">
        <f>TEXT(pizza_sales[[#This Row],[order_date]],"dddd")</f>
        <v>Saturday</v>
      </c>
      <c r="H3255" s="2">
        <v>0.66909722222222223</v>
      </c>
      <c r="I3255">
        <v>20.25</v>
      </c>
      <c r="J3255">
        <v>40.5</v>
      </c>
      <c r="K3255" t="s">
        <v>58</v>
      </c>
      <c r="L3255" t="s">
        <v>35</v>
      </c>
      <c r="M3255" t="s">
        <v>40</v>
      </c>
      <c r="N3255" t="s">
        <v>41</v>
      </c>
    </row>
    <row r="3256" spans="1:14" x14ac:dyDescent="0.25">
      <c r="A3256">
        <v>26097</v>
      </c>
      <c r="B3256">
        <v>11491</v>
      </c>
      <c r="C3256">
        <f>1/COUNTIF(B:B,pizza_sales[[#This Row],[order_id]])</f>
        <v>1</v>
      </c>
      <c r="D3256" t="s">
        <v>28</v>
      </c>
      <c r="E3256">
        <v>1</v>
      </c>
      <c r="F3256" s="1">
        <v>42315</v>
      </c>
      <c r="G3256" s="1" t="str">
        <f>TEXT(pizza_sales[[#This Row],[order_date]],"dddd")</f>
        <v>Saturday</v>
      </c>
      <c r="H3256" s="2">
        <v>0.69030092592592596</v>
      </c>
      <c r="I3256">
        <v>12</v>
      </c>
      <c r="J3256">
        <v>12</v>
      </c>
      <c r="K3256" t="s">
        <v>60</v>
      </c>
      <c r="L3256" t="s">
        <v>13</v>
      </c>
      <c r="M3256" t="s">
        <v>29</v>
      </c>
      <c r="N3256" t="s">
        <v>30</v>
      </c>
    </row>
    <row r="3257" spans="1:14" x14ac:dyDescent="0.25">
      <c r="A3257">
        <v>26101</v>
      </c>
      <c r="B3257">
        <v>11494</v>
      </c>
      <c r="C3257">
        <f>1/COUNTIF(B:B,pizza_sales[[#This Row],[order_id]])</f>
        <v>1</v>
      </c>
      <c r="D3257" t="s">
        <v>28</v>
      </c>
      <c r="E3257">
        <v>1</v>
      </c>
      <c r="F3257" s="1">
        <v>42315</v>
      </c>
      <c r="G3257" s="1" t="str">
        <f>TEXT(pizza_sales[[#This Row],[order_date]],"dddd")</f>
        <v>Saturday</v>
      </c>
      <c r="H3257" s="2">
        <v>0.73123842592592592</v>
      </c>
      <c r="I3257">
        <v>12</v>
      </c>
      <c r="J3257">
        <v>12</v>
      </c>
      <c r="K3257" t="s">
        <v>60</v>
      </c>
      <c r="L3257" t="s">
        <v>13</v>
      </c>
      <c r="M3257" t="s">
        <v>29</v>
      </c>
      <c r="N3257" t="s">
        <v>30</v>
      </c>
    </row>
    <row r="3258" spans="1:14" x14ac:dyDescent="0.25">
      <c r="A3258">
        <v>26108</v>
      </c>
      <c r="B3258">
        <v>11497</v>
      </c>
      <c r="C3258">
        <f>1/COUNTIF(B:B,pizza_sales[[#This Row],[order_id]])</f>
        <v>1</v>
      </c>
      <c r="D3258" t="s">
        <v>12</v>
      </c>
      <c r="E3258">
        <v>1</v>
      </c>
      <c r="F3258" s="1">
        <v>42315</v>
      </c>
      <c r="G3258" s="1" t="str">
        <f>TEXT(pizza_sales[[#This Row],[order_date]],"dddd")</f>
        <v>Saturday</v>
      </c>
      <c r="H3258" s="2">
        <v>0.73942129629629627</v>
      </c>
      <c r="I3258">
        <v>13.25</v>
      </c>
      <c r="J3258">
        <v>13.25</v>
      </c>
      <c r="K3258" t="s">
        <v>59</v>
      </c>
      <c r="L3258" t="s">
        <v>13</v>
      </c>
      <c r="M3258" t="s">
        <v>14</v>
      </c>
      <c r="N3258" t="s">
        <v>15</v>
      </c>
    </row>
    <row r="3259" spans="1:14" x14ac:dyDescent="0.25">
      <c r="A3259">
        <v>26110</v>
      </c>
      <c r="B3259">
        <v>11498</v>
      </c>
      <c r="C3259">
        <f>1/COUNTIF(B:B,pizza_sales[[#This Row],[order_id]])</f>
        <v>1</v>
      </c>
      <c r="D3259" t="s">
        <v>43</v>
      </c>
      <c r="E3259">
        <v>1</v>
      </c>
      <c r="F3259" s="1">
        <v>42315</v>
      </c>
      <c r="G3259" s="1" t="str">
        <f>TEXT(pizza_sales[[#This Row],[order_date]],"dddd")</f>
        <v>Saturday</v>
      </c>
      <c r="H3259" s="2">
        <v>0.75324074074074077</v>
      </c>
      <c r="I3259">
        <v>16.25</v>
      </c>
      <c r="J3259">
        <v>16.25</v>
      </c>
      <c r="K3259" t="s">
        <v>59</v>
      </c>
      <c r="L3259" t="s">
        <v>35</v>
      </c>
      <c r="M3259" t="s">
        <v>40</v>
      </c>
      <c r="N3259" t="s">
        <v>41</v>
      </c>
    </row>
    <row r="3260" spans="1:14" x14ac:dyDescent="0.25">
      <c r="A3260">
        <v>26111</v>
      </c>
      <c r="B3260">
        <v>11499</v>
      </c>
      <c r="C3260">
        <f>1/COUNTIF(B:B,pizza_sales[[#This Row],[order_id]])</f>
        <v>0.5</v>
      </c>
      <c r="D3260" t="s">
        <v>16</v>
      </c>
      <c r="E3260">
        <v>1</v>
      </c>
      <c r="F3260" s="1">
        <v>42315</v>
      </c>
      <c r="G3260" s="1" t="str">
        <f>TEXT(pizza_sales[[#This Row],[order_date]],"dddd")</f>
        <v>Saturday</v>
      </c>
      <c r="H3260" s="2">
        <v>0.75743055555555561</v>
      </c>
      <c r="I3260">
        <v>16</v>
      </c>
      <c r="J3260">
        <v>16</v>
      </c>
      <c r="K3260" t="s">
        <v>59</v>
      </c>
      <c r="L3260" t="s">
        <v>17</v>
      </c>
      <c r="M3260" t="s">
        <v>18</v>
      </c>
      <c r="N3260" t="s">
        <v>19</v>
      </c>
    </row>
    <row r="3261" spans="1:14" x14ac:dyDescent="0.25">
      <c r="A3261">
        <v>26112</v>
      </c>
      <c r="B3261">
        <v>11499</v>
      </c>
      <c r="C3261">
        <f>1/COUNTIF(B:B,pizza_sales[[#This Row],[order_id]])</f>
        <v>0.5</v>
      </c>
      <c r="D3261" t="s">
        <v>46</v>
      </c>
      <c r="E3261">
        <v>1</v>
      </c>
      <c r="F3261" s="1">
        <v>42315</v>
      </c>
      <c r="G3261" s="1" t="str">
        <f>TEXT(pizza_sales[[#This Row],[order_date]],"dddd")</f>
        <v>Saturday</v>
      </c>
      <c r="H3261" s="2">
        <v>0.75743055555555561</v>
      </c>
      <c r="I3261">
        <v>25.5</v>
      </c>
      <c r="J3261">
        <v>25.5</v>
      </c>
      <c r="K3261" t="s">
        <v>61</v>
      </c>
      <c r="L3261" t="s">
        <v>13</v>
      </c>
      <c r="M3261" t="s">
        <v>21</v>
      </c>
      <c r="N3261" t="s">
        <v>22</v>
      </c>
    </row>
    <row r="3262" spans="1:14" x14ac:dyDescent="0.25">
      <c r="A3262">
        <v>26117</v>
      </c>
      <c r="B3262">
        <v>11502</v>
      </c>
      <c r="C3262">
        <f>1/COUNTIF(B:B,pizza_sales[[#This Row],[order_id]])</f>
        <v>1</v>
      </c>
      <c r="D3262" t="s">
        <v>47</v>
      </c>
      <c r="E3262">
        <v>1</v>
      </c>
      <c r="F3262" s="1">
        <v>42315</v>
      </c>
      <c r="G3262" s="1" t="str">
        <f>TEXT(pizza_sales[[#This Row],[order_date]],"dddd")</f>
        <v>Saturday</v>
      </c>
      <c r="H3262" s="2">
        <v>0.78609953703703705</v>
      </c>
      <c r="I3262">
        <v>16.5</v>
      </c>
      <c r="J3262">
        <v>16.5</v>
      </c>
      <c r="K3262" t="s">
        <v>58</v>
      </c>
      <c r="L3262" t="s">
        <v>13</v>
      </c>
      <c r="M3262" t="s">
        <v>14</v>
      </c>
      <c r="N3262" t="s">
        <v>15</v>
      </c>
    </row>
    <row r="3263" spans="1:14" x14ac:dyDescent="0.25">
      <c r="A3263">
        <v>26123</v>
      </c>
      <c r="B3263">
        <v>11504</v>
      </c>
      <c r="C3263">
        <f>1/COUNTIF(B:B,pizza_sales[[#This Row],[order_id]])</f>
        <v>1</v>
      </c>
      <c r="D3263" t="s">
        <v>28</v>
      </c>
      <c r="E3263">
        <v>1</v>
      </c>
      <c r="F3263" s="1">
        <v>42315</v>
      </c>
      <c r="G3263" s="1" t="str">
        <f>TEXT(pizza_sales[[#This Row],[order_date]],"dddd")</f>
        <v>Saturday</v>
      </c>
      <c r="H3263" s="2">
        <v>0.80262731481481486</v>
      </c>
      <c r="I3263">
        <v>12</v>
      </c>
      <c r="J3263">
        <v>12</v>
      </c>
      <c r="K3263" t="s">
        <v>60</v>
      </c>
      <c r="L3263" t="s">
        <v>13</v>
      </c>
      <c r="M3263" t="s">
        <v>29</v>
      </c>
      <c r="N3263" t="s">
        <v>30</v>
      </c>
    </row>
    <row r="3264" spans="1:14" x14ac:dyDescent="0.25">
      <c r="A3264">
        <v>26133</v>
      </c>
      <c r="B3264">
        <v>11507</v>
      </c>
      <c r="C3264">
        <f>1/COUNTIF(B:B,pizza_sales[[#This Row],[order_id]])</f>
        <v>1</v>
      </c>
      <c r="D3264" t="s">
        <v>24</v>
      </c>
      <c r="E3264">
        <v>1</v>
      </c>
      <c r="F3264" s="1">
        <v>42315</v>
      </c>
      <c r="G3264" s="1" t="str">
        <f>TEXT(pizza_sales[[#This Row],[order_date]],"dddd")</f>
        <v>Saturday</v>
      </c>
      <c r="H3264" s="2">
        <v>0.82021990740740736</v>
      </c>
      <c r="I3264">
        <v>20.25</v>
      </c>
      <c r="J3264">
        <v>20.25</v>
      </c>
      <c r="K3264" t="s">
        <v>58</v>
      </c>
      <c r="L3264" t="s">
        <v>17</v>
      </c>
      <c r="M3264" t="s">
        <v>18</v>
      </c>
      <c r="N3264" t="s">
        <v>19</v>
      </c>
    </row>
    <row r="3265" spans="1:14" x14ac:dyDescent="0.25">
      <c r="A3265">
        <v>26137</v>
      </c>
      <c r="B3265">
        <v>11508</v>
      </c>
      <c r="C3265">
        <f>1/COUNTIF(B:B,pizza_sales[[#This Row],[order_id]])</f>
        <v>1</v>
      </c>
      <c r="D3265" t="s">
        <v>28</v>
      </c>
      <c r="E3265">
        <v>1</v>
      </c>
      <c r="F3265" s="1">
        <v>42315</v>
      </c>
      <c r="G3265" s="1" t="str">
        <f>TEXT(pizza_sales[[#This Row],[order_date]],"dddd")</f>
        <v>Saturday</v>
      </c>
      <c r="H3265" s="2">
        <v>0.82722222222222219</v>
      </c>
      <c r="I3265">
        <v>12</v>
      </c>
      <c r="J3265">
        <v>12</v>
      </c>
      <c r="K3265" t="s">
        <v>60</v>
      </c>
      <c r="L3265" t="s">
        <v>13</v>
      </c>
      <c r="M3265" t="s">
        <v>29</v>
      </c>
      <c r="N3265" t="s">
        <v>30</v>
      </c>
    </row>
    <row r="3266" spans="1:14" x14ac:dyDescent="0.25">
      <c r="A3266">
        <v>26139</v>
      </c>
      <c r="B3266">
        <v>11509</v>
      </c>
      <c r="C3266">
        <f>1/COUNTIF(B:B,pizza_sales[[#This Row],[order_id]])</f>
        <v>1</v>
      </c>
      <c r="D3266" t="s">
        <v>51</v>
      </c>
      <c r="E3266">
        <v>1</v>
      </c>
      <c r="F3266" s="1">
        <v>42315</v>
      </c>
      <c r="G3266" s="1" t="str">
        <f>TEXT(pizza_sales[[#This Row],[order_date]],"dddd")</f>
        <v>Saturday</v>
      </c>
      <c r="H3266" s="2">
        <v>0.83209490740740744</v>
      </c>
      <c r="I3266">
        <v>23.65</v>
      </c>
      <c r="J3266">
        <v>23.65</v>
      </c>
      <c r="K3266" t="s">
        <v>60</v>
      </c>
      <c r="L3266" t="s">
        <v>35</v>
      </c>
      <c r="M3266" t="s">
        <v>52</v>
      </c>
      <c r="N3266" t="s">
        <v>53</v>
      </c>
    </row>
    <row r="3267" spans="1:14" x14ac:dyDescent="0.25">
      <c r="A3267">
        <v>26145</v>
      </c>
      <c r="B3267">
        <v>11512</v>
      </c>
      <c r="C3267">
        <f>1/COUNTIF(B:B,pizza_sales[[#This Row],[order_id]])</f>
        <v>1</v>
      </c>
      <c r="D3267" t="s">
        <v>46</v>
      </c>
      <c r="E3267">
        <v>1</v>
      </c>
      <c r="F3267" s="1">
        <v>42315</v>
      </c>
      <c r="G3267" s="1" t="str">
        <f>TEXT(pizza_sales[[#This Row],[order_date]],"dddd")</f>
        <v>Saturday</v>
      </c>
      <c r="H3267" s="2">
        <v>0.84228009259259262</v>
      </c>
      <c r="I3267">
        <v>25.5</v>
      </c>
      <c r="J3267">
        <v>25.5</v>
      </c>
      <c r="K3267" t="s">
        <v>61</v>
      </c>
      <c r="L3267" t="s">
        <v>13</v>
      </c>
      <c r="M3267" t="s">
        <v>21</v>
      </c>
      <c r="N3267" t="s">
        <v>22</v>
      </c>
    </row>
    <row r="3268" spans="1:14" x14ac:dyDescent="0.25">
      <c r="A3268">
        <v>26147</v>
      </c>
      <c r="B3268">
        <v>11514</v>
      </c>
      <c r="C3268">
        <f>1/COUNTIF(B:B,pizza_sales[[#This Row],[order_id]])</f>
        <v>1</v>
      </c>
      <c r="D3268" t="s">
        <v>51</v>
      </c>
      <c r="E3268">
        <v>1</v>
      </c>
      <c r="F3268" s="1">
        <v>42315</v>
      </c>
      <c r="G3268" s="1" t="str">
        <f>TEXT(pizza_sales[[#This Row],[order_date]],"dddd")</f>
        <v>Saturday</v>
      </c>
      <c r="H3268" s="2">
        <v>0.85936342592592596</v>
      </c>
      <c r="I3268">
        <v>23.65</v>
      </c>
      <c r="J3268">
        <v>23.65</v>
      </c>
      <c r="K3268" t="s">
        <v>60</v>
      </c>
      <c r="L3268" t="s">
        <v>35</v>
      </c>
      <c r="M3268" t="s">
        <v>52</v>
      </c>
      <c r="N3268" t="s">
        <v>53</v>
      </c>
    </row>
    <row r="3269" spans="1:14" x14ac:dyDescent="0.25">
      <c r="A3269">
        <v>26149</v>
      </c>
      <c r="B3269">
        <v>11515</v>
      </c>
      <c r="C3269">
        <f>1/COUNTIF(B:B,pizza_sales[[#This Row],[order_id]])</f>
        <v>1</v>
      </c>
      <c r="D3269" t="s">
        <v>34</v>
      </c>
      <c r="E3269">
        <v>1</v>
      </c>
      <c r="F3269" s="1">
        <v>42315</v>
      </c>
      <c r="G3269" s="1" t="str">
        <f>TEXT(pizza_sales[[#This Row],[order_date]],"dddd")</f>
        <v>Saturday</v>
      </c>
      <c r="H3269" s="2">
        <v>0.86100694444444448</v>
      </c>
      <c r="I3269">
        <v>16.25</v>
      </c>
      <c r="J3269">
        <v>16.25</v>
      </c>
      <c r="K3269" t="s">
        <v>59</v>
      </c>
      <c r="L3269" t="s">
        <v>35</v>
      </c>
      <c r="M3269" t="s">
        <v>36</v>
      </c>
      <c r="N3269" t="s">
        <v>37</v>
      </c>
    </row>
    <row r="3270" spans="1:14" x14ac:dyDescent="0.25">
      <c r="A3270">
        <v>26157</v>
      </c>
      <c r="B3270">
        <v>11517</v>
      </c>
      <c r="C3270">
        <f>1/COUNTIF(B:B,pizza_sales[[#This Row],[order_id]])</f>
        <v>1</v>
      </c>
      <c r="D3270" t="s">
        <v>45</v>
      </c>
      <c r="E3270">
        <v>1</v>
      </c>
      <c r="F3270" s="1">
        <v>42315</v>
      </c>
      <c r="G3270" s="1" t="str">
        <f>TEXT(pizza_sales[[#This Row],[order_date]],"dddd")</f>
        <v>Saturday</v>
      </c>
      <c r="H3270" s="2">
        <v>0.86341435185185189</v>
      </c>
      <c r="I3270">
        <v>10.5</v>
      </c>
      <c r="J3270">
        <v>10.5</v>
      </c>
      <c r="K3270" t="s">
        <v>60</v>
      </c>
      <c r="L3270" t="s">
        <v>13</v>
      </c>
      <c r="M3270" t="s">
        <v>14</v>
      </c>
      <c r="N3270" t="s">
        <v>15</v>
      </c>
    </row>
    <row r="3271" spans="1:14" x14ac:dyDescent="0.25">
      <c r="A3271">
        <v>26160</v>
      </c>
      <c r="B3271">
        <v>11518</v>
      </c>
      <c r="C3271">
        <f>1/COUNTIF(B:B,pizza_sales[[#This Row],[order_id]])</f>
        <v>1</v>
      </c>
      <c r="D3271" t="s">
        <v>12</v>
      </c>
      <c r="E3271">
        <v>1</v>
      </c>
      <c r="F3271" s="1">
        <v>42315</v>
      </c>
      <c r="G3271" s="1" t="str">
        <f>TEXT(pizza_sales[[#This Row],[order_date]],"dddd")</f>
        <v>Saturday</v>
      </c>
      <c r="H3271" s="2">
        <v>0.87157407407407406</v>
      </c>
      <c r="I3271">
        <v>13.25</v>
      </c>
      <c r="J3271">
        <v>13.25</v>
      </c>
      <c r="K3271" t="s">
        <v>59</v>
      </c>
      <c r="L3271" t="s">
        <v>13</v>
      </c>
      <c r="M3271" t="s">
        <v>14</v>
      </c>
      <c r="N3271" t="s">
        <v>15</v>
      </c>
    </row>
    <row r="3272" spans="1:14" x14ac:dyDescent="0.25">
      <c r="A3272">
        <v>26164</v>
      </c>
      <c r="B3272">
        <v>11520</v>
      </c>
      <c r="C3272">
        <f>1/COUNTIF(B:B,pizza_sales[[#This Row],[order_id]])</f>
        <v>0.33333333333333331</v>
      </c>
      <c r="D3272" t="s">
        <v>28</v>
      </c>
      <c r="E3272">
        <v>1</v>
      </c>
      <c r="F3272" s="1">
        <v>42315</v>
      </c>
      <c r="G3272" s="1" t="str">
        <f>TEXT(pizza_sales[[#This Row],[order_date]],"dddd")</f>
        <v>Saturday</v>
      </c>
      <c r="H3272" s="2">
        <v>0.90741898148148148</v>
      </c>
      <c r="I3272">
        <v>12</v>
      </c>
      <c r="J3272">
        <v>12</v>
      </c>
      <c r="K3272" t="s">
        <v>60</v>
      </c>
      <c r="L3272" t="s">
        <v>13</v>
      </c>
      <c r="M3272" t="s">
        <v>29</v>
      </c>
      <c r="N3272" t="s">
        <v>30</v>
      </c>
    </row>
    <row r="3273" spans="1:14" x14ac:dyDescent="0.25">
      <c r="A3273">
        <v>26165</v>
      </c>
      <c r="B3273">
        <v>11520</v>
      </c>
      <c r="C3273">
        <f>1/COUNTIF(B:B,pizza_sales[[#This Row],[order_id]])</f>
        <v>0.33333333333333331</v>
      </c>
      <c r="D3273" t="s">
        <v>56</v>
      </c>
      <c r="E3273">
        <v>1</v>
      </c>
      <c r="F3273" s="1">
        <v>42315</v>
      </c>
      <c r="G3273" s="1" t="str">
        <f>TEXT(pizza_sales[[#This Row],[order_date]],"dddd")</f>
        <v>Saturday</v>
      </c>
      <c r="H3273" s="2">
        <v>0.90741898148148148</v>
      </c>
      <c r="I3273">
        <v>20.25</v>
      </c>
      <c r="J3273">
        <v>20.25</v>
      </c>
      <c r="K3273" t="s">
        <v>58</v>
      </c>
      <c r="L3273" t="s">
        <v>35</v>
      </c>
      <c r="M3273" t="s">
        <v>36</v>
      </c>
      <c r="N3273" t="s">
        <v>37</v>
      </c>
    </row>
    <row r="3274" spans="1:14" x14ac:dyDescent="0.25">
      <c r="A3274">
        <v>26166</v>
      </c>
      <c r="B3274">
        <v>11520</v>
      </c>
      <c r="C3274">
        <f>1/COUNTIF(B:B,pizza_sales[[#This Row],[order_id]])</f>
        <v>0.33333333333333331</v>
      </c>
      <c r="D3274" t="s">
        <v>43</v>
      </c>
      <c r="E3274">
        <v>1</v>
      </c>
      <c r="F3274" s="1">
        <v>42315</v>
      </c>
      <c r="G3274" s="1" t="str">
        <f>TEXT(pizza_sales[[#This Row],[order_date]],"dddd")</f>
        <v>Saturday</v>
      </c>
      <c r="H3274" s="2">
        <v>0.90741898148148148</v>
      </c>
      <c r="I3274">
        <v>16.25</v>
      </c>
      <c r="J3274">
        <v>16.25</v>
      </c>
      <c r="K3274" t="s">
        <v>59</v>
      </c>
      <c r="L3274" t="s">
        <v>35</v>
      </c>
      <c r="M3274" t="s">
        <v>40</v>
      </c>
      <c r="N3274" t="s">
        <v>41</v>
      </c>
    </row>
    <row r="3275" spans="1:14" x14ac:dyDescent="0.25">
      <c r="A3275">
        <v>26169</v>
      </c>
      <c r="B3275">
        <v>11521</v>
      </c>
      <c r="C3275">
        <f>1/COUNTIF(B:B,pizza_sales[[#This Row],[order_id]])</f>
        <v>1</v>
      </c>
      <c r="D3275" t="s">
        <v>42</v>
      </c>
      <c r="E3275">
        <v>1</v>
      </c>
      <c r="F3275" s="1">
        <v>42315</v>
      </c>
      <c r="G3275" s="1" t="str">
        <f>TEXT(pizza_sales[[#This Row],[order_date]],"dddd")</f>
        <v>Saturday</v>
      </c>
      <c r="H3275" s="2">
        <v>0.91246527777777775</v>
      </c>
      <c r="I3275">
        <v>12.5</v>
      </c>
      <c r="J3275">
        <v>12.5</v>
      </c>
      <c r="K3275" t="s">
        <v>59</v>
      </c>
      <c r="L3275" t="s">
        <v>13</v>
      </c>
      <c r="M3275" t="s">
        <v>26</v>
      </c>
      <c r="N3275" t="s">
        <v>27</v>
      </c>
    </row>
    <row r="3276" spans="1:14" x14ac:dyDescent="0.25">
      <c r="A3276">
        <v>26172</v>
      </c>
      <c r="B3276">
        <v>11522</v>
      </c>
      <c r="C3276">
        <f>1/COUNTIF(B:B,pizza_sales[[#This Row],[order_id]])</f>
        <v>0.5</v>
      </c>
      <c r="D3276" t="s">
        <v>42</v>
      </c>
      <c r="E3276">
        <v>1</v>
      </c>
      <c r="F3276" s="1">
        <v>42315</v>
      </c>
      <c r="G3276" s="1" t="str">
        <f>TEXT(pizza_sales[[#This Row],[order_date]],"dddd")</f>
        <v>Saturday</v>
      </c>
      <c r="H3276" s="2">
        <v>0.92943287037037037</v>
      </c>
      <c r="I3276">
        <v>12.5</v>
      </c>
      <c r="J3276">
        <v>12.5</v>
      </c>
      <c r="K3276" t="s">
        <v>59</v>
      </c>
      <c r="L3276" t="s">
        <v>13</v>
      </c>
      <c r="M3276" t="s">
        <v>26</v>
      </c>
      <c r="N3276" t="s">
        <v>27</v>
      </c>
    </row>
    <row r="3277" spans="1:14" x14ac:dyDescent="0.25">
      <c r="A3277">
        <v>26173</v>
      </c>
      <c r="B3277">
        <v>11522</v>
      </c>
      <c r="C3277">
        <f>1/COUNTIF(B:B,pizza_sales[[#This Row],[order_id]])</f>
        <v>0.5</v>
      </c>
      <c r="D3277" t="s">
        <v>20</v>
      </c>
      <c r="E3277">
        <v>1</v>
      </c>
      <c r="F3277" s="1">
        <v>42315</v>
      </c>
      <c r="G3277" s="1" t="str">
        <f>TEXT(pizza_sales[[#This Row],[order_date]],"dddd")</f>
        <v>Saturday</v>
      </c>
      <c r="H3277" s="2">
        <v>0.92943287037037037</v>
      </c>
      <c r="I3277">
        <v>12</v>
      </c>
      <c r="J3277">
        <v>12</v>
      </c>
      <c r="K3277" t="s">
        <v>60</v>
      </c>
      <c r="L3277" t="s">
        <v>13</v>
      </c>
      <c r="M3277" t="s">
        <v>21</v>
      </c>
      <c r="N3277" t="s">
        <v>22</v>
      </c>
    </row>
    <row r="3278" spans="1:14" x14ac:dyDescent="0.25">
      <c r="A3278">
        <v>26175</v>
      </c>
      <c r="B3278">
        <v>11523</v>
      </c>
      <c r="C3278">
        <f>1/COUNTIF(B:B,pizza_sales[[#This Row],[order_id]])</f>
        <v>1</v>
      </c>
      <c r="D3278" t="s">
        <v>42</v>
      </c>
      <c r="E3278">
        <v>1</v>
      </c>
      <c r="F3278" s="1">
        <v>42345</v>
      </c>
      <c r="G3278" s="1" t="str">
        <f>TEXT(pizza_sales[[#This Row],[order_date]],"dddd")</f>
        <v>Monday</v>
      </c>
      <c r="H3278" s="2">
        <v>0.48769675925925926</v>
      </c>
      <c r="I3278">
        <v>12.5</v>
      </c>
      <c r="J3278">
        <v>12.5</v>
      </c>
      <c r="K3278" t="s">
        <v>59</v>
      </c>
      <c r="L3278" t="s">
        <v>13</v>
      </c>
      <c r="M3278" t="s">
        <v>26</v>
      </c>
      <c r="N3278" t="s">
        <v>27</v>
      </c>
    </row>
    <row r="3279" spans="1:14" x14ac:dyDescent="0.25">
      <c r="A3279">
        <v>26176</v>
      </c>
      <c r="B3279">
        <v>11524</v>
      </c>
      <c r="C3279">
        <f>1/COUNTIF(B:B,pizza_sales[[#This Row],[order_id]])</f>
        <v>1</v>
      </c>
      <c r="D3279" t="s">
        <v>46</v>
      </c>
      <c r="E3279">
        <v>1</v>
      </c>
      <c r="F3279" s="1">
        <v>42345</v>
      </c>
      <c r="G3279" s="1" t="str">
        <f>TEXT(pizza_sales[[#This Row],[order_date]],"dddd")</f>
        <v>Monday</v>
      </c>
      <c r="H3279" s="2">
        <v>0.49482638888888891</v>
      </c>
      <c r="I3279">
        <v>25.5</v>
      </c>
      <c r="J3279">
        <v>25.5</v>
      </c>
      <c r="K3279" t="s">
        <v>61</v>
      </c>
      <c r="L3279" t="s">
        <v>13</v>
      </c>
      <c r="M3279" t="s">
        <v>21</v>
      </c>
      <c r="N3279" t="s">
        <v>22</v>
      </c>
    </row>
    <row r="3280" spans="1:14" x14ac:dyDescent="0.25">
      <c r="A3280">
        <v>26179</v>
      </c>
      <c r="B3280">
        <v>11526</v>
      </c>
      <c r="C3280">
        <f>1/COUNTIF(B:B,pizza_sales[[#This Row],[order_id]])</f>
        <v>0.5</v>
      </c>
      <c r="D3280" t="s">
        <v>16</v>
      </c>
      <c r="E3280">
        <v>1</v>
      </c>
      <c r="F3280" s="1">
        <v>42345</v>
      </c>
      <c r="G3280" s="1" t="str">
        <f>TEXT(pizza_sales[[#This Row],[order_date]],"dddd")</f>
        <v>Monday</v>
      </c>
      <c r="H3280" s="2">
        <v>0.52173611111111107</v>
      </c>
      <c r="I3280">
        <v>16</v>
      </c>
      <c r="J3280">
        <v>16</v>
      </c>
      <c r="K3280" t="s">
        <v>59</v>
      </c>
      <c r="L3280" t="s">
        <v>17</v>
      </c>
      <c r="M3280" t="s">
        <v>18</v>
      </c>
      <c r="N3280" t="s">
        <v>19</v>
      </c>
    </row>
    <row r="3281" spans="1:14" x14ac:dyDescent="0.25">
      <c r="A3281">
        <v>26180</v>
      </c>
      <c r="B3281">
        <v>11526</v>
      </c>
      <c r="C3281">
        <f>1/COUNTIF(B:B,pizza_sales[[#This Row],[order_id]])</f>
        <v>0.5</v>
      </c>
      <c r="D3281" t="s">
        <v>20</v>
      </c>
      <c r="E3281">
        <v>1</v>
      </c>
      <c r="F3281" s="1">
        <v>42345</v>
      </c>
      <c r="G3281" s="1" t="str">
        <f>TEXT(pizza_sales[[#This Row],[order_date]],"dddd")</f>
        <v>Monday</v>
      </c>
      <c r="H3281" s="2">
        <v>0.52173611111111107</v>
      </c>
      <c r="I3281">
        <v>12</v>
      </c>
      <c r="J3281">
        <v>12</v>
      </c>
      <c r="K3281" t="s">
        <v>60</v>
      </c>
      <c r="L3281" t="s">
        <v>13</v>
      </c>
      <c r="M3281" t="s">
        <v>21</v>
      </c>
      <c r="N3281" t="s">
        <v>22</v>
      </c>
    </row>
    <row r="3282" spans="1:14" x14ac:dyDescent="0.25">
      <c r="A3282">
        <v>26183</v>
      </c>
      <c r="B3282">
        <v>11527</v>
      </c>
      <c r="C3282">
        <f>1/COUNTIF(B:B,pizza_sales[[#This Row],[order_id]])</f>
        <v>1</v>
      </c>
      <c r="D3282" t="s">
        <v>42</v>
      </c>
      <c r="E3282">
        <v>1</v>
      </c>
      <c r="F3282" s="1">
        <v>42345</v>
      </c>
      <c r="G3282" s="1" t="str">
        <f>TEXT(pizza_sales[[#This Row],[order_date]],"dddd")</f>
        <v>Monday</v>
      </c>
      <c r="H3282" s="2">
        <v>0.52766203703703707</v>
      </c>
      <c r="I3282">
        <v>12.5</v>
      </c>
      <c r="J3282">
        <v>12.5</v>
      </c>
      <c r="K3282" t="s">
        <v>59</v>
      </c>
      <c r="L3282" t="s">
        <v>13</v>
      </c>
      <c r="M3282" t="s">
        <v>26</v>
      </c>
      <c r="N3282" t="s">
        <v>27</v>
      </c>
    </row>
    <row r="3283" spans="1:14" x14ac:dyDescent="0.25">
      <c r="A3283">
        <v>26187</v>
      </c>
      <c r="B3283">
        <v>11531</v>
      </c>
      <c r="C3283">
        <f>1/COUNTIF(B:B,pizza_sales[[#This Row],[order_id]])</f>
        <v>1</v>
      </c>
      <c r="D3283" t="s">
        <v>51</v>
      </c>
      <c r="E3283">
        <v>1</v>
      </c>
      <c r="F3283" s="1">
        <v>42345</v>
      </c>
      <c r="G3283" s="1" t="str">
        <f>TEXT(pizza_sales[[#This Row],[order_date]],"dddd")</f>
        <v>Monday</v>
      </c>
      <c r="H3283" s="2">
        <v>0.55739583333333331</v>
      </c>
      <c r="I3283">
        <v>23.65</v>
      </c>
      <c r="J3283">
        <v>23.65</v>
      </c>
      <c r="K3283" t="s">
        <v>60</v>
      </c>
      <c r="L3283" t="s">
        <v>35</v>
      </c>
      <c r="M3283" t="s">
        <v>52</v>
      </c>
      <c r="N3283" t="s">
        <v>53</v>
      </c>
    </row>
    <row r="3284" spans="1:14" x14ac:dyDescent="0.25">
      <c r="A3284">
        <v>26191</v>
      </c>
      <c r="B3284">
        <v>11532</v>
      </c>
      <c r="C3284">
        <f>1/COUNTIF(B:B,pizza_sales[[#This Row],[order_id]])</f>
        <v>0.5</v>
      </c>
      <c r="D3284" t="s">
        <v>42</v>
      </c>
      <c r="E3284">
        <v>1</v>
      </c>
      <c r="F3284" s="1">
        <v>42345</v>
      </c>
      <c r="G3284" s="1" t="str">
        <f>TEXT(pizza_sales[[#This Row],[order_date]],"dddd")</f>
        <v>Monday</v>
      </c>
      <c r="H3284" s="2">
        <v>0.56093749999999998</v>
      </c>
      <c r="I3284">
        <v>12.5</v>
      </c>
      <c r="J3284">
        <v>12.5</v>
      </c>
      <c r="K3284" t="s">
        <v>59</v>
      </c>
      <c r="L3284" t="s">
        <v>13</v>
      </c>
      <c r="M3284" t="s">
        <v>26</v>
      </c>
      <c r="N3284" t="s">
        <v>27</v>
      </c>
    </row>
    <row r="3285" spans="1:14" x14ac:dyDescent="0.25">
      <c r="A3285">
        <v>26192</v>
      </c>
      <c r="B3285">
        <v>11532</v>
      </c>
      <c r="C3285">
        <f>1/COUNTIF(B:B,pizza_sales[[#This Row],[order_id]])</f>
        <v>0.5</v>
      </c>
      <c r="D3285" t="s">
        <v>44</v>
      </c>
      <c r="E3285">
        <v>1</v>
      </c>
      <c r="F3285" s="1">
        <v>42345</v>
      </c>
      <c r="G3285" s="1" t="str">
        <f>TEXT(pizza_sales[[#This Row],[order_date]],"dddd")</f>
        <v>Monday</v>
      </c>
      <c r="H3285" s="2">
        <v>0.56093749999999998</v>
      </c>
      <c r="I3285">
        <v>9.75</v>
      </c>
      <c r="J3285">
        <v>9.75</v>
      </c>
      <c r="K3285" t="s">
        <v>60</v>
      </c>
      <c r="L3285" t="s">
        <v>13</v>
      </c>
      <c r="M3285" t="s">
        <v>26</v>
      </c>
      <c r="N3285" t="s">
        <v>27</v>
      </c>
    </row>
    <row r="3286" spans="1:14" x14ac:dyDescent="0.25">
      <c r="A3286">
        <v>26203</v>
      </c>
      <c r="B3286">
        <v>11536</v>
      </c>
      <c r="C3286">
        <f>1/COUNTIF(B:B,pizza_sales[[#This Row],[order_id]])</f>
        <v>1</v>
      </c>
      <c r="D3286" t="s">
        <v>39</v>
      </c>
      <c r="E3286">
        <v>1</v>
      </c>
      <c r="F3286" s="1">
        <v>42345</v>
      </c>
      <c r="G3286" s="1" t="str">
        <f>TEXT(pizza_sales[[#This Row],[order_date]],"dddd")</f>
        <v>Monday</v>
      </c>
      <c r="H3286" s="2">
        <v>0.58750000000000002</v>
      </c>
      <c r="I3286">
        <v>20.25</v>
      </c>
      <c r="J3286">
        <v>20.25</v>
      </c>
      <c r="K3286" t="s">
        <v>58</v>
      </c>
      <c r="L3286" t="s">
        <v>35</v>
      </c>
      <c r="M3286" t="s">
        <v>40</v>
      </c>
      <c r="N3286" t="s">
        <v>41</v>
      </c>
    </row>
    <row r="3287" spans="1:14" x14ac:dyDescent="0.25">
      <c r="A3287">
        <v>26205</v>
      </c>
      <c r="B3287">
        <v>11538</v>
      </c>
      <c r="C3287">
        <f>1/COUNTIF(B:B,pizza_sales[[#This Row],[order_id]])</f>
        <v>0.5</v>
      </c>
      <c r="D3287" t="s">
        <v>45</v>
      </c>
      <c r="E3287">
        <v>1</v>
      </c>
      <c r="F3287" s="1">
        <v>42345</v>
      </c>
      <c r="G3287" s="1" t="str">
        <f>TEXT(pizza_sales[[#This Row],[order_date]],"dddd")</f>
        <v>Monday</v>
      </c>
      <c r="H3287" s="2">
        <v>0.59521990740740738</v>
      </c>
      <c r="I3287">
        <v>10.5</v>
      </c>
      <c r="J3287">
        <v>10.5</v>
      </c>
      <c r="K3287" t="s">
        <v>60</v>
      </c>
      <c r="L3287" t="s">
        <v>13</v>
      </c>
      <c r="M3287" t="s">
        <v>14</v>
      </c>
      <c r="N3287" t="s">
        <v>15</v>
      </c>
    </row>
    <row r="3288" spans="1:14" x14ac:dyDescent="0.25">
      <c r="A3288">
        <v>26207</v>
      </c>
      <c r="B3288">
        <v>11538</v>
      </c>
      <c r="C3288">
        <f>1/COUNTIF(B:B,pizza_sales[[#This Row],[order_id]])</f>
        <v>0.5</v>
      </c>
      <c r="D3288" t="s">
        <v>42</v>
      </c>
      <c r="E3288">
        <v>1</v>
      </c>
      <c r="F3288" s="1">
        <v>42345</v>
      </c>
      <c r="G3288" s="1" t="str">
        <f>TEXT(pizza_sales[[#This Row],[order_date]],"dddd")</f>
        <v>Monday</v>
      </c>
      <c r="H3288" s="2">
        <v>0.59521990740740738</v>
      </c>
      <c r="I3288">
        <v>12.5</v>
      </c>
      <c r="J3288">
        <v>12.5</v>
      </c>
      <c r="K3288" t="s">
        <v>59</v>
      </c>
      <c r="L3288" t="s">
        <v>13</v>
      </c>
      <c r="M3288" t="s">
        <v>26</v>
      </c>
      <c r="N3288" t="s">
        <v>27</v>
      </c>
    </row>
    <row r="3289" spans="1:14" x14ac:dyDescent="0.25">
      <c r="A3289">
        <v>26228</v>
      </c>
      <c r="B3289">
        <v>11548</v>
      </c>
      <c r="C3289">
        <f>1/COUNTIF(B:B,pizza_sales[[#This Row],[order_id]])</f>
        <v>1</v>
      </c>
      <c r="D3289" t="s">
        <v>28</v>
      </c>
      <c r="E3289">
        <v>1</v>
      </c>
      <c r="F3289" s="1">
        <v>42345</v>
      </c>
      <c r="G3289" s="1" t="str">
        <f>TEXT(pizza_sales[[#This Row],[order_date]],"dddd")</f>
        <v>Monday</v>
      </c>
      <c r="H3289" s="2">
        <v>0.71045138888888892</v>
      </c>
      <c r="I3289">
        <v>12</v>
      </c>
      <c r="J3289">
        <v>12</v>
      </c>
      <c r="K3289" t="s">
        <v>60</v>
      </c>
      <c r="L3289" t="s">
        <v>13</v>
      </c>
      <c r="M3289" t="s">
        <v>29</v>
      </c>
      <c r="N3289" t="s">
        <v>30</v>
      </c>
    </row>
    <row r="3290" spans="1:14" x14ac:dyDescent="0.25">
      <c r="A3290">
        <v>26229</v>
      </c>
      <c r="B3290">
        <v>11549</v>
      </c>
      <c r="C3290">
        <f>1/COUNTIF(B:B,pizza_sales[[#This Row],[order_id]])</f>
        <v>1</v>
      </c>
      <c r="D3290" t="s">
        <v>47</v>
      </c>
      <c r="E3290">
        <v>1</v>
      </c>
      <c r="F3290" s="1">
        <v>42345</v>
      </c>
      <c r="G3290" s="1" t="str">
        <f>TEXT(pizza_sales[[#This Row],[order_date]],"dddd")</f>
        <v>Monday</v>
      </c>
      <c r="H3290" s="2">
        <v>0.71143518518518523</v>
      </c>
      <c r="I3290">
        <v>16.5</v>
      </c>
      <c r="J3290">
        <v>16.5</v>
      </c>
      <c r="K3290" t="s">
        <v>58</v>
      </c>
      <c r="L3290" t="s">
        <v>13</v>
      </c>
      <c r="M3290" t="s">
        <v>14</v>
      </c>
      <c r="N3290" t="s">
        <v>15</v>
      </c>
    </row>
    <row r="3291" spans="1:14" x14ac:dyDescent="0.25">
      <c r="A3291">
        <v>26239</v>
      </c>
      <c r="B3291">
        <v>11553</v>
      </c>
      <c r="C3291">
        <f>1/COUNTIF(B:B,pizza_sales[[#This Row],[order_id]])</f>
        <v>1</v>
      </c>
      <c r="D3291" t="s">
        <v>38</v>
      </c>
      <c r="E3291">
        <v>1</v>
      </c>
      <c r="F3291" s="1">
        <v>42345</v>
      </c>
      <c r="G3291" s="1" t="str">
        <f>TEXT(pizza_sales[[#This Row],[order_date]],"dddd")</f>
        <v>Monday</v>
      </c>
      <c r="H3291" s="2">
        <v>0.74195601851851856</v>
      </c>
      <c r="I3291">
        <v>20.5</v>
      </c>
      <c r="J3291">
        <v>20.5</v>
      </c>
      <c r="K3291" t="s">
        <v>58</v>
      </c>
      <c r="L3291" t="s">
        <v>13</v>
      </c>
      <c r="M3291" t="s">
        <v>32</v>
      </c>
      <c r="N3291" t="s">
        <v>33</v>
      </c>
    </row>
    <row r="3292" spans="1:14" x14ac:dyDescent="0.25">
      <c r="A3292">
        <v>26243</v>
      </c>
      <c r="B3292">
        <v>11554</v>
      </c>
      <c r="C3292">
        <f>1/COUNTIF(B:B,pizza_sales[[#This Row],[order_id]])</f>
        <v>1</v>
      </c>
      <c r="D3292" t="s">
        <v>49</v>
      </c>
      <c r="E3292">
        <v>1</v>
      </c>
      <c r="F3292" s="1">
        <v>42345</v>
      </c>
      <c r="G3292" s="1" t="str">
        <f>TEXT(pizza_sales[[#This Row],[order_date]],"dddd")</f>
        <v>Monday</v>
      </c>
      <c r="H3292" s="2">
        <v>0.74914351851851857</v>
      </c>
      <c r="I3292">
        <v>16</v>
      </c>
      <c r="J3292">
        <v>16</v>
      </c>
      <c r="K3292" t="s">
        <v>59</v>
      </c>
      <c r="L3292" t="s">
        <v>13</v>
      </c>
      <c r="M3292" t="s">
        <v>21</v>
      </c>
      <c r="N3292" t="s">
        <v>22</v>
      </c>
    </row>
    <row r="3293" spans="1:14" x14ac:dyDescent="0.25">
      <c r="A3293">
        <v>26249</v>
      </c>
      <c r="B3293">
        <v>11558</v>
      </c>
      <c r="C3293">
        <f>1/COUNTIF(B:B,pizza_sales[[#This Row],[order_id]])</f>
        <v>0.5</v>
      </c>
      <c r="D3293" t="s">
        <v>12</v>
      </c>
      <c r="E3293">
        <v>1</v>
      </c>
      <c r="F3293" s="1">
        <v>42345</v>
      </c>
      <c r="G3293" s="1" t="str">
        <f>TEXT(pizza_sales[[#This Row],[order_date]],"dddd")</f>
        <v>Monday</v>
      </c>
      <c r="H3293" s="2">
        <v>0.77208333333333334</v>
      </c>
      <c r="I3293">
        <v>13.25</v>
      </c>
      <c r="J3293">
        <v>13.25</v>
      </c>
      <c r="K3293" t="s">
        <v>59</v>
      </c>
      <c r="L3293" t="s">
        <v>13</v>
      </c>
      <c r="M3293" t="s">
        <v>14</v>
      </c>
      <c r="N3293" t="s">
        <v>15</v>
      </c>
    </row>
    <row r="3294" spans="1:14" x14ac:dyDescent="0.25">
      <c r="A3294">
        <v>26250</v>
      </c>
      <c r="B3294">
        <v>11558</v>
      </c>
      <c r="C3294">
        <f>1/COUNTIF(B:B,pizza_sales[[#This Row],[order_id]])</f>
        <v>0.5</v>
      </c>
      <c r="D3294" t="s">
        <v>43</v>
      </c>
      <c r="E3294">
        <v>1</v>
      </c>
      <c r="F3294" s="1">
        <v>42345</v>
      </c>
      <c r="G3294" s="1" t="str">
        <f>TEXT(pizza_sales[[#This Row],[order_date]],"dddd")</f>
        <v>Monday</v>
      </c>
      <c r="H3294" s="2">
        <v>0.77208333333333334</v>
      </c>
      <c r="I3294">
        <v>16.25</v>
      </c>
      <c r="J3294">
        <v>16.25</v>
      </c>
      <c r="K3294" t="s">
        <v>59</v>
      </c>
      <c r="L3294" t="s">
        <v>35</v>
      </c>
      <c r="M3294" t="s">
        <v>40</v>
      </c>
      <c r="N3294" t="s">
        <v>41</v>
      </c>
    </row>
    <row r="3295" spans="1:14" x14ac:dyDescent="0.25">
      <c r="A3295">
        <v>26251</v>
      </c>
      <c r="B3295">
        <v>11559</v>
      </c>
      <c r="C3295">
        <f>1/COUNTIF(B:B,pizza_sales[[#This Row],[order_id]])</f>
        <v>0.5</v>
      </c>
      <c r="D3295" t="s">
        <v>28</v>
      </c>
      <c r="E3295">
        <v>1</v>
      </c>
      <c r="F3295" s="1">
        <v>42345</v>
      </c>
      <c r="G3295" s="1" t="str">
        <f>TEXT(pizza_sales[[#This Row],[order_date]],"dddd")</f>
        <v>Monday</v>
      </c>
      <c r="H3295" s="2">
        <v>0.77475694444444443</v>
      </c>
      <c r="I3295">
        <v>12</v>
      </c>
      <c r="J3295">
        <v>12</v>
      </c>
      <c r="K3295" t="s">
        <v>60</v>
      </c>
      <c r="L3295" t="s">
        <v>13</v>
      </c>
      <c r="M3295" t="s">
        <v>29</v>
      </c>
      <c r="N3295" t="s">
        <v>30</v>
      </c>
    </row>
    <row r="3296" spans="1:14" x14ac:dyDescent="0.25">
      <c r="A3296">
        <v>26252</v>
      </c>
      <c r="B3296">
        <v>11559</v>
      </c>
      <c r="C3296">
        <f>1/COUNTIF(B:B,pizza_sales[[#This Row],[order_id]])</f>
        <v>0.5</v>
      </c>
      <c r="D3296" t="s">
        <v>50</v>
      </c>
      <c r="E3296">
        <v>1</v>
      </c>
      <c r="F3296" s="1">
        <v>42345</v>
      </c>
      <c r="G3296" s="1" t="str">
        <f>TEXT(pizza_sales[[#This Row],[order_date]],"dddd")</f>
        <v>Monday</v>
      </c>
      <c r="H3296" s="2">
        <v>0.77475694444444443</v>
      </c>
      <c r="I3296">
        <v>16</v>
      </c>
      <c r="J3296">
        <v>16</v>
      </c>
      <c r="K3296" t="s">
        <v>59</v>
      </c>
      <c r="L3296" t="s">
        <v>13</v>
      </c>
      <c r="M3296" t="s">
        <v>32</v>
      </c>
      <c r="N3296" t="s">
        <v>33</v>
      </c>
    </row>
    <row r="3297" spans="1:14" x14ac:dyDescent="0.25">
      <c r="A3297">
        <v>26258</v>
      </c>
      <c r="B3297">
        <v>11561</v>
      </c>
      <c r="C3297">
        <f>1/COUNTIF(B:B,pizza_sales[[#This Row],[order_id]])</f>
        <v>1</v>
      </c>
      <c r="D3297" t="s">
        <v>42</v>
      </c>
      <c r="E3297">
        <v>1</v>
      </c>
      <c r="F3297" s="1">
        <v>42345</v>
      </c>
      <c r="G3297" s="1" t="str">
        <f>TEXT(pizza_sales[[#This Row],[order_date]],"dddd")</f>
        <v>Monday</v>
      </c>
      <c r="H3297" s="2">
        <v>0.7769328703703704</v>
      </c>
      <c r="I3297">
        <v>12.5</v>
      </c>
      <c r="J3297">
        <v>12.5</v>
      </c>
      <c r="K3297" t="s">
        <v>59</v>
      </c>
      <c r="L3297" t="s">
        <v>13</v>
      </c>
      <c r="M3297" t="s">
        <v>26</v>
      </c>
      <c r="N3297" t="s">
        <v>27</v>
      </c>
    </row>
    <row r="3298" spans="1:14" x14ac:dyDescent="0.25">
      <c r="A3298">
        <v>26260</v>
      </c>
      <c r="B3298">
        <v>11562</v>
      </c>
      <c r="C3298">
        <f>1/COUNTIF(B:B,pizza_sales[[#This Row],[order_id]])</f>
        <v>0.5</v>
      </c>
      <c r="D3298" t="s">
        <v>24</v>
      </c>
      <c r="E3298">
        <v>1</v>
      </c>
      <c r="F3298" s="1">
        <v>42345</v>
      </c>
      <c r="G3298" s="1" t="str">
        <f>TEXT(pizza_sales[[#This Row],[order_date]],"dddd")</f>
        <v>Monday</v>
      </c>
      <c r="H3298" s="2">
        <v>0.77863425925925922</v>
      </c>
      <c r="I3298">
        <v>20.25</v>
      </c>
      <c r="J3298">
        <v>20.25</v>
      </c>
      <c r="K3298" t="s">
        <v>58</v>
      </c>
      <c r="L3298" t="s">
        <v>17</v>
      </c>
      <c r="M3298" t="s">
        <v>18</v>
      </c>
      <c r="N3298" t="s">
        <v>19</v>
      </c>
    </row>
    <row r="3299" spans="1:14" x14ac:dyDescent="0.25">
      <c r="A3299">
        <v>26263</v>
      </c>
      <c r="B3299">
        <v>11562</v>
      </c>
      <c r="C3299">
        <f>1/COUNTIF(B:B,pizza_sales[[#This Row],[order_id]])</f>
        <v>0.5</v>
      </c>
      <c r="D3299" t="s">
        <v>46</v>
      </c>
      <c r="E3299">
        <v>1</v>
      </c>
      <c r="F3299" s="1">
        <v>42345</v>
      </c>
      <c r="G3299" s="1" t="str">
        <f>TEXT(pizza_sales[[#This Row],[order_date]],"dddd")</f>
        <v>Monday</v>
      </c>
      <c r="H3299" s="2">
        <v>0.77863425925925922</v>
      </c>
      <c r="I3299">
        <v>25.5</v>
      </c>
      <c r="J3299">
        <v>25.5</v>
      </c>
      <c r="K3299" t="s">
        <v>61</v>
      </c>
      <c r="L3299" t="s">
        <v>13</v>
      </c>
      <c r="M3299" t="s">
        <v>21</v>
      </c>
      <c r="N3299" t="s">
        <v>22</v>
      </c>
    </row>
    <row r="3300" spans="1:14" x14ac:dyDescent="0.25">
      <c r="A3300">
        <v>26266</v>
      </c>
      <c r="B3300">
        <v>11563</v>
      </c>
      <c r="C3300">
        <f>1/COUNTIF(B:B,pizza_sales[[#This Row],[order_id]])</f>
        <v>1</v>
      </c>
      <c r="D3300" t="s">
        <v>46</v>
      </c>
      <c r="E3300">
        <v>1</v>
      </c>
      <c r="F3300" s="1">
        <v>42345</v>
      </c>
      <c r="G3300" s="1" t="str">
        <f>TEXT(pizza_sales[[#This Row],[order_date]],"dddd")</f>
        <v>Monday</v>
      </c>
      <c r="H3300" s="2">
        <v>0.78046296296296291</v>
      </c>
      <c r="I3300">
        <v>25.5</v>
      </c>
      <c r="J3300">
        <v>25.5</v>
      </c>
      <c r="K3300" t="s">
        <v>61</v>
      </c>
      <c r="L3300" t="s">
        <v>13</v>
      </c>
      <c r="M3300" t="s">
        <v>21</v>
      </c>
      <c r="N3300" t="s">
        <v>22</v>
      </c>
    </row>
    <row r="3301" spans="1:14" x14ac:dyDescent="0.25">
      <c r="A3301">
        <v>26268</v>
      </c>
      <c r="B3301">
        <v>11564</v>
      </c>
      <c r="C3301">
        <f>1/COUNTIF(B:B,pizza_sales[[#This Row],[order_id]])</f>
        <v>1</v>
      </c>
      <c r="D3301" t="s">
        <v>44</v>
      </c>
      <c r="E3301">
        <v>1</v>
      </c>
      <c r="F3301" s="1">
        <v>42345</v>
      </c>
      <c r="G3301" s="1" t="str">
        <f>TEXT(pizza_sales[[#This Row],[order_date]],"dddd")</f>
        <v>Monday</v>
      </c>
      <c r="H3301" s="2">
        <v>0.78130787037037042</v>
      </c>
      <c r="I3301">
        <v>9.75</v>
      </c>
      <c r="J3301">
        <v>9.75</v>
      </c>
      <c r="K3301" t="s">
        <v>60</v>
      </c>
      <c r="L3301" t="s">
        <v>13</v>
      </c>
      <c r="M3301" t="s">
        <v>26</v>
      </c>
      <c r="N3301" t="s">
        <v>27</v>
      </c>
    </row>
    <row r="3302" spans="1:14" x14ac:dyDescent="0.25">
      <c r="A3302">
        <v>26270</v>
      </c>
      <c r="B3302">
        <v>11566</v>
      </c>
      <c r="C3302">
        <f>1/COUNTIF(B:B,pizza_sales[[#This Row],[order_id]])</f>
        <v>1</v>
      </c>
      <c r="D3302" t="s">
        <v>16</v>
      </c>
      <c r="E3302">
        <v>1</v>
      </c>
      <c r="F3302" s="1">
        <v>42345</v>
      </c>
      <c r="G3302" s="1" t="str">
        <f>TEXT(pizza_sales[[#This Row],[order_date]],"dddd")</f>
        <v>Monday</v>
      </c>
      <c r="H3302" s="2">
        <v>0.80231481481481481</v>
      </c>
      <c r="I3302">
        <v>16</v>
      </c>
      <c r="J3302">
        <v>16</v>
      </c>
      <c r="K3302" t="s">
        <v>59</v>
      </c>
      <c r="L3302" t="s">
        <v>17</v>
      </c>
      <c r="M3302" t="s">
        <v>18</v>
      </c>
      <c r="N3302" t="s">
        <v>19</v>
      </c>
    </row>
    <row r="3303" spans="1:14" x14ac:dyDescent="0.25">
      <c r="A3303">
        <v>26274</v>
      </c>
      <c r="B3303">
        <v>11568</v>
      </c>
      <c r="C3303">
        <f>1/COUNTIF(B:B,pizza_sales[[#This Row],[order_id]])</f>
        <v>0.5</v>
      </c>
      <c r="D3303" t="s">
        <v>44</v>
      </c>
      <c r="E3303">
        <v>1</v>
      </c>
      <c r="F3303" s="1">
        <v>42345</v>
      </c>
      <c r="G3303" s="1" t="str">
        <f>TEXT(pizza_sales[[#This Row],[order_date]],"dddd")</f>
        <v>Monday</v>
      </c>
      <c r="H3303" s="2">
        <v>0.83903935185185186</v>
      </c>
      <c r="I3303">
        <v>9.75</v>
      </c>
      <c r="J3303">
        <v>9.75</v>
      </c>
      <c r="K3303" t="s">
        <v>60</v>
      </c>
      <c r="L3303" t="s">
        <v>13</v>
      </c>
      <c r="M3303" t="s">
        <v>26</v>
      </c>
      <c r="N3303" t="s">
        <v>27</v>
      </c>
    </row>
    <row r="3304" spans="1:14" x14ac:dyDescent="0.25">
      <c r="A3304">
        <v>26275</v>
      </c>
      <c r="B3304">
        <v>11568</v>
      </c>
      <c r="C3304">
        <f>1/COUNTIF(B:B,pizza_sales[[#This Row],[order_id]])</f>
        <v>0.5</v>
      </c>
      <c r="D3304" t="s">
        <v>43</v>
      </c>
      <c r="E3304">
        <v>1</v>
      </c>
      <c r="F3304" s="1">
        <v>42345</v>
      </c>
      <c r="G3304" s="1" t="str">
        <f>TEXT(pizza_sales[[#This Row],[order_date]],"dddd")</f>
        <v>Monday</v>
      </c>
      <c r="H3304" s="2">
        <v>0.83903935185185186</v>
      </c>
      <c r="I3304">
        <v>16.25</v>
      </c>
      <c r="J3304">
        <v>16.25</v>
      </c>
      <c r="K3304" t="s">
        <v>59</v>
      </c>
      <c r="L3304" t="s">
        <v>35</v>
      </c>
      <c r="M3304" t="s">
        <v>40</v>
      </c>
      <c r="N3304" t="s">
        <v>41</v>
      </c>
    </row>
    <row r="3305" spans="1:14" x14ac:dyDescent="0.25">
      <c r="A3305">
        <v>26278</v>
      </c>
      <c r="B3305">
        <v>11570</v>
      </c>
      <c r="C3305">
        <f>1/COUNTIF(B:B,pizza_sales[[#This Row],[order_id]])</f>
        <v>1</v>
      </c>
      <c r="D3305" t="s">
        <v>25</v>
      </c>
      <c r="E3305">
        <v>1</v>
      </c>
      <c r="F3305" s="1">
        <v>42345</v>
      </c>
      <c r="G3305" s="1" t="str">
        <f>TEXT(pizza_sales[[#This Row],[order_date]],"dddd")</f>
        <v>Monday</v>
      </c>
      <c r="H3305" s="2">
        <v>0.86410879629629633</v>
      </c>
      <c r="I3305">
        <v>15.25</v>
      </c>
      <c r="J3305">
        <v>15.25</v>
      </c>
      <c r="K3305" t="s">
        <v>58</v>
      </c>
      <c r="L3305" t="s">
        <v>13</v>
      </c>
      <c r="M3305" t="s">
        <v>26</v>
      </c>
      <c r="N3305" t="s">
        <v>27</v>
      </c>
    </row>
    <row r="3306" spans="1:14" x14ac:dyDescent="0.25">
      <c r="A3306">
        <v>26280</v>
      </c>
      <c r="B3306">
        <v>11572</v>
      </c>
      <c r="C3306">
        <f>1/COUNTIF(B:B,pizza_sales[[#This Row],[order_id]])</f>
        <v>1</v>
      </c>
      <c r="D3306" t="s">
        <v>34</v>
      </c>
      <c r="E3306">
        <v>1</v>
      </c>
      <c r="F3306" s="1">
        <v>42345</v>
      </c>
      <c r="G3306" s="1" t="str">
        <f>TEXT(pizza_sales[[#This Row],[order_date]],"dddd")</f>
        <v>Monday</v>
      </c>
      <c r="H3306" s="2">
        <v>0.88113425925925926</v>
      </c>
      <c r="I3306">
        <v>16.25</v>
      </c>
      <c r="J3306">
        <v>16.25</v>
      </c>
      <c r="K3306" t="s">
        <v>59</v>
      </c>
      <c r="L3306" t="s">
        <v>35</v>
      </c>
      <c r="M3306" t="s">
        <v>36</v>
      </c>
      <c r="N3306" t="s">
        <v>37</v>
      </c>
    </row>
    <row r="3307" spans="1:14" x14ac:dyDescent="0.25">
      <c r="A3307">
        <v>26283</v>
      </c>
      <c r="B3307">
        <v>11573</v>
      </c>
      <c r="C3307">
        <f>1/COUNTIF(B:B,pizza_sales[[#This Row],[order_id]])</f>
        <v>0.5</v>
      </c>
      <c r="D3307" t="s">
        <v>39</v>
      </c>
      <c r="E3307">
        <v>1</v>
      </c>
      <c r="F3307" s="1">
        <v>42345</v>
      </c>
      <c r="G3307" s="1" t="str">
        <f>TEXT(pizza_sales[[#This Row],[order_date]],"dddd")</f>
        <v>Monday</v>
      </c>
      <c r="H3307" s="2">
        <v>0.88839120370370372</v>
      </c>
      <c r="I3307">
        <v>20.25</v>
      </c>
      <c r="J3307">
        <v>20.25</v>
      </c>
      <c r="K3307" t="s">
        <v>58</v>
      </c>
      <c r="L3307" t="s">
        <v>35</v>
      </c>
      <c r="M3307" t="s">
        <v>40</v>
      </c>
      <c r="N3307" t="s">
        <v>41</v>
      </c>
    </row>
    <row r="3308" spans="1:14" x14ac:dyDescent="0.25">
      <c r="A3308">
        <v>26284</v>
      </c>
      <c r="B3308">
        <v>11573</v>
      </c>
      <c r="C3308">
        <f>1/COUNTIF(B:B,pizza_sales[[#This Row],[order_id]])</f>
        <v>0.5</v>
      </c>
      <c r="D3308" t="s">
        <v>48</v>
      </c>
      <c r="E3308">
        <v>1</v>
      </c>
      <c r="F3308" s="1">
        <v>42345</v>
      </c>
      <c r="G3308" s="1" t="str">
        <f>TEXT(pizza_sales[[#This Row],[order_date]],"dddd")</f>
        <v>Monday</v>
      </c>
      <c r="H3308" s="2">
        <v>0.88839120370370372</v>
      </c>
      <c r="I3308">
        <v>12.25</v>
      </c>
      <c r="J3308">
        <v>12.25</v>
      </c>
      <c r="K3308" t="s">
        <v>60</v>
      </c>
      <c r="L3308" t="s">
        <v>35</v>
      </c>
      <c r="M3308" t="s">
        <v>40</v>
      </c>
      <c r="N3308" t="s">
        <v>41</v>
      </c>
    </row>
    <row r="3309" spans="1:14" x14ac:dyDescent="0.25">
      <c r="A3309">
        <v>26285</v>
      </c>
      <c r="B3309">
        <v>11574</v>
      </c>
      <c r="C3309">
        <f>1/COUNTIF(B:B,pizza_sales[[#This Row],[order_id]])</f>
        <v>1</v>
      </c>
      <c r="D3309" t="s">
        <v>25</v>
      </c>
      <c r="E3309">
        <v>1</v>
      </c>
      <c r="F3309" s="1">
        <v>42345</v>
      </c>
      <c r="G3309" s="1" t="str">
        <f>TEXT(pizza_sales[[#This Row],[order_date]],"dddd")</f>
        <v>Monday</v>
      </c>
      <c r="H3309" s="2">
        <v>0.89594907407407409</v>
      </c>
      <c r="I3309">
        <v>15.25</v>
      </c>
      <c r="J3309">
        <v>15.25</v>
      </c>
      <c r="K3309" t="s">
        <v>58</v>
      </c>
      <c r="L3309" t="s">
        <v>13</v>
      </c>
      <c r="M3309" t="s">
        <v>26</v>
      </c>
      <c r="N3309" t="s">
        <v>27</v>
      </c>
    </row>
    <row r="3310" spans="1:14" x14ac:dyDescent="0.25">
      <c r="A3310">
        <v>26289</v>
      </c>
      <c r="B3310">
        <v>11577</v>
      </c>
      <c r="C3310">
        <f>1/COUNTIF(B:B,pizza_sales[[#This Row],[order_id]])</f>
        <v>1</v>
      </c>
      <c r="D3310" t="s">
        <v>28</v>
      </c>
      <c r="E3310">
        <v>1</v>
      </c>
      <c r="F3310" s="1">
        <v>42345</v>
      </c>
      <c r="G3310" s="1" t="str">
        <f>TEXT(pizza_sales[[#This Row],[order_date]],"dddd")</f>
        <v>Monday</v>
      </c>
      <c r="H3310" s="2">
        <v>0.92302083333333329</v>
      </c>
      <c r="I3310">
        <v>12</v>
      </c>
      <c r="J3310">
        <v>12</v>
      </c>
      <c r="K3310" t="s">
        <v>60</v>
      </c>
      <c r="L3310" t="s">
        <v>13</v>
      </c>
      <c r="M3310" t="s">
        <v>29</v>
      </c>
      <c r="N3310" t="s">
        <v>30</v>
      </c>
    </row>
    <row r="3311" spans="1:14" x14ac:dyDescent="0.25">
      <c r="A3311">
        <v>26296</v>
      </c>
      <c r="B3311">
        <v>11579</v>
      </c>
      <c r="C3311">
        <f>1/COUNTIF(B:B,pizza_sales[[#This Row],[order_id]])</f>
        <v>1</v>
      </c>
      <c r="D3311" t="s">
        <v>34</v>
      </c>
      <c r="E3311">
        <v>1</v>
      </c>
      <c r="F3311" s="1">
        <v>42345</v>
      </c>
      <c r="G3311" s="1" t="str">
        <f>TEXT(pizza_sales[[#This Row],[order_date]],"dddd")</f>
        <v>Monday</v>
      </c>
      <c r="H3311" s="2">
        <v>0.92848379629629629</v>
      </c>
      <c r="I3311">
        <v>16.25</v>
      </c>
      <c r="J3311">
        <v>16.25</v>
      </c>
      <c r="K3311" t="s">
        <v>59</v>
      </c>
      <c r="L3311" t="s">
        <v>35</v>
      </c>
      <c r="M3311" t="s">
        <v>36</v>
      </c>
      <c r="N3311" t="s">
        <v>37</v>
      </c>
    </row>
    <row r="3312" spans="1:14" x14ac:dyDescent="0.25">
      <c r="A3312">
        <v>28869</v>
      </c>
      <c r="B3312">
        <v>12731</v>
      </c>
      <c r="C3312">
        <f>1/COUNTIF(B:B,pizza_sales[[#This Row],[order_id]])</f>
        <v>1</v>
      </c>
      <c r="D3312" t="s">
        <v>48</v>
      </c>
      <c r="E3312">
        <v>1</v>
      </c>
      <c r="F3312" s="1">
        <v>42012</v>
      </c>
      <c r="G3312" s="1" t="str">
        <f>TEXT(pizza_sales[[#This Row],[order_date]],"dddd")</f>
        <v>Thursday</v>
      </c>
      <c r="H3312" s="2">
        <v>0.48358796296296297</v>
      </c>
      <c r="I3312">
        <v>12.25</v>
      </c>
      <c r="J3312">
        <v>12.25</v>
      </c>
      <c r="K3312" t="s">
        <v>60</v>
      </c>
      <c r="L3312" t="s">
        <v>35</v>
      </c>
      <c r="M3312" t="s">
        <v>40</v>
      </c>
      <c r="N3312" t="s">
        <v>41</v>
      </c>
    </row>
    <row r="3313" spans="1:14" x14ac:dyDescent="0.25">
      <c r="A3313">
        <v>28873</v>
      </c>
      <c r="B3313">
        <v>12734</v>
      </c>
      <c r="C3313">
        <f>1/COUNTIF(B:B,pizza_sales[[#This Row],[order_id]])</f>
        <v>1</v>
      </c>
      <c r="D3313" t="s">
        <v>28</v>
      </c>
      <c r="E3313">
        <v>1</v>
      </c>
      <c r="F3313" s="1">
        <v>42012</v>
      </c>
      <c r="G3313" s="1" t="str">
        <f>TEXT(pizza_sales[[#This Row],[order_date]],"dddd")</f>
        <v>Thursday</v>
      </c>
      <c r="H3313" s="2">
        <v>0.53239583333333329</v>
      </c>
      <c r="I3313">
        <v>12</v>
      </c>
      <c r="J3313">
        <v>12</v>
      </c>
      <c r="K3313" t="s">
        <v>60</v>
      </c>
      <c r="L3313" t="s">
        <v>13</v>
      </c>
      <c r="M3313" t="s">
        <v>29</v>
      </c>
      <c r="N3313" t="s">
        <v>30</v>
      </c>
    </row>
    <row r="3314" spans="1:14" x14ac:dyDescent="0.25">
      <c r="A3314">
        <v>28880</v>
      </c>
      <c r="B3314">
        <v>12737</v>
      </c>
      <c r="C3314">
        <f>1/COUNTIF(B:B,pizza_sales[[#This Row],[order_id]])</f>
        <v>1</v>
      </c>
      <c r="D3314" t="s">
        <v>42</v>
      </c>
      <c r="E3314">
        <v>1</v>
      </c>
      <c r="F3314" s="1">
        <v>42012</v>
      </c>
      <c r="G3314" s="1" t="str">
        <f>TEXT(pizza_sales[[#This Row],[order_date]],"dddd")</f>
        <v>Thursday</v>
      </c>
      <c r="H3314" s="2">
        <v>0.54545138888888889</v>
      </c>
      <c r="I3314">
        <v>12.5</v>
      </c>
      <c r="J3314">
        <v>12.5</v>
      </c>
      <c r="K3314" t="s">
        <v>59</v>
      </c>
      <c r="L3314" t="s">
        <v>13</v>
      </c>
      <c r="M3314" t="s">
        <v>26</v>
      </c>
      <c r="N3314" t="s">
        <v>27</v>
      </c>
    </row>
    <row r="3315" spans="1:14" x14ac:dyDescent="0.25">
      <c r="A3315">
        <v>28883</v>
      </c>
      <c r="B3315">
        <v>12740</v>
      </c>
      <c r="C3315">
        <f>1/COUNTIF(B:B,pizza_sales[[#This Row],[order_id]])</f>
        <v>1</v>
      </c>
      <c r="D3315" t="s">
        <v>47</v>
      </c>
      <c r="E3315">
        <v>1</v>
      </c>
      <c r="F3315" s="1">
        <v>42012</v>
      </c>
      <c r="G3315" s="1" t="str">
        <f>TEXT(pizza_sales[[#This Row],[order_date]],"dddd")</f>
        <v>Thursday</v>
      </c>
      <c r="H3315" s="2">
        <v>0.5625</v>
      </c>
      <c r="I3315">
        <v>16.5</v>
      </c>
      <c r="J3315">
        <v>16.5</v>
      </c>
      <c r="K3315" t="s">
        <v>58</v>
      </c>
      <c r="L3315" t="s">
        <v>13</v>
      </c>
      <c r="M3315" t="s">
        <v>14</v>
      </c>
      <c r="N3315" t="s">
        <v>15</v>
      </c>
    </row>
    <row r="3316" spans="1:14" x14ac:dyDescent="0.25">
      <c r="A3316">
        <v>28885</v>
      </c>
      <c r="B3316">
        <v>12742</v>
      </c>
      <c r="C3316">
        <f>1/COUNTIF(B:B,pizza_sales[[#This Row],[order_id]])</f>
        <v>1</v>
      </c>
      <c r="D3316" t="s">
        <v>28</v>
      </c>
      <c r="E3316">
        <v>1</v>
      </c>
      <c r="F3316" s="1">
        <v>42012</v>
      </c>
      <c r="G3316" s="1" t="str">
        <f>TEXT(pizza_sales[[#This Row],[order_date]],"dddd")</f>
        <v>Thursday</v>
      </c>
      <c r="H3316" s="2">
        <v>0.57233796296296291</v>
      </c>
      <c r="I3316">
        <v>12</v>
      </c>
      <c r="J3316">
        <v>12</v>
      </c>
      <c r="K3316" t="s">
        <v>60</v>
      </c>
      <c r="L3316" t="s">
        <v>13</v>
      </c>
      <c r="M3316" t="s">
        <v>29</v>
      </c>
      <c r="N3316" t="s">
        <v>30</v>
      </c>
    </row>
    <row r="3317" spans="1:14" x14ac:dyDescent="0.25">
      <c r="A3317">
        <v>28888</v>
      </c>
      <c r="B3317">
        <v>12743</v>
      </c>
      <c r="C3317">
        <f>1/COUNTIF(B:B,pizza_sales[[#This Row],[order_id]])</f>
        <v>1</v>
      </c>
      <c r="D3317" t="s">
        <v>16</v>
      </c>
      <c r="E3317">
        <v>1</v>
      </c>
      <c r="F3317" s="1">
        <v>42012</v>
      </c>
      <c r="G3317" s="1" t="str">
        <f>TEXT(pizza_sales[[#This Row],[order_date]],"dddd")</f>
        <v>Thursday</v>
      </c>
      <c r="H3317" s="2">
        <v>0.57292824074074078</v>
      </c>
      <c r="I3317">
        <v>16</v>
      </c>
      <c r="J3317">
        <v>16</v>
      </c>
      <c r="K3317" t="s">
        <v>59</v>
      </c>
      <c r="L3317" t="s">
        <v>17</v>
      </c>
      <c r="M3317" t="s">
        <v>18</v>
      </c>
      <c r="N3317" t="s">
        <v>19</v>
      </c>
    </row>
    <row r="3318" spans="1:14" x14ac:dyDescent="0.25">
      <c r="A3318">
        <v>28890</v>
      </c>
      <c r="B3318">
        <v>12745</v>
      </c>
      <c r="C3318">
        <f>1/COUNTIF(B:B,pizza_sales[[#This Row],[order_id]])</f>
        <v>1</v>
      </c>
      <c r="D3318" t="s">
        <v>50</v>
      </c>
      <c r="E3318">
        <v>1</v>
      </c>
      <c r="F3318" s="1">
        <v>42012</v>
      </c>
      <c r="G3318" s="1" t="str">
        <f>TEXT(pizza_sales[[#This Row],[order_date]],"dddd")</f>
        <v>Thursday</v>
      </c>
      <c r="H3318" s="2">
        <v>0.5995949074074074</v>
      </c>
      <c r="I3318">
        <v>16</v>
      </c>
      <c r="J3318">
        <v>16</v>
      </c>
      <c r="K3318" t="s">
        <v>59</v>
      </c>
      <c r="L3318" t="s">
        <v>13</v>
      </c>
      <c r="M3318" t="s">
        <v>32</v>
      </c>
      <c r="N3318" t="s">
        <v>33</v>
      </c>
    </row>
    <row r="3319" spans="1:14" x14ac:dyDescent="0.25">
      <c r="A3319">
        <v>28892</v>
      </c>
      <c r="B3319">
        <v>12746</v>
      </c>
      <c r="C3319">
        <f>1/COUNTIF(B:B,pizza_sales[[#This Row],[order_id]])</f>
        <v>0.2</v>
      </c>
      <c r="D3319" t="s">
        <v>28</v>
      </c>
      <c r="E3319">
        <v>2</v>
      </c>
      <c r="F3319" s="1">
        <v>42012</v>
      </c>
      <c r="G3319" s="1" t="str">
        <f>TEXT(pizza_sales[[#This Row],[order_date]],"dddd")</f>
        <v>Thursday</v>
      </c>
      <c r="H3319" s="2">
        <v>0.60423611111111108</v>
      </c>
      <c r="I3319">
        <v>12</v>
      </c>
      <c r="J3319">
        <v>24</v>
      </c>
      <c r="K3319" t="s">
        <v>60</v>
      </c>
      <c r="L3319" t="s">
        <v>13</v>
      </c>
      <c r="M3319" t="s">
        <v>29</v>
      </c>
      <c r="N3319" t="s">
        <v>30</v>
      </c>
    </row>
    <row r="3320" spans="1:14" x14ac:dyDescent="0.25">
      <c r="A3320">
        <v>28895</v>
      </c>
      <c r="B3320">
        <v>12746</v>
      </c>
      <c r="C3320">
        <f>1/COUNTIF(B:B,pizza_sales[[#This Row],[order_id]])</f>
        <v>0.2</v>
      </c>
      <c r="D3320" t="s">
        <v>47</v>
      </c>
      <c r="E3320">
        <v>1</v>
      </c>
      <c r="F3320" s="1">
        <v>42012</v>
      </c>
      <c r="G3320" s="1" t="str">
        <f>TEXT(pizza_sales[[#This Row],[order_date]],"dddd")</f>
        <v>Thursday</v>
      </c>
      <c r="H3320" s="2">
        <v>0.60423611111111108</v>
      </c>
      <c r="I3320">
        <v>16.5</v>
      </c>
      <c r="J3320">
        <v>16.5</v>
      </c>
      <c r="K3320" t="s">
        <v>58</v>
      </c>
      <c r="L3320" t="s">
        <v>13</v>
      </c>
      <c r="M3320" t="s">
        <v>14</v>
      </c>
      <c r="N3320" t="s">
        <v>15</v>
      </c>
    </row>
    <row r="3321" spans="1:14" x14ac:dyDescent="0.25">
      <c r="A3321">
        <v>28896</v>
      </c>
      <c r="B3321">
        <v>12746</v>
      </c>
      <c r="C3321">
        <f>1/COUNTIF(B:B,pizza_sales[[#This Row],[order_id]])</f>
        <v>0.2</v>
      </c>
      <c r="D3321" t="s">
        <v>24</v>
      </c>
      <c r="E3321">
        <v>1</v>
      </c>
      <c r="F3321" s="1">
        <v>42012</v>
      </c>
      <c r="G3321" s="1" t="str">
        <f>TEXT(pizza_sales[[#This Row],[order_date]],"dddd")</f>
        <v>Thursday</v>
      </c>
      <c r="H3321" s="2">
        <v>0.60423611111111108</v>
      </c>
      <c r="I3321">
        <v>20.25</v>
      </c>
      <c r="J3321">
        <v>20.25</v>
      </c>
      <c r="K3321" t="s">
        <v>58</v>
      </c>
      <c r="L3321" t="s">
        <v>17</v>
      </c>
      <c r="M3321" t="s">
        <v>18</v>
      </c>
      <c r="N3321" t="s">
        <v>19</v>
      </c>
    </row>
    <row r="3322" spans="1:14" x14ac:dyDescent="0.25">
      <c r="A3322">
        <v>28897</v>
      </c>
      <c r="B3322">
        <v>12746</v>
      </c>
      <c r="C3322">
        <f>1/COUNTIF(B:B,pizza_sales[[#This Row],[order_id]])</f>
        <v>0.2</v>
      </c>
      <c r="D3322" t="s">
        <v>38</v>
      </c>
      <c r="E3322">
        <v>1</v>
      </c>
      <c r="F3322" s="1">
        <v>42012</v>
      </c>
      <c r="G3322" s="1" t="str">
        <f>TEXT(pizza_sales[[#This Row],[order_date]],"dddd")</f>
        <v>Thursday</v>
      </c>
      <c r="H3322" s="2">
        <v>0.60423611111111108</v>
      </c>
      <c r="I3322">
        <v>20.5</v>
      </c>
      <c r="J3322">
        <v>20.5</v>
      </c>
      <c r="K3322" t="s">
        <v>58</v>
      </c>
      <c r="L3322" t="s">
        <v>13</v>
      </c>
      <c r="M3322" t="s">
        <v>32</v>
      </c>
      <c r="N3322" t="s">
        <v>33</v>
      </c>
    </row>
    <row r="3323" spans="1:14" x14ac:dyDescent="0.25">
      <c r="A3323">
        <v>28899</v>
      </c>
      <c r="B3323">
        <v>12746</v>
      </c>
      <c r="C3323">
        <f>1/COUNTIF(B:B,pizza_sales[[#This Row],[order_id]])</f>
        <v>0.2</v>
      </c>
      <c r="D3323" t="s">
        <v>48</v>
      </c>
      <c r="E3323">
        <v>2</v>
      </c>
      <c r="F3323" s="1">
        <v>42012</v>
      </c>
      <c r="G3323" s="1" t="str">
        <f>TEXT(pizza_sales[[#This Row],[order_date]],"dddd")</f>
        <v>Thursday</v>
      </c>
      <c r="H3323" s="2">
        <v>0.60423611111111108</v>
      </c>
      <c r="I3323">
        <v>12.25</v>
      </c>
      <c r="J3323">
        <v>24.5</v>
      </c>
      <c r="K3323" t="s">
        <v>60</v>
      </c>
      <c r="L3323" t="s">
        <v>35</v>
      </c>
      <c r="M3323" t="s">
        <v>40</v>
      </c>
      <c r="N3323" t="s">
        <v>41</v>
      </c>
    </row>
    <row r="3324" spans="1:14" x14ac:dyDescent="0.25">
      <c r="A3324">
        <v>28902</v>
      </c>
      <c r="B3324">
        <v>12747</v>
      </c>
      <c r="C3324">
        <f>1/COUNTIF(B:B,pizza_sales[[#This Row],[order_id]])</f>
        <v>1</v>
      </c>
      <c r="D3324" t="s">
        <v>48</v>
      </c>
      <c r="E3324">
        <v>1</v>
      </c>
      <c r="F3324" s="1">
        <v>42012</v>
      </c>
      <c r="G3324" s="1" t="str">
        <f>TEXT(pizza_sales[[#This Row],[order_date]],"dddd")</f>
        <v>Thursday</v>
      </c>
      <c r="H3324" s="2">
        <v>0.60733796296296294</v>
      </c>
      <c r="I3324">
        <v>12.25</v>
      </c>
      <c r="J3324">
        <v>12.25</v>
      </c>
      <c r="K3324" t="s">
        <v>60</v>
      </c>
      <c r="L3324" t="s">
        <v>35</v>
      </c>
      <c r="M3324" t="s">
        <v>40</v>
      </c>
      <c r="N3324" t="s">
        <v>41</v>
      </c>
    </row>
    <row r="3325" spans="1:14" x14ac:dyDescent="0.25">
      <c r="A3325">
        <v>28904</v>
      </c>
      <c r="B3325">
        <v>12748</v>
      </c>
      <c r="C3325">
        <f>1/COUNTIF(B:B,pizza_sales[[#This Row],[order_id]])</f>
        <v>1</v>
      </c>
      <c r="D3325" t="s">
        <v>51</v>
      </c>
      <c r="E3325">
        <v>1</v>
      </c>
      <c r="F3325" s="1">
        <v>42012</v>
      </c>
      <c r="G3325" s="1" t="str">
        <f>TEXT(pizza_sales[[#This Row],[order_date]],"dddd")</f>
        <v>Thursday</v>
      </c>
      <c r="H3325" s="2">
        <v>0.61804398148148143</v>
      </c>
      <c r="I3325">
        <v>23.65</v>
      </c>
      <c r="J3325">
        <v>23.65</v>
      </c>
      <c r="K3325" t="s">
        <v>60</v>
      </c>
      <c r="L3325" t="s">
        <v>35</v>
      </c>
      <c r="M3325" t="s">
        <v>52</v>
      </c>
      <c r="N3325" t="s">
        <v>53</v>
      </c>
    </row>
    <row r="3326" spans="1:14" x14ac:dyDescent="0.25">
      <c r="A3326">
        <v>28905</v>
      </c>
      <c r="B3326">
        <v>12749</v>
      </c>
      <c r="C3326">
        <f>1/COUNTIF(B:B,pizza_sales[[#This Row],[order_id]])</f>
        <v>1</v>
      </c>
      <c r="D3326" t="s">
        <v>28</v>
      </c>
      <c r="E3326">
        <v>1</v>
      </c>
      <c r="F3326" s="1">
        <v>42012</v>
      </c>
      <c r="G3326" s="1" t="str">
        <f>TEXT(pizza_sales[[#This Row],[order_date]],"dddd")</f>
        <v>Thursday</v>
      </c>
      <c r="H3326" s="2">
        <v>0.62111111111111106</v>
      </c>
      <c r="I3326">
        <v>12</v>
      </c>
      <c r="J3326">
        <v>12</v>
      </c>
      <c r="K3326" t="s">
        <v>60</v>
      </c>
      <c r="L3326" t="s">
        <v>13</v>
      </c>
      <c r="M3326" t="s">
        <v>29</v>
      </c>
      <c r="N3326" t="s">
        <v>30</v>
      </c>
    </row>
    <row r="3327" spans="1:14" x14ac:dyDescent="0.25">
      <c r="A3327">
        <v>28912</v>
      </c>
      <c r="B3327">
        <v>12753</v>
      </c>
      <c r="C3327">
        <f>1/COUNTIF(B:B,pizza_sales[[#This Row],[order_id]])</f>
        <v>1</v>
      </c>
      <c r="D3327" t="s">
        <v>56</v>
      </c>
      <c r="E3327">
        <v>1</v>
      </c>
      <c r="F3327" s="1">
        <v>42012</v>
      </c>
      <c r="G3327" s="1" t="str">
        <f>TEXT(pizza_sales[[#This Row],[order_date]],"dddd")</f>
        <v>Thursday</v>
      </c>
      <c r="H3327" s="2">
        <v>0.66255787037037039</v>
      </c>
      <c r="I3327">
        <v>20.25</v>
      </c>
      <c r="J3327">
        <v>20.25</v>
      </c>
      <c r="K3327" t="s">
        <v>58</v>
      </c>
      <c r="L3327" t="s">
        <v>35</v>
      </c>
      <c r="M3327" t="s">
        <v>36</v>
      </c>
      <c r="N3327" t="s">
        <v>37</v>
      </c>
    </row>
    <row r="3328" spans="1:14" x14ac:dyDescent="0.25">
      <c r="A3328">
        <v>28918</v>
      </c>
      <c r="B3328">
        <v>12755</v>
      </c>
      <c r="C3328">
        <f>1/COUNTIF(B:B,pizza_sales[[#This Row],[order_id]])</f>
        <v>0.5</v>
      </c>
      <c r="D3328" t="s">
        <v>45</v>
      </c>
      <c r="E3328">
        <v>1</v>
      </c>
      <c r="F3328" s="1">
        <v>42012</v>
      </c>
      <c r="G3328" s="1" t="str">
        <f>TEXT(pizza_sales[[#This Row],[order_date]],"dddd")</f>
        <v>Thursday</v>
      </c>
      <c r="H3328" s="2">
        <v>0.66997685185185185</v>
      </c>
      <c r="I3328">
        <v>10.5</v>
      </c>
      <c r="J3328">
        <v>10.5</v>
      </c>
      <c r="K3328" t="s">
        <v>60</v>
      </c>
      <c r="L3328" t="s">
        <v>13</v>
      </c>
      <c r="M3328" t="s">
        <v>14</v>
      </c>
      <c r="N3328" t="s">
        <v>15</v>
      </c>
    </row>
    <row r="3329" spans="1:14" x14ac:dyDescent="0.25">
      <c r="A3329">
        <v>28919</v>
      </c>
      <c r="B3329">
        <v>12755</v>
      </c>
      <c r="C3329">
        <f>1/COUNTIF(B:B,pizza_sales[[#This Row],[order_id]])</f>
        <v>0.5</v>
      </c>
      <c r="D3329" t="s">
        <v>44</v>
      </c>
      <c r="E3329">
        <v>1</v>
      </c>
      <c r="F3329" s="1">
        <v>42012</v>
      </c>
      <c r="G3329" s="1" t="str">
        <f>TEXT(pizza_sales[[#This Row],[order_date]],"dddd")</f>
        <v>Thursday</v>
      </c>
      <c r="H3329" s="2">
        <v>0.66997685185185185</v>
      </c>
      <c r="I3329">
        <v>9.75</v>
      </c>
      <c r="J3329">
        <v>9.75</v>
      </c>
      <c r="K3329" t="s">
        <v>60</v>
      </c>
      <c r="L3329" t="s">
        <v>13</v>
      </c>
      <c r="M3329" t="s">
        <v>26</v>
      </c>
      <c r="N3329" t="s">
        <v>27</v>
      </c>
    </row>
    <row r="3330" spans="1:14" x14ac:dyDescent="0.25">
      <c r="A3330">
        <v>28927</v>
      </c>
      <c r="B3330">
        <v>12757</v>
      </c>
      <c r="C3330">
        <f>1/COUNTIF(B:B,pizza_sales[[#This Row],[order_id]])</f>
        <v>1</v>
      </c>
      <c r="D3330" t="s">
        <v>45</v>
      </c>
      <c r="E3330">
        <v>1</v>
      </c>
      <c r="F3330" s="1">
        <v>42012</v>
      </c>
      <c r="G3330" s="1" t="str">
        <f>TEXT(pizza_sales[[#This Row],[order_date]],"dddd")</f>
        <v>Thursday</v>
      </c>
      <c r="H3330" s="2">
        <v>0.67302083333333329</v>
      </c>
      <c r="I3330">
        <v>10.5</v>
      </c>
      <c r="J3330">
        <v>10.5</v>
      </c>
      <c r="K3330" t="s">
        <v>60</v>
      </c>
      <c r="L3330" t="s">
        <v>13</v>
      </c>
      <c r="M3330" t="s">
        <v>14</v>
      </c>
      <c r="N3330" t="s">
        <v>15</v>
      </c>
    </row>
    <row r="3331" spans="1:14" x14ac:dyDescent="0.25">
      <c r="A3331">
        <v>28931</v>
      </c>
      <c r="B3331">
        <v>12759</v>
      </c>
      <c r="C3331">
        <f>1/COUNTIF(B:B,pizza_sales[[#This Row],[order_id]])</f>
        <v>1</v>
      </c>
      <c r="D3331" t="s">
        <v>31</v>
      </c>
      <c r="E3331">
        <v>1</v>
      </c>
      <c r="F3331" s="1">
        <v>42012</v>
      </c>
      <c r="G3331" s="1" t="str">
        <f>TEXT(pizza_sales[[#This Row],[order_date]],"dddd")</f>
        <v>Thursday</v>
      </c>
      <c r="H3331" s="2">
        <v>0.68995370370370368</v>
      </c>
      <c r="I3331">
        <v>12</v>
      </c>
      <c r="J3331">
        <v>12</v>
      </c>
      <c r="K3331" t="s">
        <v>60</v>
      </c>
      <c r="L3331" t="s">
        <v>13</v>
      </c>
      <c r="M3331" t="s">
        <v>32</v>
      </c>
      <c r="N3331" t="s">
        <v>33</v>
      </c>
    </row>
    <row r="3332" spans="1:14" x14ac:dyDescent="0.25">
      <c r="A3332">
        <v>28933</v>
      </c>
      <c r="B3332">
        <v>12761</v>
      </c>
      <c r="C3332">
        <f>1/COUNTIF(B:B,pizza_sales[[#This Row],[order_id]])</f>
        <v>1</v>
      </c>
      <c r="D3332" t="s">
        <v>23</v>
      </c>
      <c r="E3332">
        <v>1</v>
      </c>
      <c r="F3332" s="1">
        <v>42012</v>
      </c>
      <c r="G3332" s="1" t="str">
        <f>TEXT(pizza_sales[[#This Row],[order_date]],"dddd")</f>
        <v>Thursday</v>
      </c>
      <c r="H3332" s="2">
        <v>0.70762731481481478</v>
      </c>
      <c r="I3332">
        <v>12</v>
      </c>
      <c r="J3332">
        <v>12</v>
      </c>
      <c r="K3332" t="s">
        <v>60</v>
      </c>
      <c r="L3332" t="s">
        <v>17</v>
      </c>
      <c r="M3332" t="s">
        <v>18</v>
      </c>
      <c r="N3332" t="s">
        <v>19</v>
      </c>
    </row>
    <row r="3333" spans="1:14" x14ac:dyDescent="0.25">
      <c r="A3333">
        <v>28937</v>
      </c>
      <c r="B3333">
        <v>12763</v>
      </c>
      <c r="C3333">
        <f>1/COUNTIF(B:B,pizza_sales[[#This Row],[order_id]])</f>
        <v>1</v>
      </c>
      <c r="D3333" t="s">
        <v>45</v>
      </c>
      <c r="E3333">
        <v>1</v>
      </c>
      <c r="F3333" s="1">
        <v>42012</v>
      </c>
      <c r="G3333" s="1" t="str">
        <f>TEXT(pizza_sales[[#This Row],[order_date]],"dddd")</f>
        <v>Thursday</v>
      </c>
      <c r="H3333" s="2">
        <v>0.71159722222222221</v>
      </c>
      <c r="I3333">
        <v>10.5</v>
      </c>
      <c r="J3333">
        <v>10.5</v>
      </c>
      <c r="K3333" t="s">
        <v>60</v>
      </c>
      <c r="L3333" t="s">
        <v>13</v>
      </c>
      <c r="M3333" t="s">
        <v>14</v>
      </c>
      <c r="N3333" t="s">
        <v>15</v>
      </c>
    </row>
    <row r="3334" spans="1:14" x14ac:dyDescent="0.25">
      <c r="A3334">
        <v>28939</v>
      </c>
      <c r="B3334">
        <v>12764</v>
      </c>
      <c r="C3334">
        <f>1/COUNTIF(B:B,pizza_sales[[#This Row],[order_id]])</f>
        <v>1</v>
      </c>
      <c r="D3334" t="s">
        <v>38</v>
      </c>
      <c r="E3334">
        <v>1</v>
      </c>
      <c r="F3334" s="1">
        <v>42012</v>
      </c>
      <c r="G3334" s="1" t="str">
        <f>TEXT(pizza_sales[[#This Row],[order_date]],"dddd")</f>
        <v>Thursday</v>
      </c>
      <c r="H3334" s="2">
        <v>0.71226851851851847</v>
      </c>
      <c r="I3334">
        <v>20.5</v>
      </c>
      <c r="J3334">
        <v>20.5</v>
      </c>
      <c r="K3334" t="s">
        <v>58</v>
      </c>
      <c r="L3334" t="s">
        <v>13</v>
      </c>
      <c r="M3334" t="s">
        <v>32</v>
      </c>
      <c r="N3334" t="s">
        <v>33</v>
      </c>
    </row>
    <row r="3335" spans="1:14" x14ac:dyDescent="0.25">
      <c r="A3335">
        <v>28946</v>
      </c>
      <c r="B3335">
        <v>12767</v>
      </c>
      <c r="C3335">
        <f>1/COUNTIF(B:B,pizza_sales[[#This Row],[order_id]])</f>
        <v>1</v>
      </c>
      <c r="D3335" t="s">
        <v>43</v>
      </c>
      <c r="E3335">
        <v>1</v>
      </c>
      <c r="F3335" s="1">
        <v>42012</v>
      </c>
      <c r="G3335" s="1" t="str">
        <f>TEXT(pizza_sales[[#This Row],[order_date]],"dddd")</f>
        <v>Thursday</v>
      </c>
      <c r="H3335" s="2">
        <v>0.73606481481481478</v>
      </c>
      <c r="I3335">
        <v>16.25</v>
      </c>
      <c r="J3335">
        <v>16.25</v>
      </c>
      <c r="K3335" t="s">
        <v>59</v>
      </c>
      <c r="L3335" t="s">
        <v>35</v>
      </c>
      <c r="M3335" t="s">
        <v>40</v>
      </c>
      <c r="N3335" t="s">
        <v>41</v>
      </c>
    </row>
    <row r="3336" spans="1:14" x14ac:dyDescent="0.25">
      <c r="A3336">
        <v>28952</v>
      </c>
      <c r="B3336">
        <v>12772</v>
      </c>
      <c r="C3336">
        <f>1/COUNTIF(B:B,pizza_sales[[#This Row],[order_id]])</f>
        <v>1</v>
      </c>
      <c r="D3336" t="s">
        <v>28</v>
      </c>
      <c r="E3336">
        <v>1</v>
      </c>
      <c r="F3336" s="1">
        <v>42012</v>
      </c>
      <c r="G3336" s="1" t="str">
        <f>TEXT(pizza_sales[[#This Row],[order_date]],"dddd")</f>
        <v>Thursday</v>
      </c>
      <c r="H3336" s="2">
        <v>0.77001157407407406</v>
      </c>
      <c r="I3336">
        <v>12</v>
      </c>
      <c r="J3336">
        <v>12</v>
      </c>
      <c r="K3336" t="s">
        <v>60</v>
      </c>
      <c r="L3336" t="s">
        <v>13</v>
      </c>
      <c r="M3336" t="s">
        <v>29</v>
      </c>
      <c r="N3336" t="s">
        <v>30</v>
      </c>
    </row>
    <row r="3337" spans="1:14" x14ac:dyDescent="0.25">
      <c r="A3337">
        <v>28955</v>
      </c>
      <c r="B3337">
        <v>12773</v>
      </c>
      <c r="C3337">
        <f>1/COUNTIF(B:B,pizza_sales[[#This Row],[order_id]])</f>
        <v>1</v>
      </c>
      <c r="D3337" t="s">
        <v>55</v>
      </c>
      <c r="E3337">
        <v>1</v>
      </c>
      <c r="F3337" s="1">
        <v>42012</v>
      </c>
      <c r="G3337" s="1" t="str">
        <f>TEXT(pizza_sales[[#This Row],[order_date]],"dddd")</f>
        <v>Thursday</v>
      </c>
      <c r="H3337" s="2">
        <v>0.77039351851851856</v>
      </c>
      <c r="I3337">
        <v>20.5</v>
      </c>
      <c r="J3337">
        <v>20.5</v>
      </c>
      <c r="K3337" t="s">
        <v>58</v>
      </c>
      <c r="L3337" t="s">
        <v>13</v>
      </c>
      <c r="M3337" t="s">
        <v>21</v>
      </c>
      <c r="N3337" t="s">
        <v>22</v>
      </c>
    </row>
    <row r="3338" spans="1:14" x14ac:dyDescent="0.25">
      <c r="A3338">
        <v>28958</v>
      </c>
      <c r="B3338">
        <v>12774</v>
      </c>
      <c r="C3338">
        <f>1/COUNTIF(B:B,pizza_sales[[#This Row],[order_id]])</f>
        <v>0.5</v>
      </c>
      <c r="D3338" t="s">
        <v>31</v>
      </c>
      <c r="E3338">
        <v>1</v>
      </c>
      <c r="F3338" s="1">
        <v>42012</v>
      </c>
      <c r="G3338" s="1" t="str">
        <f>TEXT(pizza_sales[[#This Row],[order_date]],"dddd")</f>
        <v>Thursday</v>
      </c>
      <c r="H3338" s="2">
        <v>0.77113425925925927</v>
      </c>
      <c r="I3338">
        <v>12</v>
      </c>
      <c r="J3338">
        <v>12</v>
      </c>
      <c r="K3338" t="s">
        <v>60</v>
      </c>
      <c r="L3338" t="s">
        <v>13</v>
      </c>
      <c r="M3338" t="s">
        <v>32</v>
      </c>
      <c r="N3338" t="s">
        <v>33</v>
      </c>
    </row>
    <row r="3339" spans="1:14" x14ac:dyDescent="0.25">
      <c r="A3339">
        <v>28959</v>
      </c>
      <c r="B3339">
        <v>12774</v>
      </c>
      <c r="C3339">
        <f>1/COUNTIF(B:B,pizza_sales[[#This Row],[order_id]])</f>
        <v>0.5</v>
      </c>
      <c r="D3339" t="s">
        <v>44</v>
      </c>
      <c r="E3339">
        <v>1</v>
      </c>
      <c r="F3339" s="1">
        <v>42012</v>
      </c>
      <c r="G3339" s="1" t="str">
        <f>TEXT(pizza_sales[[#This Row],[order_date]],"dddd")</f>
        <v>Thursday</v>
      </c>
      <c r="H3339" s="2">
        <v>0.77113425925925927</v>
      </c>
      <c r="I3339">
        <v>9.75</v>
      </c>
      <c r="J3339">
        <v>9.75</v>
      </c>
      <c r="K3339" t="s">
        <v>60</v>
      </c>
      <c r="L3339" t="s">
        <v>13</v>
      </c>
      <c r="M3339" t="s">
        <v>26</v>
      </c>
      <c r="N3339" t="s">
        <v>27</v>
      </c>
    </row>
    <row r="3340" spans="1:14" x14ac:dyDescent="0.25">
      <c r="A3340">
        <v>28963</v>
      </c>
      <c r="B3340">
        <v>12777</v>
      </c>
      <c r="C3340">
        <f>1/COUNTIF(B:B,pizza_sales[[#This Row],[order_id]])</f>
        <v>0.33333333333333331</v>
      </c>
      <c r="D3340" t="s">
        <v>28</v>
      </c>
      <c r="E3340">
        <v>1</v>
      </c>
      <c r="F3340" s="1">
        <v>42012</v>
      </c>
      <c r="G3340" s="1" t="str">
        <f>TEXT(pizza_sales[[#This Row],[order_date]],"dddd")</f>
        <v>Thursday</v>
      </c>
      <c r="H3340" s="2">
        <v>0.77818287037037037</v>
      </c>
      <c r="I3340">
        <v>12</v>
      </c>
      <c r="J3340">
        <v>12</v>
      </c>
      <c r="K3340" t="s">
        <v>60</v>
      </c>
      <c r="L3340" t="s">
        <v>13</v>
      </c>
      <c r="M3340" t="s">
        <v>29</v>
      </c>
      <c r="N3340" t="s">
        <v>30</v>
      </c>
    </row>
    <row r="3341" spans="1:14" x14ac:dyDescent="0.25">
      <c r="A3341">
        <v>28964</v>
      </c>
      <c r="B3341">
        <v>12777</v>
      </c>
      <c r="C3341">
        <f>1/COUNTIF(B:B,pizza_sales[[#This Row],[order_id]])</f>
        <v>0.33333333333333331</v>
      </c>
      <c r="D3341" t="s">
        <v>34</v>
      </c>
      <c r="E3341">
        <v>1</v>
      </c>
      <c r="F3341" s="1">
        <v>42012</v>
      </c>
      <c r="G3341" s="1" t="str">
        <f>TEXT(pizza_sales[[#This Row],[order_date]],"dddd")</f>
        <v>Thursday</v>
      </c>
      <c r="H3341" s="2">
        <v>0.77818287037037037</v>
      </c>
      <c r="I3341">
        <v>16.25</v>
      </c>
      <c r="J3341">
        <v>16.25</v>
      </c>
      <c r="K3341" t="s">
        <v>59</v>
      </c>
      <c r="L3341" t="s">
        <v>35</v>
      </c>
      <c r="M3341" t="s">
        <v>36</v>
      </c>
      <c r="N3341" t="s">
        <v>37</v>
      </c>
    </row>
    <row r="3342" spans="1:14" x14ac:dyDescent="0.25">
      <c r="A3342">
        <v>28965</v>
      </c>
      <c r="B3342">
        <v>12777</v>
      </c>
      <c r="C3342">
        <f>1/COUNTIF(B:B,pizza_sales[[#This Row],[order_id]])</f>
        <v>0.33333333333333331</v>
      </c>
      <c r="D3342" t="s">
        <v>45</v>
      </c>
      <c r="E3342">
        <v>1</v>
      </c>
      <c r="F3342" s="1">
        <v>42012</v>
      </c>
      <c r="G3342" s="1" t="str">
        <f>TEXT(pizza_sales[[#This Row],[order_date]],"dddd")</f>
        <v>Thursday</v>
      </c>
      <c r="H3342" s="2">
        <v>0.77818287037037037</v>
      </c>
      <c r="I3342">
        <v>10.5</v>
      </c>
      <c r="J3342">
        <v>10.5</v>
      </c>
      <c r="K3342" t="s">
        <v>60</v>
      </c>
      <c r="L3342" t="s">
        <v>13</v>
      </c>
      <c r="M3342" t="s">
        <v>14</v>
      </c>
      <c r="N3342" t="s">
        <v>15</v>
      </c>
    </row>
    <row r="3343" spans="1:14" x14ac:dyDescent="0.25">
      <c r="A3343">
        <v>28981</v>
      </c>
      <c r="B3343">
        <v>12787</v>
      </c>
      <c r="C3343">
        <f>1/COUNTIF(B:B,pizza_sales[[#This Row],[order_id]])</f>
        <v>0.5</v>
      </c>
      <c r="D3343" t="s">
        <v>34</v>
      </c>
      <c r="E3343">
        <v>1</v>
      </c>
      <c r="F3343" s="1">
        <v>42012</v>
      </c>
      <c r="G3343" s="1" t="str">
        <f>TEXT(pizza_sales[[#This Row],[order_date]],"dddd")</f>
        <v>Thursday</v>
      </c>
      <c r="H3343" s="2">
        <v>0.81690972222222225</v>
      </c>
      <c r="I3343">
        <v>16.25</v>
      </c>
      <c r="J3343">
        <v>16.25</v>
      </c>
      <c r="K3343" t="s">
        <v>59</v>
      </c>
      <c r="L3343" t="s">
        <v>35</v>
      </c>
      <c r="M3343" t="s">
        <v>36</v>
      </c>
      <c r="N3343" t="s">
        <v>37</v>
      </c>
    </row>
    <row r="3344" spans="1:14" x14ac:dyDescent="0.25">
      <c r="A3344">
        <v>28982</v>
      </c>
      <c r="B3344">
        <v>12787</v>
      </c>
      <c r="C3344">
        <f>1/COUNTIF(B:B,pizza_sales[[#This Row],[order_id]])</f>
        <v>0.5</v>
      </c>
      <c r="D3344" t="s">
        <v>48</v>
      </c>
      <c r="E3344">
        <v>1</v>
      </c>
      <c r="F3344" s="1">
        <v>42012</v>
      </c>
      <c r="G3344" s="1" t="str">
        <f>TEXT(pizza_sales[[#This Row],[order_date]],"dddd")</f>
        <v>Thursday</v>
      </c>
      <c r="H3344" s="2">
        <v>0.81690972222222225</v>
      </c>
      <c r="I3344">
        <v>12.25</v>
      </c>
      <c r="J3344">
        <v>12.25</v>
      </c>
      <c r="K3344" t="s">
        <v>60</v>
      </c>
      <c r="L3344" t="s">
        <v>35</v>
      </c>
      <c r="M3344" t="s">
        <v>40</v>
      </c>
      <c r="N3344" t="s">
        <v>41</v>
      </c>
    </row>
    <row r="3345" spans="1:14" x14ac:dyDescent="0.25">
      <c r="A3345">
        <v>28983</v>
      </c>
      <c r="B3345">
        <v>12788</v>
      </c>
      <c r="C3345">
        <f>1/COUNTIF(B:B,pizza_sales[[#This Row],[order_id]])</f>
        <v>1</v>
      </c>
      <c r="D3345" t="s">
        <v>56</v>
      </c>
      <c r="E3345">
        <v>1</v>
      </c>
      <c r="F3345" s="1">
        <v>42012</v>
      </c>
      <c r="G3345" s="1" t="str">
        <f>TEXT(pizza_sales[[#This Row],[order_date]],"dddd")</f>
        <v>Thursday</v>
      </c>
      <c r="H3345" s="2">
        <v>0.83207175925925925</v>
      </c>
      <c r="I3345">
        <v>20.25</v>
      </c>
      <c r="J3345">
        <v>20.25</v>
      </c>
      <c r="K3345" t="s">
        <v>58</v>
      </c>
      <c r="L3345" t="s">
        <v>35</v>
      </c>
      <c r="M3345" t="s">
        <v>36</v>
      </c>
      <c r="N3345" t="s">
        <v>37</v>
      </c>
    </row>
    <row r="3346" spans="1:14" x14ac:dyDescent="0.25">
      <c r="A3346">
        <v>28987</v>
      </c>
      <c r="B3346">
        <v>12789</v>
      </c>
      <c r="C3346">
        <f>1/COUNTIF(B:B,pizza_sales[[#This Row],[order_id]])</f>
        <v>1</v>
      </c>
      <c r="D3346" t="s">
        <v>45</v>
      </c>
      <c r="E3346">
        <v>1</v>
      </c>
      <c r="F3346" s="1">
        <v>42012</v>
      </c>
      <c r="G3346" s="1" t="str">
        <f>TEXT(pizza_sales[[#This Row],[order_date]],"dddd")</f>
        <v>Thursday</v>
      </c>
      <c r="H3346" s="2">
        <v>0.84001157407407412</v>
      </c>
      <c r="I3346">
        <v>10.5</v>
      </c>
      <c r="J3346">
        <v>10.5</v>
      </c>
      <c r="K3346" t="s">
        <v>60</v>
      </c>
      <c r="L3346" t="s">
        <v>13</v>
      </c>
      <c r="M3346" t="s">
        <v>14</v>
      </c>
      <c r="N3346" t="s">
        <v>15</v>
      </c>
    </row>
    <row r="3347" spans="1:14" x14ac:dyDescent="0.25">
      <c r="A3347">
        <v>28990</v>
      </c>
      <c r="B3347">
        <v>12790</v>
      </c>
      <c r="C3347">
        <f>1/COUNTIF(B:B,pizza_sales[[#This Row],[order_id]])</f>
        <v>1</v>
      </c>
      <c r="D3347" t="s">
        <v>42</v>
      </c>
      <c r="E3347">
        <v>1</v>
      </c>
      <c r="F3347" s="1">
        <v>42012</v>
      </c>
      <c r="G3347" s="1" t="str">
        <f>TEXT(pizza_sales[[#This Row],[order_date]],"dddd")</f>
        <v>Thursday</v>
      </c>
      <c r="H3347" s="2">
        <v>0.84796296296296292</v>
      </c>
      <c r="I3347">
        <v>12.5</v>
      </c>
      <c r="J3347">
        <v>12.5</v>
      </c>
      <c r="K3347" t="s">
        <v>59</v>
      </c>
      <c r="L3347" t="s">
        <v>13</v>
      </c>
      <c r="M3347" t="s">
        <v>26</v>
      </c>
      <c r="N3347" t="s">
        <v>27</v>
      </c>
    </row>
    <row r="3348" spans="1:14" x14ac:dyDescent="0.25">
      <c r="A3348">
        <v>28991</v>
      </c>
      <c r="B3348">
        <v>12791</v>
      </c>
      <c r="C3348">
        <f>1/COUNTIF(B:B,pizza_sales[[#This Row],[order_id]])</f>
        <v>1</v>
      </c>
      <c r="D3348" t="s">
        <v>45</v>
      </c>
      <c r="E3348">
        <v>1</v>
      </c>
      <c r="F3348" s="1">
        <v>42012</v>
      </c>
      <c r="G3348" s="1" t="str">
        <f>TEXT(pizza_sales[[#This Row],[order_date]],"dddd")</f>
        <v>Thursday</v>
      </c>
      <c r="H3348" s="2">
        <v>0.85773148148148148</v>
      </c>
      <c r="I3348">
        <v>10.5</v>
      </c>
      <c r="J3348">
        <v>10.5</v>
      </c>
      <c r="K3348" t="s">
        <v>60</v>
      </c>
      <c r="L3348" t="s">
        <v>13</v>
      </c>
      <c r="M3348" t="s">
        <v>14</v>
      </c>
      <c r="N3348" t="s">
        <v>15</v>
      </c>
    </row>
    <row r="3349" spans="1:14" x14ac:dyDescent="0.25">
      <c r="A3349">
        <v>29002</v>
      </c>
      <c r="B3349">
        <v>12797</v>
      </c>
      <c r="C3349">
        <f>1/COUNTIF(B:B,pizza_sales[[#This Row],[order_id]])</f>
        <v>1</v>
      </c>
      <c r="D3349" t="s">
        <v>43</v>
      </c>
      <c r="E3349">
        <v>1</v>
      </c>
      <c r="F3349" s="1">
        <v>42012</v>
      </c>
      <c r="G3349" s="1" t="str">
        <f>TEXT(pizza_sales[[#This Row],[order_date]],"dddd")</f>
        <v>Thursday</v>
      </c>
      <c r="H3349" s="2">
        <v>0.87868055555555558</v>
      </c>
      <c r="I3349">
        <v>16.25</v>
      </c>
      <c r="J3349">
        <v>16.25</v>
      </c>
      <c r="K3349" t="s">
        <v>59</v>
      </c>
      <c r="L3349" t="s">
        <v>35</v>
      </c>
      <c r="M3349" t="s">
        <v>40</v>
      </c>
      <c r="N3349" t="s">
        <v>41</v>
      </c>
    </row>
    <row r="3350" spans="1:14" x14ac:dyDescent="0.25">
      <c r="A3350">
        <v>29003</v>
      </c>
      <c r="B3350">
        <v>12798</v>
      </c>
      <c r="C3350">
        <f>1/COUNTIF(B:B,pizza_sales[[#This Row],[order_id]])</f>
        <v>1</v>
      </c>
      <c r="D3350" t="s">
        <v>44</v>
      </c>
      <c r="E3350">
        <v>1</v>
      </c>
      <c r="F3350" s="1">
        <v>42012</v>
      </c>
      <c r="G3350" s="1" t="str">
        <f>TEXT(pizza_sales[[#This Row],[order_date]],"dddd")</f>
        <v>Thursday</v>
      </c>
      <c r="H3350" s="2">
        <v>0.88927083333333334</v>
      </c>
      <c r="I3350">
        <v>9.75</v>
      </c>
      <c r="J3350">
        <v>9.75</v>
      </c>
      <c r="K3350" t="s">
        <v>60</v>
      </c>
      <c r="L3350" t="s">
        <v>13</v>
      </c>
      <c r="M3350" t="s">
        <v>26</v>
      </c>
      <c r="N3350" t="s">
        <v>27</v>
      </c>
    </row>
    <row r="3351" spans="1:14" x14ac:dyDescent="0.25">
      <c r="A3351">
        <v>29006</v>
      </c>
      <c r="B3351">
        <v>12799</v>
      </c>
      <c r="C3351">
        <f>1/COUNTIF(B:B,pizza_sales[[#This Row],[order_id]])</f>
        <v>1</v>
      </c>
      <c r="D3351" t="s">
        <v>24</v>
      </c>
      <c r="E3351">
        <v>1</v>
      </c>
      <c r="F3351" s="1">
        <v>42012</v>
      </c>
      <c r="G3351" s="1" t="str">
        <f>TEXT(pizza_sales[[#This Row],[order_date]],"dddd")</f>
        <v>Thursday</v>
      </c>
      <c r="H3351" s="2">
        <v>0.89756944444444442</v>
      </c>
      <c r="I3351">
        <v>20.25</v>
      </c>
      <c r="J3351">
        <v>20.25</v>
      </c>
      <c r="K3351" t="s">
        <v>58</v>
      </c>
      <c r="L3351" t="s">
        <v>17</v>
      </c>
      <c r="M3351" t="s">
        <v>18</v>
      </c>
      <c r="N3351" t="s">
        <v>19</v>
      </c>
    </row>
    <row r="3352" spans="1:14" x14ac:dyDescent="0.25">
      <c r="A3352">
        <v>29015</v>
      </c>
      <c r="B3352">
        <v>12804</v>
      </c>
      <c r="C3352">
        <f>1/COUNTIF(B:B,pizza_sales[[#This Row],[order_id]])</f>
        <v>1</v>
      </c>
      <c r="D3352" t="s">
        <v>38</v>
      </c>
      <c r="E3352">
        <v>1</v>
      </c>
      <c r="F3352" s="1">
        <v>42012</v>
      </c>
      <c r="G3352" s="1" t="str">
        <f>TEXT(pizza_sales[[#This Row],[order_date]],"dddd")</f>
        <v>Thursday</v>
      </c>
      <c r="H3352" s="2">
        <v>0.95049768518518518</v>
      </c>
      <c r="I3352">
        <v>20.5</v>
      </c>
      <c r="J3352">
        <v>20.5</v>
      </c>
      <c r="K3352" t="s">
        <v>58</v>
      </c>
      <c r="L3352" t="s">
        <v>13</v>
      </c>
      <c r="M3352" t="s">
        <v>32</v>
      </c>
      <c r="N3352" t="s">
        <v>33</v>
      </c>
    </row>
    <row r="3353" spans="1:14" x14ac:dyDescent="0.25">
      <c r="A3353">
        <v>29017</v>
      </c>
      <c r="B3353">
        <v>12805</v>
      </c>
      <c r="C3353">
        <f>1/COUNTIF(B:B,pizza_sales[[#This Row],[order_id]])</f>
        <v>1</v>
      </c>
      <c r="D3353" t="s">
        <v>45</v>
      </c>
      <c r="E3353">
        <v>1</v>
      </c>
      <c r="F3353" s="1">
        <v>42043</v>
      </c>
      <c r="G3353" s="1" t="str">
        <f>TEXT(pizza_sales[[#This Row],[order_date]],"dddd")</f>
        <v>Sunday</v>
      </c>
      <c r="H3353" s="2">
        <v>0.5013657407407407</v>
      </c>
      <c r="I3353">
        <v>10.5</v>
      </c>
      <c r="J3353">
        <v>10.5</v>
      </c>
      <c r="K3353" t="s">
        <v>60</v>
      </c>
      <c r="L3353" t="s">
        <v>13</v>
      </c>
      <c r="M3353" t="s">
        <v>14</v>
      </c>
      <c r="N3353" t="s">
        <v>15</v>
      </c>
    </row>
    <row r="3354" spans="1:14" x14ac:dyDescent="0.25">
      <c r="A3354">
        <v>29020</v>
      </c>
      <c r="B3354">
        <v>12807</v>
      </c>
      <c r="C3354">
        <f>1/COUNTIF(B:B,pizza_sales[[#This Row],[order_id]])</f>
        <v>1</v>
      </c>
      <c r="D3354" t="s">
        <v>24</v>
      </c>
      <c r="E3354">
        <v>1</v>
      </c>
      <c r="F3354" s="1">
        <v>42043</v>
      </c>
      <c r="G3354" s="1" t="str">
        <f>TEXT(pizza_sales[[#This Row],[order_date]],"dddd")</f>
        <v>Sunday</v>
      </c>
      <c r="H3354" s="2">
        <v>0.53112268518518524</v>
      </c>
      <c r="I3354">
        <v>20.25</v>
      </c>
      <c r="J3354">
        <v>20.25</v>
      </c>
      <c r="K3354" t="s">
        <v>58</v>
      </c>
      <c r="L3354" t="s">
        <v>17</v>
      </c>
      <c r="M3354" t="s">
        <v>18</v>
      </c>
      <c r="N3354" t="s">
        <v>19</v>
      </c>
    </row>
    <row r="3355" spans="1:14" x14ac:dyDescent="0.25">
      <c r="A3355">
        <v>29023</v>
      </c>
      <c r="B3355">
        <v>12808</v>
      </c>
      <c r="C3355">
        <f>1/COUNTIF(B:B,pizza_sales[[#This Row],[order_id]])</f>
        <v>0.2</v>
      </c>
      <c r="D3355" t="s">
        <v>28</v>
      </c>
      <c r="E3355">
        <v>1</v>
      </c>
      <c r="F3355" s="1">
        <v>42043</v>
      </c>
      <c r="G3355" s="1" t="str">
        <f>TEXT(pizza_sales[[#This Row],[order_date]],"dddd")</f>
        <v>Sunday</v>
      </c>
      <c r="H3355" s="2">
        <v>0.53292824074074074</v>
      </c>
      <c r="I3355">
        <v>12</v>
      </c>
      <c r="J3355">
        <v>12</v>
      </c>
      <c r="K3355" t="s">
        <v>60</v>
      </c>
      <c r="L3355" t="s">
        <v>13</v>
      </c>
      <c r="M3355" t="s">
        <v>29</v>
      </c>
      <c r="N3355" t="s">
        <v>30</v>
      </c>
    </row>
    <row r="3356" spans="1:14" x14ac:dyDescent="0.25">
      <c r="A3356">
        <v>29024</v>
      </c>
      <c r="B3356">
        <v>12808</v>
      </c>
      <c r="C3356">
        <f>1/COUNTIF(B:B,pizza_sales[[#This Row],[order_id]])</f>
        <v>0.2</v>
      </c>
      <c r="D3356" t="s">
        <v>51</v>
      </c>
      <c r="E3356">
        <v>1</v>
      </c>
      <c r="F3356" s="1">
        <v>42043</v>
      </c>
      <c r="G3356" s="1" t="str">
        <f>TEXT(pizza_sales[[#This Row],[order_date]],"dddd")</f>
        <v>Sunday</v>
      </c>
      <c r="H3356" s="2">
        <v>0.53292824074074074</v>
      </c>
      <c r="I3356">
        <v>23.65</v>
      </c>
      <c r="J3356">
        <v>23.65</v>
      </c>
      <c r="K3356" t="s">
        <v>60</v>
      </c>
      <c r="L3356" t="s">
        <v>35</v>
      </c>
      <c r="M3356" t="s">
        <v>52</v>
      </c>
      <c r="N3356" t="s">
        <v>53</v>
      </c>
    </row>
    <row r="3357" spans="1:14" x14ac:dyDescent="0.25">
      <c r="A3357">
        <v>29028</v>
      </c>
      <c r="B3357">
        <v>12808</v>
      </c>
      <c r="C3357">
        <f>1/COUNTIF(B:B,pizza_sales[[#This Row],[order_id]])</f>
        <v>0.2</v>
      </c>
      <c r="D3357" t="s">
        <v>24</v>
      </c>
      <c r="E3357">
        <v>2</v>
      </c>
      <c r="F3357" s="1">
        <v>42043</v>
      </c>
      <c r="G3357" s="1" t="str">
        <f>TEXT(pizza_sales[[#This Row],[order_date]],"dddd")</f>
        <v>Sunday</v>
      </c>
      <c r="H3357" s="2">
        <v>0.53292824074074074</v>
      </c>
      <c r="I3357">
        <v>20.25</v>
      </c>
      <c r="J3357">
        <v>40.5</v>
      </c>
      <c r="K3357" t="s">
        <v>58</v>
      </c>
      <c r="L3357" t="s">
        <v>17</v>
      </c>
      <c r="M3357" t="s">
        <v>18</v>
      </c>
      <c r="N3357" t="s">
        <v>19</v>
      </c>
    </row>
    <row r="3358" spans="1:14" x14ac:dyDescent="0.25">
      <c r="A3358">
        <v>29029</v>
      </c>
      <c r="B3358">
        <v>12808</v>
      </c>
      <c r="C3358">
        <f>1/COUNTIF(B:B,pizza_sales[[#This Row],[order_id]])</f>
        <v>0.2</v>
      </c>
      <c r="D3358" t="s">
        <v>39</v>
      </c>
      <c r="E3358">
        <v>1</v>
      </c>
      <c r="F3358" s="1">
        <v>42043</v>
      </c>
      <c r="G3358" s="1" t="str">
        <f>TEXT(pizza_sales[[#This Row],[order_date]],"dddd")</f>
        <v>Sunday</v>
      </c>
      <c r="H3358" s="2">
        <v>0.53292824074074074</v>
      </c>
      <c r="I3358">
        <v>20.25</v>
      </c>
      <c r="J3358">
        <v>20.25</v>
      </c>
      <c r="K3358" t="s">
        <v>58</v>
      </c>
      <c r="L3358" t="s">
        <v>35</v>
      </c>
      <c r="M3358" t="s">
        <v>40</v>
      </c>
      <c r="N3358" t="s">
        <v>41</v>
      </c>
    </row>
    <row r="3359" spans="1:14" x14ac:dyDescent="0.25">
      <c r="A3359">
        <v>29030</v>
      </c>
      <c r="B3359">
        <v>12808</v>
      </c>
      <c r="C3359">
        <f>1/COUNTIF(B:B,pizza_sales[[#This Row],[order_id]])</f>
        <v>0.2</v>
      </c>
      <c r="D3359" t="s">
        <v>48</v>
      </c>
      <c r="E3359">
        <v>1</v>
      </c>
      <c r="F3359" s="1">
        <v>42043</v>
      </c>
      <c r="G3359" s="1" t="str">
        <f>TEXT(pizza_sales[[#This Row],[order_date]],"dddd")</f>
        <v>Sunday</v>
      </c>
      <c r="H3359" s="2">
        <v>0.53292824074074074</v>
      </c>
      <c r="I3359">
        <v>12.25</v>
      </c>
      <c r="J3359">
        <v>12.25</v>
      </c>
      <c r="K3359" t="s">
        <v>60</v>
      </c>
      <c r="L3359" t="s">
        <v>35</v>
      </c>
      <c r="M3359" t="s">
        <v>40</v>
      </c>
      <c r="N3359" t="s">
        <v>41</v>
      </c>
    </row>
    <row r="3360" spans="1:14" x14ac:dyDescent="0.25">
      <c r="A3360">
        <v>29035</v>
      </c>
      <c r="B3360">
        <v>12810</v>
      </c>
      <c r="C3360">
        <f>1/COUNTIF(B:B,pizza_sales[[#This Row],[order_id]])</f>
        <v>1</v>
      </c>
      <c r="D3360" t="s">
        <v>51</v>
      </c>
      <c r="E3360">
        <v>1</v>
      </c>
      <c r="F3360" s="1">
        <v>42043</v>
      </c>
      <c r="G3360" s="1" t="str">
        <f>TEXT(pizza_sales[[#This Row],[order_date]],"dddd")</f>
        <v>Sunday</v>
      </c>
      <c r="H3360" s="2">
        <v>0.5740277777777778</v>
      </c>
      <c r="I3360">
        <v>23.65</v>
      </c>
      <c r="J3360">
        <v>23.65</v>
      </c>
      <c r="K3360" t="s">
        <v>60</v>
      </c>
      <c r="L3360" t="s">
        <v>35</v>
      </c>
      <c r="M3360" t="s">
        <v>52</v>
      </c>
      <c r="N3360" t="s">
        <v>53</v>
      </c>
    </row>
    <row r="3361" spans="1:14" x14ac:dyDescent="0.25">
      <c r="A3361">
        <v>29039</v>
      </c>
      <c r="B3361">
        <v>12811</v>
      </c>
      <c r="C3361">
        <f>1/COUNTIF(B:B,pizza_sales[[#This Row],[order_id]])</f>
        <v>1</v>
      </c>
      <c r="D3361" t="s">
        <v>50</v>
      </c>
      <c r="E3361">
        <v>1</v>
      </c>
      <c r="F3361" s="1">
        <v>42043</v>
      </c>
      <c r="G3361" s="1" t="str">
        <f>TEXT(pizza_sales[[#This Row],[order_date]],"dddd")</f>
        <v>Sunday</v>
      </c>
      <c r="H3361" s="2">
        <v>0.57563657407407409</v>
      </c>
      <c r="I3361">
        <v>16</v>
      </c>
      <c r="J3361">
        <v>16</v>
      </c>
      <c r="K3361" t="s">
        <v>59</v>
      </c>
      <c r="L3361" t="s">
        <v>13</v>
      </c>
      <c r="M3361" t="s">
        <v>32</v>
      </c>
      <c r="N3361" t="s">
        <v>33</v>
      </c>
    </row>
    <row r="3362" spans="1:14" x14ac:dyDescent="0.25">
      <c r="A3362">
        <v>29041</v>
      </c>
      <c r="B3362">
        <v>12812</v>
      </c>
      <c r="C3362">
        <f>1/COUNTIF(B:B,pizza_sales[[#This Row],[order_id]])</f>
        <v>0.33333333333333331</v>
      </c>
      <c r="D3362" t="s">
        <v>51</v>
      </c>
      <c r="E3362">
        <v>1</v>
      </c>
      <c r="F3362" s="1">
        <v>42043</v>
      </c>
      <c r="G3362" s="1" t="str">
        <f>TEXT(pizza_sales[[#This Row],[order_date]],"dddd")</f>
        <v>Sunday</v>
      </c>
      <c r="H3362" s="2">
        <v>0.58309027777777778</v>
      </c>
      <c r="I3362">
        <v>23.65</v>
      </c>
      <c r="J3362">
        <v>23.65</v>
      </c>
      <c r="K3362" t="s">
        <v>60</v>
      </c>
      <c r="L3362" t="s">
        <v>35</v>
      </c>
      <c r="M3362" t="s">
        <v>52</v>
      </c>
      <c r="N3362" t="s">
        <v>53</v>
      </c>
    </row>
    <row r="3363" spans="1:14" x14ac:dyDescent="0.25">
      <c r="A3363">
        <v>29047</v>
      </c>
      <c r="B3363">
        <v>12812</v>
      </c>
      <c r="C3363">
        <f>1/COUNTIF(B:B,pizza_sales[[#This Row],[order_id]])</f>
        <v>0.33333333333333331</v>
      </c>
      <c r="D3363" t="s">
        <v>45</v>
      </c>
      <c r="E3363">
        <v>1</v>
      </c>
      <c r="F3363" s="1">
        <v>42043</v>
      </c>
      <c r="G3363" s="1" t="str">
        <f>TEXT(pizza_sales[[#This Row],[order_date]],"dddd")</f>
        <v>Sunday</v>
      </c>
      <c r="H3363" s="2">
        <v>0.58309027777777778</v>
      </c>
      <c r="I3363">
        <v>10.5</v>
      </c>
      <c r="J3363">
        <v>10.5</v>
      </c>
      <c r="K3363" t="s">
        <v>60</v>
      </c>
      <c r="L3363" t="s">
        <v>13</v>
      </c>
      <c r="M3363" t="s">
        <v>14</v>
      </c>
      <c r="N3363" t="s">
        <v>15</v>
      </c>
    </row>
    <row r="3364" spans="1:14" x14ac:dyDescent="0.25">
      <c r="A3364">
        <v>29050</v>
      </c>
      <c r="B3364">
        <v>12812</v>
      </c>
      <c r="C3364">
        <f>1/COUNTIF(B:B,pizza_sales[[#This Row],[order_id]])</f>
        <v>0.33333333333333331</v>
      </c>
      <c r="D3364" t="s">
        <v>42</v>
      </c>
      <c r="E3364">
        <v>1</v>
      </c>
      <c r="F3364" s="1">
        <v>42043</v>
      </c>
      <c r="G3364" s="1" t="str">
        <f>TEXT(pizza_sales[[#This Row],[order_date]],"dddd")</f>
        <v>Sunday</v>
      </c>
      <c r="H3364" s="2">
        <v>0.58309027777777778</v>
      </c>
      <c r="I3364">
        <v>12.5</v>
      </c>
      <c r="J3364">
        <v>12.5</v>
      </c>
      <c r="K3364" t="s">
        <v>59</v>
      </c>
      <c r="L3364" t="s">
        <v>13</v>
      </c>
      <c r="M3364" t="s">
        <v>26</v>
      </c>
      <c r="N3364" t="s">
        <v>27</v>
      </c>
    </row>
    <row r="3365" spans="1:14" x14ac:dyDescent="0.25">
      <c r="A3365">
        <v>29056</v>
      </c>
      <c r="B3365">
        <v>12815</v>
      </c>
      <c r="C3365">
        <f>1/COUNTIF(B:B,pizza_sales[[#This Row],[order_id]])</f>
        <v>1</v>
      </c>
      <c r="D3365" t="s">
        <v>49</v>
      </c>
      <c r="E3365">
        <v>1</v>
      </c>
      <c r="F3365" s="1">
        <v>42043</v>
      </c>
      <c r="G3365" s="1" t="str">
        <f>TEXT(pizza_sales[[#This Row],[order_date]],"dddd")</f>
        <v>Sunday</v>
      </c>
      <c r="H3365" s="2">
        <v>0.6086111111111111</v>
      </c>
      <c r="I3365">
        <v>16</v>
      </c>
      <c r="J3365">
        <v>16</v>
      </c>
      <c r="K3365" t="s">
        <v>59</v>
      </c>
      <c r="L3365" t="s">
        <v>13</v>
      </c>
      <c r="M3365" t="s">
        <v>21</v>
      </c>
      <c r="N3365" t="s">
        <v>22</v>
      </c>
    </row>
    <row r="3366" spans="1:14" x14ac:dyDescent="0.25">
      <c r="A3366">
        <v>29057</v>
      </c>
      <c r="B3366">
        <v>12816</v>
      </c>
      <c r="C3366">
        <f>1/COUNTIF(B:B,pizza_sales[[#This Row],[order_id]])</f>
        <v>1</v>
      </c>
      <c r="D3366" t="s">
        <v>23</v>
      </c>
      <c r="E3366">
        <v>1</v>
      </c>
      <c r="F3366" s="1">
        <v>42043</v>
      </c>
      <c r="G3366" s="1" t="str">
        <f>TEXT(pizza_sales[[#This Row],[order_date]],"dddd")</f>
        <v>Sunday</v>
      </c>
      <c r="H3366" s="2">
        <v>0.63798611111111114</v>
      </c>
      <c r="I3366">
        <v>12</v>
      </c>
      <c r="J3366">
        <v>12</v>
      </c>
      <c r="K3366" t="s">
        <v>60</v>
      </c>
      <c r="L3366" t="s">
        <v>17</v>
      </c>
      <c r="M3366" t="s">
        <v>18</v>
      </c>
      <c r="N3366" t="s">
        <v>19</v>
      </c>
    </row>
    <row r="3367" spans="1:14" x14ac:dyDescent="0.25">
      <c r="A3367">
        <v>29064</v>
      </c>
      <c r="B3367">
        <v>12821</v>
      </c>
      <c r="C3367">
        <f>1/COUNTIF(B:B,pizza_sales[[#This Row],[order_id]])</f>
        <v>1</v>
      </c>
      <c r="D3367" t="s">
        <v>51</v>
      </c>
      <c r="E3367">
        <v>1</v>
      </c>
      <c r="F3367" s="1">
        <v>42043</v>
      </c>
      <c r="G3367" s="1" t="str">
        <f>TEXT(pizza_sales[[#This Row],[order_date]],"dddd")</f>
        <v>Sunday</v>
      </c>
      <c r="H3367" s="2">
        <v>0.67754629629629626</v>
      </c>
      <c r="I3367">
        <v>23.65</v>
      </c>
      <c r="J3367">
        <v>23.65</v>
      </c>
      <c r="K3367" t="s">
        <v>60</v>
      </c>
      <c r="L3367" t="s">
        <v>35</v>
      </c>
      <c r="M3367" t="s">
        <v>52</v>
      </c>
      <c r="N3367" t="s">
        <v>53</v>
      </c>
    </row>
    <row r="3368" spans="1:14" x14ac:dyDescent="0.25">
      <c r="A3368">
        <v>29066</v>
      </c>
      <c r="B3368">
        <v>12822</v>
      </c>
      <c r="C3368">
        <f>1/COUNTIF(B:B,pizza_sales[[#This Row],[order_id]])</f>
        <v>1</v>
      </c>
      <c r="D3368" t="s">
        <v>25</v>
      </c>
      <c r="E3368">
        <v>1</v>
      </c>
      <c r="F3368" s="1">
        <v>42043</v>
      </c>
      <c r="G3368" s="1" t="str">
        <f>TEXT(pizza_sales[[#This Row],[order_date]],"dddd")</f>
        <v>Sunday</v>
      </c>
      <c r="H3368" s="2">
        <v>0.69923611111111106</v>
      </c>
      <c r="I3368">
        <v>15.25</v>
      </c>
      <c r="J3368">
        <v>15.25</v>
      </c>
      <c r="K3368" t="s">
        <v>58</v>
      </c>
      <c r="L3368" t="s">
        <v>13</v>
      </c>
      <c r="M3368" t="s">
        <v>26</v>
      </c>
      <c r="N3368" t="s">
        <v>27</v>
      </c>
    </row>
    <row r="3369" spans="1:14" x14ac:dyDescent="0.25">
      <c r="A3369">
        <v>29068</v>
      </c>
      <c r="B3369">
        <v>12823</v>
      </c>
      <c r="C3369">
        <f>1/COUNTIF(B:B,pizza_sales[[#This Row],[order_id]])</f>
        <v>1</v>
      </c>
      <c r="D3369" t="s">
        <v>45</v>
      </c>
      <c r="E3369">
        <v>1</v>
      </c>
      <c r="F3369" s="1">
        <v>42043</v>
      </c>
      <c r="G3369" s="1" t="str">
        <f>TEXT(pizza_sales[[#This Row],[order_date]],"dddd")</f>
        <v>Sunday</v>
      </c>
      <c r="H3369" s="2">
        <v>0.7003935185185185</v>
      </c>
      <c r="I3369">
        <v>10.5</v>
      </c>
      <c r="J3369">
        <v>10.5</v>
      </c>
      <c r="K3369" t="s">
        <v>60</v>
      </c>
      <c r="L3369" t="s">
        <v>13</v>
      </c>
      <c r="M3369" t="s">
        <v>14</v>
      </c>
      <c r="N3369" t="s">
        <v>15</v>
      </c>
    </row>
    <row r="3370" spans="1:14" x14ac:dyDescent="0.25">
      <c r="A3370">
        <v>29078</v>
      </c>
      <c r="B3370">
        <v>12826</v>
      </c>
      <c r="C3370">
        <f>1/COUNTIF(B:B,pizza_sales[[#This Row],[order_id]])</f>
        <v>1</v>
      </c>
      <c r="D3370" t="s">
        <v>16</v>
      </c>
      <c r="E3370">
        <v>1</v>
      </c>
      <c r="F3370" s="1">
        <v>42043</v>
      </c>
      <c r="G3370" s="1" t="str">
        <f>TEXT(pizza_sales[[#This Row],[order_date]],"dddd")</f>
        <v>Sunday</v>
      </c>
      <c r="H3370" s="2">
        <v>0.72059027777777773</v>
      </c>
      <c r="I3370">
        <v>16</v>
      </c>
      <c r="J3370">
        <v>16</v>
      </c>
      <c r="K3370" t="s">
        <v>59</v>
      </c>
      <c r="L3370" t="s">
        <v>17</v>
      </c>
      <c r="M3370" t="s">
        <v>18</v>
      </c>
      <c r="N3370" t="s">
        <v>19</v>
      </c>
    </row>
    <row r="3371" spans="1:14" x14ac:dyDescent="0.25">
      <c r="A3371">
        <v>29080</v>
      </c>
      <c r="B3371">
        <v>12827</v>
      </c>
      <c r="C3371">
        <f>1/COUNTIF(B:B,pizza_sales[[#This Row],[order_id]])</f>
        <v>1</v>
      </c>
      <c r="D3371" t="s">
        <v>42</v>
      </c>
      <c r="E3371">
        <v>1</v>
      </c>
      <c r="F3371" s="1">
        <v>42043</v>
      </c>
      <c r="G3371" s="1" t="str">
        <f>TEXT(pizza_sales[[#This Row],[order_date]],"dddd")</f>
        <v>Sunday</v>
      </c>
      <c r="H3371" s="2">
        <v>0.72155092592592596</v>
      </c>
      <c r="I3371">
        <v>12.5</v>
      </c>
      <c r="J3371">
        <v>12.5</v>
      </c>
      <c r="K3371" t="s">
        <v>59</v>
      </c>
      <c r="L3371" t="s">
        <v>13</v>
      </c>
      <c r="M3371" t="s">
        <v>26</v>
      </c>
      <c r="N3371" t="s">
        <v>27</v>
      </c>
    </row>
    <row r="3372" spans="1:14" x14ac:dyDescent="0.25">
      <c r="A3372">
        <v>29082</v>
      </c>
      <c r="B3372">
        <v>12828</v>
      </c>
      <c r="C3372">
        <f>1/COUNTIF(B:B,pizza_sales[[#This Row],[order_id]])</f>
        <v>0.5</v>
      </c>
      <c r="D3372" t="s">
        <v>28</v>
      </c>
      <c r="E3372">
        <v>1</v>
      </c>
      <c r="F3372" s="1">
        <v>42043</v>
      </c>
      <c r="G3372" s="1" t="str">
        <f>TEXT(pizza_sales[[#This Row],[order_date]],"dddd")</f>
        <v>Sunday</v>
      </c>
      <c r="H3372" s="2">
        <v>0.72222222222222221</v>
      </c>
      <c r="I3372">
        <v>12</v>
      </c>
      <c r="J3372">
        <v>12</v>
      </c>
      <c r="K3372" t="s">
        <v>60</v>
      </c>
      <c r="L3372" t="s">
        <v>13</v>
      </c>
      <c r="M3372" t="s">
        <v>29</v>
      </c>
      <c r="N3372" t="s">
        <v>30</v>
      </c>
    </row>
    <row r="3373" spans="1:14" x14ac:dyDescent="0.25">
      <c r="A3373">
        <v>29083</v>
      </c>
      <c r="B3373">
        <v>12828</v>
      </c>
      <c r="C3373">
        <f>1/COUNTIF(B:B,pizza_sales[[#This Row],[order_id]])</f>
        <v>0.5</v>
      </c>
      <c r="D3373" t="s">
        <v>51</v>
      </c>
      <c r="E3373">
        <v>1</v>
      </c>
      <c r="F3373" s="1">
        <v>42043</v>
      </c>
      <c r="G3373" s="1" t="str">
        <f>TEXT(pizza_sales[[#This Row],[order_date]],"dddd")</f>
        <v>Sunday</v>
      </c>
      <c r="H3373" s="2">
        <v>0.72222222222222221</v>
      </c>
      <c r="I3373">
        <v>23.65</v>
      </c>
      <c r="J3373">
        <v>23.65</v>
      </c>
      <c r="K3373" t="s">
        <v>60</v>
      </c>
      <c r="L3373" t="s">
        <v>35</v>
      </c>
      <c r="M3373" t="s">
        <v>52</v>
      </c>
      <c r="N3373" t="s">
        <v>53</v>
      </c>
    </row>
    <row r="3374" spans="1:14" x14ac:dyDescent="0.25">
      <c r="A3374">
        <v>29084</v>
      </c>
      <c r="B3374">
        <v>12829</v>
      </c>
      <c r="C3374">
        <f>1/COUNTIF(B:B,pizza_sales[[#This Row],[order_id]])</f>
        <v>1</v>
      </c>
      <c r="D3374" t="s">
        <v>45</v>
      </c>
      <c r="E3374">
        <v>1</v>
      </c>
      <c r="F3374" s="1">
        <v>42043</v>
      </c>
      <c r="G3374" s="1" t="str">
        <f>TEXT(pizza_sales[[#This Row],[order_date]],"dddd")</f>
        <v>Sunday</v>
      </c>
      <c r="H3374" s="2">
        <v>0.72320601851851851</v>
      </c>
      <c r="I3374">
        <v>10.5</v>
      </c>
      <c r="J3374">
        <v>10.5</v>
      </c>
      <c r="K3374" t="s">
        <v>60</v>
      </c>
      <c r="L3374" t="s">
        <v>13</v>
      </c>
      <c r="M3374" t="s">
        <v>14</v>
      </c>
      <c r="N3374" t="s">
        <v>15</v>
      </c>
    </row>
    <row r="3375" spans="1:14" x14ac:dyDescent="0.25">
      <c r="A3375">
        <v>29087</v>
      </c>
      <c r="B3375">
        <v>12831</v>
      </c>
      <c r="C3375">
        <f>1/COUNTIF(B:B,pizza_sales[[#This Row],[order_id]])</f>
        <v>1</v>
      </c>
      <c r="D3375" t="s">
        <v>28</v>
      </c>
      <c r="E3375">
        <v>1</v>
      </c>
      <c r="F3375" s="1">
        <v>42043</v>
      </c>
      <c r="G3375" s="1" t="str">
        <f>TEXT(pizza_sales[[#This Row],[order_date]],"dddd")</f>
        <v>Sunday</v>
      </c>
      <c r="H3375" s="2">
        <v>0.73604166666666671</v>
      </c>
      <c r="I3375">
        <v>12</v>
      </c>
      <c r="J3375">
        <v>12</v>
      </c>
      <c r="K3375" t="s">
        <v>60</v>
      </c>
      <c r="L3375" t="s">
        <v>13</v>
      </c>
      <c r="M3375" t="s">
        <v>29</v>
      </c>
      <c r="N3375" t="s">
        <v>30</v>
      </c>
    </row>
    <row r="3376" spans="1:14" x14ac:dyDescent="0.25">
      <c r="A3376">
        <v>29089</v>
      </c>
      <c r="B3376">
        <v>12832</v>
      </c>
      <c r="C3376">
        <f>1/COUNTIF(B:B,pizza_sales[[#This Row],[order_id]])</f>
        <v>1</v>
      </c>
      <c r="D3376" t="s">
        <v>24</v>
      </c>
      <c r="E3376">
        <v>1</v>
      </c>
      <c r="F3376" s="1">
        <v>42043</v>
      </c>
      <c r="G3376" s="1" t="str">
        <f>TEXT(pizza_sales[[#This Row],[order_date]],"dddd")</f>
        <v>Sunday</v>
      </c>
      <c r="H3376" s="2">
        <v>0.74098379629629629</v>
      </c>
      <c r="I3376">
        <v>20.25</v>
      </c>
      <c r="J3376">
        <v>20.25</v>
      </c>
      <c r="K3376" t="s">
        <v>58</v>
      </c>
      <c r="L3376" t="s">
        <v>17</v>
      </c>
      <c r="M3376" t="s">
        <v>18</v>
      </c>
      <c r="N3376" t="s">
        <v>19</v>
      </c>
    </row>
    <row r="3377" spans="1:14" x14ac:dyDescent="0.25">
      <c r="A3377">
        <v>29092</v>
      </c>
      <c r="B3377">
        <v>12834</v>
      </c>
      <c r="C3377">
        <f>1/COUNTIF(B:B,pizza_sales[[#This Row],[order_id]])</f>
        <v>0.5</v>
      </c>
      <c r="D3377" t="s">
        <v>34</v>
      </c>
      <c r="E3377">
        <v>1</v>
      </c>
      <c r="F3377" s="1">
        <v>42043</v>
      </c>
      <c r="G3377" s="1" t="str">
        <f>TEXT(pizza_sales[[#This Row],[order_date]],"dddd")</f>
        <v>Sunday</v>
      </c>
      <c r="H3377" s="2">
        <v>0.7673726851851852</v>
      </c>
      <c r="I3377">
        <v>16.25</v>
      </c>
      <c r="J3377">
        <v>16.25</v>
      </c>
      <c r="K3377" t="s">
        <v>59</v>
      </c>
      <c r="L3377" t="s">
        <v>35</v>
      </c>
      <c r="M3377" t="s">
        <v>36</v>
      </c>
      <c r="N3377" t="s">
        <v>37</v>
      </c>
    </row>
    <row r="3378" spans="1:14" x14ac:dyDescent="0.25">
      <c r="A3378">
        <v>29094</v>
      </c>
      <c r="B3378">
        <v>12834</v>
      </c>
      <c r="C3378">
        <f>1/COUNTIF(B:B,pizza_sales[[#This Row],[order_id]])</f>
        <v>0.5</v>
      </c>
      <c r="D3378" t="s">
        <v>25</v>
      </c>
      <c r="E3378">
        <v>1</v>
      </c>
      <c r="F3378" s="1">
        <v>42043</v>
      </c>
      <c r="G3378" s="1" t="str">
        <f>TEXT(pizza_sales[[#This Row],[order_date]],"dddd")</f>
        <v>Sunday</v>
      </c>
      <c r="H3378" s="2">
        <v>0.7673726851851852</v>
      </c>
      <c r="I3378">
        <v>15.25</v>
      </c>
      <c r="J3378">
        <v>15.25</v>
      </c>
      <c r="K3378" t="s">
        <v>58</v>
      </c>
      <c r="L3378" t="s">
        <v>13</v>
      </c>
      <c r="M3378" t="s">
        <v>26</v>
      </c>
      <c r="N3378" t="s">
        <v>27</v>
      </c>
    </row>
    <row r="3379" spans="1:14" x14ac:dyDescent="0.25">
      <c r="A3379">
        <v>29097</v>
      </c>
      <c r="B3379">
        <v>12835</v>
      </c>
      <c r="C3379">
        <f>1/COUNTIF(B:B,pizza_sales[[#This Row],[order_id]])</f>
        <v>1</v>
      </c>
      <c r="D3379" t="s">
        <v>43</v>
      </c>
      <c r="E3379">
        <v>1</v>
      </c>
      <c r="F3379" s="1">
        <v>42043</v>
      </c>
      <c r="G3379" s="1" t="str">
        <f>TEXT(pizza_sales[[#This Row],[order_date]],"dddd")</f>
        <v>Sunday</v>
      </c>
      <c r="H3379" s="2">
        <v>0.78430555555555559</v>
      </c>
      <c r="I3379">
        <v>16.25</v>
      </c>
      <c r="J3379">
        <v>16.25</v>
      </c>
      <c r="K3379" t="s">
        <v>59</v>
      </c>
      <c r="L3379" t="s">
        <v>35</v>
      </c>
      <c r="M3379" t="s">
        <v>40</v>
      </c>
      <c r="N3379" t="s">
        <v>41</v>
      </c>
    </row>
    <row r="3380" spans="1:14" x14ac:dyDescent="0.25">
      <c r="A3380">
        <v>29105</v>
      </c>
      <c r="B3380">
        <v>12840</v>
      </c>
      <c r="C3380">
        <f>1/COUNTIF(B:B,pizza_sales[[#This Row],[order_id]])</f>
        <v>1</v>
      </c>
      <c r="D3380" t="s">
        <v>45</v>
      </c>
      <c r="E3380">
        <v>1</v>
      </c>
      <c r="F3380" s="1">
        <v>42043</v>
      </c>
      <c r="G3380" s="1" t="str">
        <f>TEXT(pizza_sales[[#This Row],[order_date]],"dddd")</f>
        <v>Sunday</v>
      </c>
      <c r="H3380" s="2">
        <v>0.85342592592592592</v>
      </c>
      <c r="I3380">
        <v>10.5</v>
      </c>
      <c r="J3380">
        <v>10.5</v>
      </c>
      <c r="K3380" t="s">
        <v>60</v>
      </c>
      <c r="L3380" t="s">
        <v>13</v>
      </c>
      <c r="M3380" t="s">
        <v>14</v>
      </c>
      <c r="N3380" t="s">
        <v>15</v>
      </c>
    </row>
    <row r="3381" spans="1:14" x14ac:dyDescent="0.25">
      <c r="A3381">
        <v>29110</v>
      </c>
      <c r="B3381">
        <v>12842</v>
      </c>
      <c r="C3381">
        <f>1/COUNTIF(B:B,pizza_sales[[#This Row],[order_id]])</f>
        <v>1</v>
      </c>
      <c r="D3381" t="s">
        <v>38</v>
      </c>
      <c r="E3381">
        <v>1</v>
      </c>
      <c r="F3381" s="1">
        <v>42043</v>
      </c>
      <c r="G3381" s="1" t="str">
        <f>TEXT(pizza_sales[[#This Row],[order_date]],"dddd")</f>
        <v>Sunday</v>
      </c>
      <c r="H3381" s="2">
        <v>0.86274305555555553</v>
      </c>
      <c r="I3381">
        <v>20.5</v>
      </c>
      <c r="J3381">
        <v>20.5</v>
      </c>
      <c r="K3381" t="s">
        <v>58</v>
      </c>
      <c r="L3381" t="s">
        <v>13</v>
      </c>
      <c r="M3381" t="s">
        <v>32</v>
      </c>
      <c r="N3381" t="s">
        <v>33</v>
      </c>
    </row>
    <row r="3382" spans="1:14" x14ac:dyDescent="0.25">
      <c r="A3382">
        <v>29112</v>
      </c>
      <c r="B3382">
        <v>12843</v>
      </c>
      <c r="C3382">
        <f>1/COUNTIF(B:B,pizza_sales[[#This Row],[order_id]])</f>
        <v>0.5</v>
      </c>
      <c r="D3382" t="s">
        <v>47</v>
      </c>
      <c r="E3382">
        <v>1</v>
      </c>
      <c r="F3382" s="1">
        <v>42043</v>
      </c>
      <c r="G3382" s="1" t="str">
        <f>TEXT(pizza_sales[[#This Row],[order_date]],"dddd")</f>
        <v>Sunday</v>
      </c>
      <c r="H3382" s="2">
        <v>0.86966435185185187</v>
      </c>
      <c r="I3382">
        <v>16.5</v>
      </c>
      <c r="J3382">
        <v>16.5</v>
      </c>
      <c r="K3382" t="s">
        <v>58</v>
      </c>
      <c r="L3382" t="s">
        <v>13</v>
      </c>
      <c r="M3382" t="s">
        <v>14</v>
      </c>
      <c r="N3382" t="s">
        <v>15</v>
      </c>
    </row>
    <row r="3383" spans="1:14" x14ac:dyDescent="0.25">
      <c r="A3383">
        <v>29113</v>
      </c>
      <c r="B3383">
        <v>12843</v>
      </c>
      <c r="C3383">
        <f>1/COUNTIF(B:B,pizza_sales[[#This Row],[order_id]])</f>
        <v>0.5</v>
      </c>
      <c r="D3383" t="s">
        <v>16</v>
      </c>
      <c r="E3383">
        <v>1</v>
      </c>
      <c r="F3383" s="1">
        <v>42043</v>
      </c>
      <c r="G3383" s="1" t="str">
        <f>TEXT(pizza_sales[[#This Row],[order_date]],"dddd")</f>
        <v>Sunday</v>
      </c>
      <c r="H3383" s="2">
        <v>0.86966435185185187</v>
      </c>
      <c r="I3383">
        <v>16</v>
      </c>
      <c r="J3383">
        <v>16</v>
      </c>
      <c r="K3383" t="s">
        <v>59</v>
      </c>
      <c r="L3383" t="s">
        <v>17</v>
      </c>
      <c r="M3383" t="s">
        <v>18</v>
      </c>
      <c r="N3383" t="s">
        <v>19</v>
      </c>
    </row>
    <row r="3384" spans="1:14" x14ac:dyDescent="0.25">
      <c r="A3384">
        <v>29117</v>
      </c>
      <c r="B3384">
        <v>12846</v>
      </c>
      <c r="C3384">
        <f>1/COUNTIF(B:B,pizza_sales[[#This Row],[order_id]])</f>
        <v>1</v>
      </c>
      <c r="D3384" t="s">
        <v>42</v>
      </c>
      <c r="E3384">
        <v>1</v>
      </c>
      <c r="F3384" s="1">
        <v>42043</v>
      </c>
      <c r="G3384" s="1" t="str">
        <f>TEXT(pizza_sales[[#This Row],[order_date]],"dddd")</f>
        <v>Sunday</v>
      </c>
      <c r="H3384" s="2">
        <v>0.88027777777777783</v>
      </c>
      <c r="I3384">
        <v>12.5</v>
      </c>
      <c r="J3384">
        <v>12.5</v>
      </c>
      <c r="K3384" t="s">
        <v>59</v>
      </c>
      <c r="L3384" t="s">
        <v>13</v>
      </c>
      <c r="M3384" t="s">
        <v>26</v>
      </c>
      <c r="N3384" t="s">
        <v>27</v>
      </c>
    </row>
    <row r="3385" spans="1:14" x14ac:dyDescent="0.25">
      <c r="A3385">
        <v>29123</v>
      </c>
      <c r="B3385">
        <v>12850</v>
      </c>
      <c r="C3385">
        <f>1/COUNTIF(B:B,pizza_sales[[#This Row],[order_id]])</f>
        <v>1</v>
      </c>
      <c r="D3385" t="s">
        <v>20</v>
      </c>
      <c r="E3385">
        <v>1</v>
      </c>
      <c r="F3385" s="1">
        <v>42043</v>
      </c>
      <c r="G3385" s="1" t="str">
        <f>TEXT(pizza_sales[[#This Row],[order_date]],"dddd")</f>
        <v>Sunday</v>
      </c>
      <c r="H3385" s="2">
        <v>0.90990740740740739</v>
      </c>
      <c r="I3385">
        <v>12</v>
      </c>
      <c r="J3385">
        <v>12</v>
      </c>
      <c r="K3385" t="s">
        <v>60</v>
      </c>
      <c r="L3385" t="s">
        <v>13</v>
      </c>
      <c r="M3385" t="s">
        <v>21</v>
      </c>
      <c r="N3385" t="s">
        <v>22</v>
      </c>
    </row>
    <row r="3386" spans="1:14" x14ac:dyDescent="0.25">
      <c r="A3386">
        <v>29124</v>
      </c>
      <c r="B3386">
        <v>12851</v>
      </c>
      <c r="C3386">
        <f>1/COUNTIF(B:B,pizza_sales[[#This Row],[order_id]])</f>
        <v>0.5</v>
      </c>
      <c r="D3386" t="s">
        <v>28</v>
      </c>
      <c r="E3386">
        <v>1</v>
      </c>
      <c r="F3386" s="1">
        <v>42043</v>
      </c>
      <c r="G3386" s="1" t="str">
        <f>TEXT(pizza_sales[[#This Row],[order_date]],"dddd")</f>
        <v>Sunday</v>
      </c>
      <c r="H3386" s="2">
        <v>0.91672453703703705</v>
      </c>
      <c r="I3386">
        <v>12</v>
      </c>
      <c r="J3386">
        <v>12</v>
      </c>
      <c r="K3386" t="s">
        <v>60</v>
      </c>
      <c r="L3386" t="s">
        <v>13</v>
      </c>
      <c r="M3386" t="s">
        <v>29</v>
      </c>
      <c r="N3386" t="s">
        <v>30</v>
      </c>
    </row>
    <row r="3387" spans="1:14" x14ac:dyDescent="0.25">
      <c r="A3387">
        <v>29125</v>
      </c>
      <c r="B3387">
        <v>12851</v>
      </c>
      <c r="C3387">
        <f>1/COUNTIF(B:B,pizza_sales[[#This Row],[order_id]])</f>
        <v>0.5</v>
      </c>
      <c r="D3387" t="s">
        <v>43</v>
      </c>
      <c r="E3387">
        <v>1</v>
      </c>
      <c r="F3387" s="1">
        <v>42043</v>
      </c>
      <c r="G3387" s="1" t="str">
        <f>TEXT(pizza_sales[[#This Row],[order_date]],"dddd")</f>
        <v>Sunday</v>
      </c>
      <c r="H3387" s="2">
        <v>0.91672453703703705</v>
      </c>
      <c r="I3387">
        <v>16.25</v>
      </c>
      <c r="J3387">
        <v>16.25</v>
      </c>
      <c r="K3387" t="s">
        <v>59</v>
      </c>
      <c r="L3387" t="s">
        <v>35</v>
      </c>
      <c r="M3387" t="s">
        <v>40</v>
      </c>
      <c r="N3387" t="s">
        <v>41</v>
      </c>
    </row>
    <row r="3388" spans="1:14" x14ac:dyDescent="0.25">
      <c r="A3388">
        <v>29130</v>
      </c>
      <c r="B3388">
        <v>12856</v>
      </c>
      <c r="C3388">
        <f>1/COUNTIF(B:B,pizza_sales[[#This Row],[order_id]])</f>
        <v>1</v>
      </c>
      <c r="D3388" t="s">
        <v>16</v>
      </c>
      <c r="E3388">
        <v>1</v>
      </c>
      <c r="F3388" s="1">
        <v>42071</v>
      </c>
      <c r="G3388" s="1" t="str">
        <f>TEXT(pizza_sales[[#This Row],[order_date]],"dddd")</f>
        <v>Sunday</v>
      </c>
      <c r="H3388" s="2">
        <v>0.48168981481481482</v>
      </c>
      <c r="I3388">
        <v>16</v>
      </c>
      <c r="J3388">
        <v>16</v>
      </c>
      <c r="K3388" t="s">
        <v>59</v>
      </c>
      <c r="L3388" t="s">
        <v>17</v>
      </c>
      <c r="M3388" t="s">
        <v>18</v>
      </c>
      <c r="N3388" t="s">
        <v>19</v>
      </c>
    </row>
    <row r="3389" spans="1:14" x14ac:dyDescent="0.25">
      <c r="A3389">
        <v>29134</v>
      </c>
      <c r="B3389">
        <v>12859</v>
      </c>
      <c r="C3389">
        <f>1/COUNTIF(B:B,pizza_sales[[#This Row],[order_id]])</f>
        <v>1</v>
      </c>
      <c r="D3389" t="s">
        <v>24</v>
      </c>
      <c r="E3389">
        <v>1</v>
      </c>
      <c r="F3389" s="1">
        <v>42071</v>
      </c>
      <c r="G3389" s="1" t="str">
        <f>TEXT(pizza_sales[[#This Row],[order_date]],"dddd")</f>
        <v>Sunday</v>
      </c>
      <c r="H3389" s="2">
        <v>0.50818287037037035</v>
      </c>
      <c r="I3389">
        <v>20.25</v>
      </c>
      <c r="J3389">
        <v>20.25</v>
      </c>
      <c r="K3389" t="s">
        <v>58</v>
      </c>
      <c r="L3389" t="s">
        <v>17</v>
      </c>
      <c r="M3389" t="s">
        <v>18</v>
      </c>
      <c r="N3389" t="s">
        <v>19</v>
      </c>
    </row>
    <row r="3390" spans="1:14" x14ac:dyDescent="0.25">
      <c r="A3390">
        <v>29136</v>
      </c>
      <c r="B3390">
        <v>12860</v>
      </c>
      <c r="C3390">
        <f>1/COUNTIF(B:B,pizza_sales[[#This Row],[order_id]])</f>
        <v>1</v>
      </c>
      <c r="D3390" t="s">
        <v>28</v>
      </c>
      <c r="E3390">
        <v>1</v>
      </c>
      <c r="F3390" s="1">
        <v>42071</v>
      </c>
      <c r="G3390" s="1" t="str">
        <f>TEXT(pizza_sales[[#This Row],[order_date]],"dddd")</f>
        <v>Sunday</v>
      </c>
      <c r="H3390" s="2">
        <v>0.5102430555555556</v>
      </c>
      <c r="I3390">
        <v>12</v>
      </c>
      <c r="J3390">
        <v>12</v>
      </c>
      <c r="K3390" t="s">
        <v>60</v>
      </c>
      <c r="L3390" t="s">
        <v>13</v>
      </c>
      <c r="M3390" t="s">
        <v>29</v>
      </c>
      <c r="N3390" t="s">
        <v>30</v>
      </c>
    </row>
    <row r="3391" spans="1:14" x14ac:dyDescent="0.25">
      <c r="A3391">
        <v>29139</v>
      </c>
      <c r="B3391">
        <v>12862</v>
      </c>
      <c r="C3391">
        <f>1/COUNTIF(B:B,pizza_sales[[#This Row],[order_id]])</f>
        <v>1</v>
      </c>
      <c r="D3391" t="s">
        <v>16</v>
      </c>
      <c r="E3391">
        <v>1</v>
      </c>
      <c r="F3391" s="1">
        <v>42071</v>
      </c>
      <c r="G3391" s="1" t="str">
        <f>TEXT(pizza_sales[[#This Row],[order_date]],"dddd")</f>
        <v>Sunday</v>
      </c>
      <c r="H3391" s="2">
        <v>0.51652777777777781</v>
      </c>
      <c r="I3391">
        <v>16</v>
      </c>
      <c r="J3391">
        <v>16</v>
      </c>
      <c r="K3391" t="s">
        <v>59</v>
      </c>
      <c r="L3391" t="s">
        <v>17</v>
      </c>
      <c r="M3391" t="s">
        <v>18</v>
      </c>
      <c r="N3391" t="s">
        <v>19</v>
      </c>
    </row>
    <row r="3392" spans="1:14" x14ac:dyDescent="0.25">
      <c r="A3392">
        <v>29143</v>
      </c>
      <c r="B3392">
        <v>12866</v>
      </c>
      <c r="C3392">
        <f>1/COUNTIF(B:B,pizza_sales[[#This Row],[order_id]])</f>
        <v>0.5</v>
      </c>
      <c r="D3392" t="s">
        <v>44</v>
      </c>
      <c r="E3392">
        <v>1</v>
      </c>
      <c r="F3392" s="1">
        <v>42071</v>
      </c>
      <c r="G3392" s="1" t="str">
        <f>TEXT(pizza_sales[[#This Row],[order_date]],"dddd")</f>
        <v>Sunday</v>
      </c>
      <c r="H3392" s="2">
        <v>0.54283564814814811</v>
      </c>
      <c r="I3392">
        <v>9.75</v>
      </c>
      <c r="J3392">
        <v>9.75</v>
      </c>
      <c r="K3392" t="s">
        <v>60</v>
      </c>
      <c r="L3392" t="s">
        <v>13</v>
      </c>
      <c r="M3392" t="s">
        <v>26</v>
      </c>
      <c r="N3392" t="s">
        <v>27</v>
      </c>
    </row>
    <row r="3393" spans="1:14" x14ac:dyDescent="0.25">
      <c r="A3393">
        <v>29144</v>
      </c>
      <c r="B3393">
        <v>12866</v>
      </c>
      <c r="C3393">
        <f>1/COUNTIF(B:B,pizza_sales[[#This Row],[order_id]])</f>
        <v>0.5</v>
      </c>
      <c r="D3393" t="s">
        <v>48</v>
      </c>
      <c r="E3393">
        <v>1</v>
      </c>
      <c r="F3393" s="1">
        <v>42071</v>
      </c>
      <c r="G3393" s="1" t="str">
        <f>TEXT(pizza_sales[[#This Row],[order_date]],"dddd")</f>
        <v>Sunday</v>
      </c>
      <c r="H3393" s="2">
        <v>0.54283564814814811</v>
      </c>
      <c r="I3393">
        <v>12.25</v>
      </c>
      <c r="J3393">
        <v>12.25</v>
      </c>
      <c r="K3393" t="s">
        <v>60</v>
      </c>
      <c r="L3393" t="s">
        <v>35</v>
      </c>
      <c r="M3393" t="s">
        <v>40</v>
      </c>
      <c r="N3393" t="s">
        <v>41</v>
      </c>
    </row>
    <row r="3394" spans="1:14" x14ac:dyDescent="0.25">
      <c r="A3394">
        <v>29149</v>
      </c>
      <c r="B3394">
        <v>12868</v>
      </c>
      <c r="C3394">
        <f>1/COUNTIF(B:B,pizza_sales[[#This Row],[order_id]])</f>
        <v>1</v>
      </c>
      <c r="D3394" t="s">
        <v>51</v>
      </c>
      <c r="E3394">
        <v>1</v>
      </c>
      <c r="F3394" s="1">
        <v>42071</v>
      </c>
      <c r="G3394" s="1" t="str">
        <f>TEXT(pizza_sales[[#This Row],[order_date]],"dddd")</f>
        <v>Sunday</v>
      </c>
      <c r="H3394" s="2">
        <v>0.55120370370370375</v>
      </c>
      <c r="I3394">
        <v>23.65</v>
      </c>
      <c r="J3394">
        <v>23.65</v>
      </c>
      <c r="K3394" t="s">
        <v>60</v>
      </c>
      <c r="L3394" t="s">
        <v>35</v>
      </c>
      <c r="M3394" t="s">
        <v>52</v>
      </c>
      <c r="N3394" t="s">
        <v>53</v>
      </c>
    </row>
    <row r="3395" spans="1:14" x14ac:dyDescent="0.25">
      <c r="A3395">
        <v>29155</v>
      </c>
      <c r="B3395">
        <v>12871</v>
      </c>
      <c r="C3395">
        <f>1/COUNTIF(B:B,pizza_sales[[#This Row],[order_id]])</f>
        <v>1</v>
      </c>
      <c r="D3395" t="s">
        <v>24</v>
      </c>
      <c r="E3395">
        <v>1</v>
      </c>
      <c r="F3395" s="1">
        <v>42071</v>
      </c>
      <c r="G3395" s="1" t="str">
        <f>TEXT(pizza_sales[[#This Row],[order_date]],"dddd")</f>
        <v>Sunday</v>
      </c>
      <c r="H3395" s="2">
        <v>0.5647685185185185</v>
      </c>
      <c r="I3395">
        <v>20.25</v>
      </c>
      <c r="J3395">
        <v>20.25</v>
      </c>
      <c r="K3395" t="s">
        <v>58</v>
      </c>
      <c r="L3395" t="s">
        <v>17</v>
      </c>
      <c r="M3395" t="s">
        <v>18</v>
      </c>
      <c r="N3395" t="s">
        <v>19</v>
      </c>
    </row>
    <row r="3396" spans="1:14" x14ac:dyDescent="0.25">
      <c r="A3396">
        <v>29158</v>
      </c>
      <c r="B3396">
        <v>12873</v>
      </c>
      <c r="C3396">
        <f>1/COUNTIF(B:B,pizza_sales[[#This Row],[order_id]])</f>
        <v>1</v>
      </c>
      <c r="D3396" t="s">
        <v>45</v>
      </c>
      <c r="E3396">
        <v>1</v>
      </c>
      <c r="F3396" s="1">
        <v>42071</v>
      </c>
      <c r="G3396" s="1" t="str">
        <f>TEXT(pizza_sales[[#This Row],[order_date]],"dddd")</f>
        <v>Sunday</v>
      </c>
      <c r="H3396" s="2">
        <v>0.57951388888888888</v>
      </c>
      <c r="I3396">
        <v>10.5</v>
      </c>
      <c r="J3396">
        <v>10.5</v>
      </c>
      <c r="K3396" t="s">
        <v>60</v>
      </c>
      <c r="L3396" t="s">
        <v>13</v>
      </c>
      <c r="M3396" t="s">
        <v>14</v>
      </c>
      <c r="N3396" t="s">
        <v>15</v>
      </c>
    </row>
    <row r="3397" spans="1:14" x14ac:dyDescent="0.25">
      <c r="A3397">
        <v>29163</v>
      </c>
      <c r="B3397">
        <v>12876</v>
      </c>
      <c r="C3397">
        <f>1/COUNTIF(B:B,pizza_sales[[#This Row],[order_id]])</f>
        <v>1</v>
      </c>
      <c r="D3397" t="s">
        <v>43</v>
      </c>
      <c r="E3397">
        <v>1</v>
      </c>
      <c r="F3397" s="1">
        <v>42071</v>
      </c>
      <c r="G3397" s="1" t="str">
        <f>TEXT(pizza_sales[[#This Row],[order_date]],"dddd")</f>
        <v>Sunday</v>
      </c>
      <c r="H3397" s="2">
        <v>0.58641203703703704</v>
      </c>
      <c r="I3397">
        <v>16.25</v>
      </c>
      <c r="J3397">
        <v>16.25</v>
      </c>
      <c r="K3397" t="s">
        <v>59</v>
      </c>
      <c r="L3397" t="s">
        <v>35</v>
      </c>
      <c r="M3397" t="s">
        <v>40</v>
      </c>
      <c r="N3397" t="s">
        <v>41</v>
      </c>
    </row>
    <row r="3398" spans="1:14" x14ac:dyDescent="0.25">
      <c r="A3398">
        <v>29165</v>
      </c>
      <c r="B3398">
        <v>12877</v>
      </c>
      <c r="C3398">
        <f>1/COUNTIF(B:B,pizza_sales[[#This Row],[order_id]])</f>
        <v>1</v>
      </c>
      <c r="D3398" t="s">
        <v>16</v>
      </c>
      <c r="E3398">
        <v>1</v>
      </c>
      <c r="F3398" s="1">
        <v>42071</v>
      </c>
      <c r="G3398" s="1" t="str">
        <f>TEXT(pizza_sales[[#This Row],[order_date]],"dddd")</f>
        <v>Sunday</v>
      </c>
      <c r="H3398" s="2">
        <v>0.60062499999999996</v>
      </c>
      <c r="I3398">
        <v>16</v>
      </c>
      <c r="J3398">
        <v>16</v>
      </c>
      <c r="K3398" t="s">
        <v>59</v>
      </c>
      <c r="L3398" t="s">
        <v>17</v>
      </c>
      <c r="M3398" t="s">
        <v>18</v>
      </c>
      <c r="N3398" t="s">
        <v>19</v>
      </c>
    </row>
    <row r="3399" spans="1:14" x14ac:dyDescent="0.25">
      <c r="A3399">
        <v>29171</v>
      </c>
      <c r="B3399">
        <v>12879</v>
      </c>
      <c r="C3399">
        <f>1/COUNTIF(B:B,pizza_sales[[#This Row],[order_id]])</f>
        <v>1</v>
      </c>
      <c r="D3399" t="s">
        <v>39</v>
      </c>
      <c r="E3399">
        <v>1</v>
      </c>
      <c r="F3399" s="1">
        <v>42071</v>
      </c>
      <c r="G3399" s="1" t="str">
        <f>TEXT(pizza_sales[[#This Row],[order_date]],"dddd")</f>
        <v>Sunday</v>
      </c>
      <c r="H3399" s="2">
        <v>0.60563657407407412</v>
      </c>
      <c r="I3399">
        <v>20.25</v>
      </c>
      <c r="J3399">
        <v>20.25</v>
      </c>
      <c r="K3399" t="s">
        <v>58</v>
      </c>
      <c r="L3399" t="s">
        <v>35</v>
      </c>
      <c r="M3399" t="s">
        <v>40</v>
      </c>
      <c r="N3399" t="s">
        <v>41</v>
      </c>
    </row>
    <row r="3400" spans="1:14" x14ac:dyDescent="0.25">
      <c r="A3400">
        <v>29174</v>
      </c>
      <c r="B3400">
        <v>12880</v>
      </c>
      <c r="C3400">
        <f>1/COUNTIF(B:B,pizza_sales[[#This Row],[order_id]])</f>
        <v>1</v>
      </c>
      <c r="D3400" t="s">
        <v>16</v>
      </c>
      <c r="E3400">
        <v>1</v>
      </c>
      <c r="F3400" s="1">
        <v>42071</v>
      </c>
      <c r="G3400" s="1" t="str">
        <f>TEXT(pizza_sales[[#This Row],[order_date]],"dddd")</f>
        <v>Sunday</v>
      </c>
      <c r="H3400" s="2">
        <v>0.60760416666666661</v>
      </c>
      <c r="I3400">
        <v>16</v>
      </c>
      <c r="J3400">
        <v>16</v>
      </c>
      <c r="K3400" t="s">
        <v>59</v>
      </c>
      <c r="L3400" t="s">
        <v>17</v>
      </c>
      <c r="M3400" t="s">
        <v>18</v>
      </c>
      <c r="N3400" t="s">
        <v>19</v>
      </c>
    </row>
    <row r="3401" spans="1:14" x14ac:dyDescent="0.25">
      <c r="A3401">
        <v>29175</v>
      </c>
      <c r="B3401">
        <v>12881</v>
      </c>
      <c r="C3401">
        <f>1/COUNTIF(B:B,pizza_sales[[#This Row],[order_id]])</f>
        <v>1</v>
      </c>
      <c r="D3401" t="s">
        <v>56</v>
      </c>
      <c r="E3401">
        <v>1</v>
      </c>
      <c r="F3401" s="1">
        <v>42071</v>
      </c>
      <c r="G3401" s="1" t="str">
        <f>TEXT(pizza_sales[[#This Row],[order_date]],"dddd")</f>
        <v>Sunday</v>
      </c>
      <c r="H3401" s="2">
        <v>0.60892361111111115</v>
      </c>
      <c r="I3401">
        <v>20.25</v>
      </c>
      <c r="J3401">
        <v>20.25</v>
      </c>
      <c r="K3401" t="s">
        <v>58</v>
      </c>
      <c r="L3401" t="s">
        <v>35</v>
      </c>
      <c r="M3401" t="s">
        <v>36</v>
      </c>
      <c r="N3401" t="s">
        <v>37</v>
      </c>
    </row>
    <row r="3402" spans="1:14" x14ac:dyDescent="0.25">
      <c r="A3402">
        <v>29179</v>
      </c>
      <c r="B3402">
        <v>12882</v>
      </c>
      <c r="C3402">
        <f>1/COUNTIF(B:B,pizza_sales[[#This Row],[order_id]])</f>
        <v>0.5</v>
      </c>
      <c r="D3402" t="s">
        <v>49</v>
      </c>
      <c r="E3402">
        <v>1</v>
      </c>
      <c r="F3402" s="1">
        <v>42071</v>
      </c>
      <c r="G3402" s="1" t="str">
        <f>TEXT(pizza_sales[[#This Row],[order_date]],"dddd")</f>
        <v>Sunday</v>
      </c>
      <c r="H3402" s="2">
        <v>0.6111226851851852</v>
      </c>
      <c r="I3402">
        <v>16</v>
      </c>
      <c r="J3402">
        <v>16</v>
      </c>
      <c r="K3402" t="s">
        <v>59</v>
      </c>
      <c r="L3402" t="s">
        <v>13</v>
      </c>
      <c r="M3402" t="s">
        <v>21</v>
      </c>
      <c r="N3402" t="s">
        <v>22</v>
      </c>
    </row>
    <row r="3403" spans="1:14" x14ac:dyDescent="0.25">
      <c r="A3403">
        <v>29180</v>
      </c>
      <c r="B3403">
        <v>12882</v>
      </c>
      <c r="C3403">
        <f>1/COUNTIF(B:B,pizza_sales[[#This Row],[order_id]])</f>
        <v>0.5</v>
      </c>
      <c r="D3403" t="s">
        <v>20</v>
      </c>
      <c r="E3403">
        <v>1</v>
      </c>
      <c r="F3403" s="1">
        <v>42071</v>
      </c>
      <c r="G3403" s="1" t="str">
        <f>TEXT(pizza_sales[[#This Row],[order_date]],"dddd")</f>
        <v>Sunday</v>
      </c>
      <c r="H3403" s="2">
        <v>0.6111226851851852</v>
      </c>
      <c r="I3403">
        <v>12</v>
      </c>
      <c r="J3403">
        <v>12</v>
      </c>
      <c r="K3403" t="s">
        <v>60</v>
      </c>
      <c r="L3403" t="s">
        <v>13</v>
      </c>
      <c r="M3403" t="s">
        <v>21</v>
      </c>
      <c r="N3403" t="s">
        <v>22</v>
      </c>
    </row>
    <row r="3404" spans="1:14" x14ac:dyDescent="0.25">
      <c r="A3404">
        <v>29181</v>
      </c>
      <c r="B3404">
        <v>12883</v>
      </c>
      <c r="C3404">
        <f>1/COUNTIF(B:B,pizza_sales[[#This Row],[order_id]])</f>
        <v>1</v>
      </c>
      <c r="D3404" t="s">
        <v>44</v>
      </c>
      <c r="E3404">
        <v>1</v>
      </c>
      <c r="F3404" s="1">
        <v>42071</v>
      </c>
      <c r="G3404" s="1" t="str">
        <f>TEXT(pizza_sales[[#This Row],[order_date]],"dddd")</f>
        <v>Sunday</v>
      </c>
      <c r="H3404" s="2">
        <v>0.63906249999999998</v>
      </c>
      <c r="I3404">
        <v>9.75</v>
      </c>
      <c r="J3404">
        <v>9.75</v>
      </c>
      <c r="K3404" t="s">
        <v>60</v>
      </c>
      <c r="L3404" t="s">
        <v>13</v>
      </c>
      <c r="M3404" t="s">
        <v>26</v>
      </c>
      <c r="N3404" t="s">
        <v>27</v>
      </c>
    </row>
    <row r="3405" spans="1:14" x14ac:dyDescent="0.25">
      <c r="A3405">
        <v>29182</v>
      </c>
      <c r="B3405">
        <v>12884</v>
      </c>
      <c r="C3405">
        <f>1/COUNTIF(B:B,pizza_sales[[#This Row],[order_id]])</f>
        <v>1</v>
      </c>
      <c r="D3405" t="s">
        <v>45</v>
      </c>
      <c r="E3405">
        <v>1</v>
      </c>
      <c r="F3405" s="1">
        <v>42071</v>
      </c>
      <c r="G3405" s="1" t="str">
        <f>TEXT(pizza_sales[[#This Row],[order_date]],"dddd")</f>
        <v>Sunday</v>
      </c>
      <c r="H3405" s="2">
        <v>0.64121527777777776</v>
      </c>
      <c r="I3405">
        <v>10.5</v>
      </c>
      <c r="J3405">
        <v>10.5</v>
      </c>
      <c r="K3405" t="s">
        <v>60</v>
      </c>
      <c r="L3405" t="s">
        <v>13</v>
      </c>
      <c r="M3405" t="s">
        <v>14</v>
      </c>
      <c r="N3405" t="s">
        <v>15</v>
      </c>
    </row>
    <row r="3406" spans="1:14" x14ac:dyDescent="0.25">
      <c r="A3406">
        <v>29187</v>
      </c>
      <c r="B3406">
        <v>12885</v>
      </c>
      <c r="C3406">
        <f>1/COUNTIF(B:B,pizza_sales[[#This Row],[order_id]])</f>
        <v>1</v>
      </c>
      <c r="D3406" t="s">
        <v>50</v>
      </c>
      <c r="E3406">
        <v>1</v>
      </c>
      <c r="F3406" s="1">
        <v>42071</v>
      </c>
      <c r="G3406" s="1" t="str">
        <f>TEXT(pizza_sales[[#This Row],[order_date]],"dddd")</f>
        <v>Sunday</v>
      </c>
      <c r="H3406" s="2">
        <v>0.68549768518518517</v>
      </c>
      <c r="I3406">
        <v>16</v>
      </c>
      <c r="J3406">
        <v>16</v>
      </c>
      <c r="K3406" t="s">
        <v>59</v>
      </c>
      <c r="L3406" t="s">
        <v>13</v>
      </c>
      <c r="M3406" t="s">
        <v>32</v>
      </c>
      <c r="N3406" t="s">
        <v>33</v>
      </c>
    </row>
    <row r="3407" spans="1:14" x14ac:dyDescent="0.25">
      <c r="A3407">
        <v>29188</v>
      </c>
      <c r="B3407">
        <v>12886</v>
      </c>
      <c r="C3407">
        <f>1/COUNTIF(B:B,pizza_sales[[#This Row],[order_id]])</f>
        <v>0.5</v>
      </c>
      <c r="D3407" t="s">
        <v>16</v>
      </c>
      <c r="E3407">
        <v>1</v>
      </c>
      <c r="F3407" s="1">
        <v>42071</v>
      </c>
      <c r="G3407" s="1" t="str">
        <f>TEXT(pizza_sales[[#This Row],[order_date]],"dddd")</f>
        <v>Sunday</v>
      </c>
      <c r="H3407" s="2">
        <v>0.689849537037037</v>
      </c>
      <c r="I3407">
        <v>16</v>
      </c>
      <c r="J3407">
        <v>16</v>
      </c>
      <c r="K3407" t="s">
        <v>59</v>
      </c>
      <c r="L3407" t="s">
        <v>17</v>
      </c>
      <c r="M3407" t="s">
        <v>18</v>
      </c>
      <c r="N3407" t="s">
        <v>19</v>
      </c>
    </row>
    <row r="3408" spans="1:14" x14ac:dyDescent="0.25">
      <c r="A3408">
        <v>29189</v>
      </c>
      <c r="B3408">
        <v>12886</v>
      </c>
      <c r="C3408">
        <f>1/COUNTIF(B:B,pizza_sales[[#This Row],[order_id]])</f>
        <v>0.5</v>
      </c>
      <c r="D3408" t="s">
        <v>42</v>
      </c>
      <c r="E3408">
        <v>1</v>
      </c>
      <c r="F3408" s="1">
        <v>42071</v>
      </c>
      <c r="G3408" s="1" t="str">
        <f>TEXT(pizza_sales[[#This Row],[order_date]],"dddd")</f>
        <v>Sunday</v>
      </c>
      <c r="H3408" s="2">
        <v>0.689849537037037</v>
      </c>
      <c r="I3408">
        <v>12.5</v>
      </c>
      <c r="J3408">
        <v>12.5</v>
      </c>
      <c r="K3408" t="s">
        <v>59</v>
      </c>
      <c r="L3408" t="s">
        <v>13</v>
      </c>
      <c r="M3408" t="s">
        <v>26</v>
      </c>
      <c r="N3408" t="s">
        <v>27</v>
      </c>
    </row>
    <row r="3409" spans="1:14" x14ac:dyDescent="0.25">
      <c r="A3409">
        <v>29196</v>
      </c>
      <c r="B3409">
        <v>12889</v>
      </c>
      <c r="C3409">
        <f>1/COUNTIF(B:B,pizza_sales[[#This Row],[order_id]])</f>
        <v>1</v>
      </c>
      <c r="D3409" t="s">
        <v>24</v>
      </c>
      <c r="E3409">
        <v>1</v>
      </c>
      <c r="F3409" s="1">
        <v>42071</v>
      </c>
      <c r="G3409" s="1" t="str">
        <f>TEXT(pizza_sales[[#This Row],[order_date]],"dddd")</f>
        <v>Sunday</v>
      </c>
      <c r="H3409" s="2">
        <v>0.72028935185185183</v>
      </c>
      <c r="I3409">
        <v>20.25</v>
      </c>
      <c r="J3409">
        <v>20.25</v>
      </c>
      <c r="K3409" t="s">
        <v>58</v>
      </c>
      <c r="L3409" t="s">
        <v>17</v>
      </c>
      <c r="M3409" t="s">
        <v>18</v>
      </c>
      <c r="N3409" t="s">
        <v>19</v>
      </c>
    </row>
    <row r="3410" spans="1:14" x14ac:dyDescent="0.25">
      <c r="A3410">
        <v>29199</v>
      </c>
      <c r="B3410">
        <v>12891</v>
      </c>
      <c r="C3410">
        <f>1/COUNTIF(B:B,pizza_sales[[#This Row],[order_id]])</f>
        <v>1</v>
      </c>
      <c r="D3410" t="s">
        <v>38</v>
      </c>
      <c r="E3410">
        <v>1</v>
      </c>
      <c r="F3410" s="1">
        <v>42071</v>
      </c>
      <c r="G3410" s="1" t="str">
        <f>TEXT(pizza_sales[[#This Row],[order_date]],"dddd")</f>
        <v>Sunday</v>
      </c>
      <c r="H3410" s="2">
        <v>0.75730324074074074</v>
      </c>
      <c r="I3410">
        <v>20.5</v>
      </c>
      <c r="J3410">
        <v>20.5</v>
      </c>
      <c r="K3410" t="s">
        <v>58</v>
      </c>
      <c r="L3410" t="s">
        <v>13</v>
      </c>
      <c r="M3410" t="s">
        <v>32</v>
      </c>
      <c r="N3410" t="s">
        <v>33</v>
      </c>
    </row>
    <row r="3411" spans="1:14" x14ac:dyDescent="0.25">
      <c r="A3411">
        <v>29203</v>
      </c>
      <c r="B3411">
        <v>12892</v>
      </c>
      <c r="C3411">
        <f>1/COUNTIF(B:B,pizza_sales[[#This Row],[order_id]])</f>
        <v>1</v>
      </c>
      <c r="D3411" t="s">
        <v>24</v>
      </c>
      <c r="E3411">
        <v>1</v>
      </c>
      <c r="F3411" s="1">
        <v>42071</v>
      </c>
      <c r="G3411" s="1" t="str">
        <f>TEXT(pizza_sales[[#This Row],[order_date]],"dddd")</f>
        <v>Sunday</v>
      </c>
      <c r="H3411" s="2">
        <v>0.77248842592592593</v>
      </c>
      <c r="I3411">
        <v>20.25</v>
      </c>
      <c r="J3411">
        <v>20.25</v>
      </c>
      <c r="K3411" t="s">
        <v>58</v>
      </c>
      <c r="L3411" t="s">
        <v>17</v>
      </c>
      <c r="M3411" t="s">
        <v>18</v>
      </c>
      <c r="N3411" t="s">
        <v>19</v>
      </c>
    </row>
    <row r="3412" spans="1:14" x14ac:dyDescent="0.25">
      <c r="A3412">
        <v>29210</v>
      </c>
      <c r="B3412">
        <v>12897</v>
      </c>
      <c r="C3412">
        <f>1/COUNTIF(B:B,pizza_sales[[#This Row],[order_id]])</f>
        <v>0.5</v>
      </c>
      <c r="D3412" t="s">
        <v>28</v>
      </c>
      <c r="E3412">
        <v>1</v>
      </c>
      <c r="F3412" s="1">
        <v>42071</v>
      </c>
      <c r="G3412" s="1" t="str">
        <f>TEXT(pizza_sales[[#This Row],[order_date]],"dddd")</f>
        <v>Sunday</v>
      </c>
      <c r="H3412" s="2">
        <v>0.79484953703703709</v>
      </c>
      <c r="I3412">
        <v>12</v>
      </c>
      <c r="J3412">
        <v>12</v>
      </c>
      <c r="K3412" t="s">
        <v>60</v>
      </c>
      <c r="L3412" t="s">
        <v>13</v>
      </c>
      <c r="M3412" t="s">
        <v>29</v>
      </c>
      <c r="N3412" t="s">
        <v>30</v>
      </c>
    </row>
    <row r="3413" spans="1:14" x14ac:dyDescent="0.25">
      <c r="A3413">
        <v>29211</v>
      </c>
      <c r="B3413">
        <v>12897</v>
      </c>
      <c r="C3413">
        <f>1/COUNTIF(B:B,pizza_sales[[#This Row],[order_id]])</f>
        <v>0.5</v>
      </c>
      <c r="D3413" t="s">
        <v>34</v>
      </c>
      <c r="E3413">
        <v>1</v>
      </c>
      <c r="F3413" s="1">
        <v>42071</v>
      </c>
      <c r="G3413" s="1" t="str">
        <f>TEXT(pizza_sales[[#This Row],[order_date]],"dddd")</f>
        <v>Sunday</v>
      </c>
      <c r="H3413" s="2">
        <v>0.79484953703703709</v>
      </c>
      <c r="I3413">
        <v>16.25</v>
      </c>
      <c r="J3413">
        <v>16.25</v>
      </c>
      <c r="K3413" t="s">
        <v>59</v>
      </c>
      <c r="L3413" t="s">
        <v>35</v>
      </c>
      <c r="M3413" t="s">
        <v>36</v>
      </c>
      <c r="N3413" t="s">
        <v>37</v>
      </c>
    </row>
    <row r="3414" spans="1:14" x14ac:dyDescent="0.25">
      <c r="A3414">
        <v>29222</v>
      </c>
      <c r="B3414">
        <v>12901</v>
      </c>
      <c r="C3414">
        <f>1/COUNTIF(B:B,pizza_sales[[#This Row],[order_id]])</f>
        <v>1</v>
      </c>
      <c r="D3414" t="s">
        <v>24</v>
      </c>
      <c r="E3414">
        <v>1</v>
      </c>
      <c r="F3414" s="1">
        <v>42071</v>
      </c>
      <c r="G3414" s="1" t="str">
        <f>TEXT(pizza_sales[[#This Row],[order_date]],"dddd")</f>
        <v>Sunday</v>
      </c>
      <c r="H3414" s="2">
        <v>0.82112268518518516</v>
      </c>
      <c r="I3414">
        <v>20.25</v>
      </c>
      <c r="J3414">
        <v>20.25</v>
      </c>
      <c r="K3414" t="s">
        <v>58</v>
      </c>
      <c r="L3414" t="s">
        <v>17</v>
      </c>
      <c r="M3414" t="s">
        <v>18</v>
      </c>
      <c r="N3414" t="s">
        <v>19</v>
      </c>
    </row>
    <row r="3415" spans="1:14" x14ac:dyDescent="0.25">
      <c r="A3415">
        <v>29224</v>
      </c>
      <c r="B3415">
        <v>12902</v>
      </c>
      <c r="C3415">
        <f>1/COUNTIF(B:B,pizza_sales[[#This Row],[order_id]])</f>
        <v>1</v>
      </c>
      <c r="D3415" t="s">
        <v>55</v>
      </c>
      <c r="E3415">
        <v>1</v>
      </c>
      <c r="F3415" s="1">
        <v>42071</v>
      </c>
      <c r="G3415" s="1" t="str">
        <f>TEXT(pizza_sales[[#This Row],[order_date]],"dddd")</f>
        <v>Sunday</v>
      </c>
      <c r="H3415" s="2">
        <v>0.83704861111111106</v>
      </c>
      <c r="I3415">
        <v>20.5</v>
      </c>
      <c r="J3415">
        <v>20.5</v>
      </c>
      <c r="K3415" t="s">
        <v>58</v>
      </c>
      <c r="L3415" t="s">
        <v>13</v>
      </c>
      <c r="M3415" t="s">
        <v>21</v>
      </c>
      <c r="N3415" t="s">
        <v>22</v>
      </c>
    </row>
    <row r="3416" spans="1:14" x14ac:dyDescent="0.25">
      <c r="A3416">
        <v>29232</v>
      </c>
      <c r="B3416">
        <v>12906</v>
      </c>
      <c r="C3416">
        <f>1/COUNTIF(B:B,pizza_sales[[#This Row],[order_id]])</f>
        <v>1</v>
      </c>
      <c r="D3416" t="s">
        <v>28</v>
      </c>
      <c r="E3416">
        <v>1</v>
      </c>
      <c r="F3416" s="1">
        <v>42071</v>
      </c>
      <c r="G3416" s="1" t="str">
        <f>TEXT(pizza_sales[[#This Row],[order_date]],"dddd")</f>
        <v>Sunday</v>
      </c>
      <c r="H3416" s="2">
        <v>0.85771990740740744</v>
      </c>
      <c r="I3416">
        <v>12</v>
      </c>
      <c r="J3416">
        <v>12</v>
      </c>
      <c r="K3416" t="s">
        <v>60</v>
      </c>
      <c r="L3416" t="s">
        <v>13</v>
      </c>
      <c r="M3416" t="s">
        <v>29</v>
      </c>
      <c r="N3416" t="s">
        <v>30</v>
      </c>
    </row>
    <row r="3417" spans="1:14" x14ac:dyDescent="0.25">
      <c r="A3417">
        <v>29245</v>
      </c>
      <c r="B3417">
        <v>12914</v>
      </c>
      <c r="C3417">
        <f>1/COUNTIF(B:B,pizza_sales[[#This Row],[order_id]])</f>
        <v>1</v>
      </c>
      <c r="D3417" t="s">
        <v>39</v>
      </c>
      <c r="E3417">
        <v>1</v>
      </c>
      <c r="F3417" s="1">
        <v>42102</v>
      </c>
      <c r="G3417" s="1" t="str">
        <f>TEXT(pizza_sales[[#This Row],[order_date]],"dddd")</f>
        <v>Wednesday</v>
      </c>
      <c r="H3417" s="2">
        <v>0.49291666666666667</v>
      </c>
      <c r="I3417">
        <v>20.25</v>
      </c>
      <c r="J3417">
        <v>20.25</v>
      </c>
      <c r="K3417" t="s">
        <v>58</v>
      </c>
      <c r="L3417" t="s">
        <v>35</v>
      </c>
      <c r="M3417" t="s">
        <v>40</v>
      </c>
      <c r="N3417" t="s">
        <v>41</v>
      </c>
    </row>
    <row r="3418" spans="1:14" x14ac:dyDescent="0.25">
      <c r="A3418">
        <v>29258</v>
      </c>
      <c r="B3418">
        <v>12917</v>
      </c>
      <c r="C3418">
        <f>1/COUNTIF(B:B,pizza_sales[[#This Row],[order_id]])</f>
        <v>1</v>
      </c>
      <c r="D3418" t="s">
        <v>48</v>
      </c>
      <c r="E3418">
        <v>1</v>
      </c>
      <c r="F3418" s="1">
        <v>42102</v>
      </c>
      <c r="G3418" s="1" t="str">
        <f>TEXT(pizza_sales[[#This Row],[order_date]],"dddd")</f>
        <v>Wednesday</v>
      </c>
      <c r="H3418" s="2">
        <v>0.52682870370370372</v>
      </c>
      <c r="I3418">
        <v>12.25</v>
      </c>
      <c r="J3418">
        <v>12.25</v>
      </c>
      <c r="K3418" t="s">
        <v>60</v>
      </c>
      <c r="L3418" t="s">
        <v>35</v>
      </c>
      <c r="M3418" t="s">
        <v>40</v>
      </c>
      <c r="N3418" t="s">
        <v>41</v>
      </c>
    </row>
    <row r="3419" spans="1:14" x14ac:dyDescent="0.25">
      <c r="A3419">
        <v>29261</v>
      </c>
      <c r="B3419">
        <v>12919</v>
      </c>
      <c r="C3419">
        <f>1/COUNTIF(B:B,pizza_sales[[#This Row],[order_id]])</f>
        <v>1</v>
      </c>
      <c r="D3419" t="s">
        <v>34</v>
      </c>
      <c r="E3419">
        <v>1</v>
      </c>
      <c r="F3419" s="1">
        <v>42102</v>
      </c>
      <c r="G3419" s="1" t="str">
        <f>TEXT(pizza_sales[[#This Row],[order_date]],"dddd")</f>
        <v>Wednesday</v>
      </c>
      <c r="H3419" s="2">
        <v>0.53442129629629631</v>
      </c>
      <c r="I3419">
        <v>16.25</v>
      </c>
      <c r="J3419">
        <v>16.25</v>
      </c>
      <c r="K3419" t="s">
        <v>59</v>
      </c>
      <c r="L3419" t="s">
        <v>35</v>
      </c>
      <c r="M3419" t="s">
        <v>36</v>
      </c>
      <c r="N3419" t="s">
        <v>37</v>
      </c>
    </row>
    <row r="3420" spans="1:14" x14ac:dyDescent="0.25">
      <c r="A3420">
        <v>29271</v>
      </c>
      <c r="B3420">
        <v>12923</v>
      </c>
      <c r="C3420">
        <f>1/COUNTIF(B:B,pizza_sales[[#This Row],[order_id]])</f>
        <v>1</v>
      </c>
      <c r="D3420" t="s">
        <v>46</v>
      </c>
      <c r="E3420">
        <v>1</v>
      </c>
      <c r="F3420" s="1">
        <v>42102</v>
      </c>
      <c r="G3420" s="1" t="str">
        <f>TEXT(pizza_sales[[#This Row],[order_date]],"dddd")</f>
        <v>Wednesday</v>
      </c>
      <c r="H3420" s="2">
        <v>0.55371527777777774</v>
      </c>
      <c r="I3420">
        <v>25.5</v>
      </c>
      <c r="J3420">
        <v>25.5</v>
      </c>
      <c r="K3420" t="s">
        <v>61</v>
      </c>
      <c r="L3420" t="s">
        <v>13</v>
      </c>
      <c r="M3420" t="s">
        <v>21</v>
      </c>
      <c r="N3420" t="s">
        <v>22</v>
      </c>
    </row>
    <row r="3421" spans="1:14" x14ac:dyDescent="0.25">
      <c r="A3421">
        <v>29273</v>
      </c>
      <c r="B3421">
        <v>12925</v>
      </c>
      <c r="C3421">
        <f>1/COUNTIF(B:B,pizza_sales[[#This Row],[order_id]])</f>
        <v>1</v>
      </c>
      <c r="D3421" t="s">
        <v>43</v>
      </c>
      <c r="E3421">
        <v>1</v>
      </c>
      <c r="F3421" s="1">
        <v>42102</v>
      </c>
      <c r="G3421" s="1" t="str">
        <f>TEXT(pizza_sales[[#This Row],[order_date]],"dddd")</f>
        <v>Wednesday</v>
      </c>
      <c r="H3421" s="2">
        <v>0.57026620370370373</v>
      </c>
      <c r="I3421">
        <v>16.25</v>
      </c>
      <c r="J3421">
        <v>16.25</v>
      </c>
      <c r="K3421" t="s">
        <v>59</v>
      </c>
      <c r="L3421" t="s">
        <v>35</v>
      </c>
      <c r="M3421" t="s">
        <v>40</v>
      </c>
      <c r="N3421" t="s">
        <v>41</v>
      </c>
    </row>
    <row r="3422" spans="1:14" x14ac:dyDescent="0.25">
      <c r="A3422">
        <v>29275</v>
      </c>
      <c r="B3422">
        <v>12926</v>
      </c>
      <c r="C3422">
        <f>1/COUNTIF(B:B,pizza_sales[[#This Row],[order_id]])</f>
        <v>1</v>
      </c>
      <c r="D3422" t="s">
        <v>39</v>
      </c>
      <c r="E3422">
        <v>1</v>
      </c>
      <c r="F3422" s="1">
        <v>42102</v>
      </c>
      <c r="G3422" s="1" t="str">
        <f>TEXT(pizza_sales[[#This Row],[order_date]],"dddd")</f>
        <v>Wednesday</v>
      </c>
      <c r="H3422" s="2">
        <v>0.57128472222222226</v>
      </c>
      <c r="I3422">
        <v>20.25</v>
      </c>
      <c r="J3422">
        <v>20.25</v>
      </c>
      <c r="K3422" t="s">
        <v>58</v>
      </c>
      <c r="L3422" t="s">
        <v>35</v>
      </c>
      <c r="M3422" t="s">
        <v>40</v>
      </c>
      <c r="N3422" t="s">
        <v>41</v>
      </c>
    </row>
    <row r="3423" spans="1:14" x14ac:dyDescent="0.25">
      <c r="A3423">
        <v>29277</v>
      </c>
      <c r="B3423">
        <v>12928</v>
      </c>
      <c r="C3423">
        <f>1/COUNTIF(B:B,pizza_sales[[#This Row],[order_id]])</f>
        <v>0.33333333333333331</v>
      </c>
      <c r="D3423" t="s">
        <v>28</v>
      </c>
      <c r="E3423">
        <v>1</v>
      </c>
      <c r="F3423" s="1">
        <v>42102</v>
      </c>
      <c r="G3423" s="1" t="str">
        <f>TEXT(pizza_sales[[#This Row],[order_date]],"dddd")</f>
        <v>Wednesday</v>
      </c>
      <c r="H3423" s="2">
        <v>0.57814814814814819</v>
      </c>
      <c r="I3423">
        <v>12</v>
      </c>
      <c r="J3423">
        <v>12</v>
      </c>
      <c r="K3423" t="s">
        <v>60</v>
      </c>
      <c r="L3423" t="s">
        <v>13</v>
      </c>
      <c r="M3423" t="s">
        <v>29</v>
      </c>
      <c r="N3423" t="s">
        <v>30</v>
      </c>
    </row>
    <row r="3424" spans="1:14" x14ac:dyDescent="0.25">
      <c r="A3424">
        <v>29282</v>
      </c>
      <c r="B3424">
        <v>12928</v>
      </c>
      <c r="C3424">
        <f>1/COUNTIF(B:B,pizza_sales[[#This Row],[order_id]])</f>
        <v>0.33333333333333331</v>
      </c>
      <c r="D3424" t="s">
        <v>47</v>
      </c>
      <c r="E3424">
        <v>1</v>
      </c>
      <c r="F3424" s="1">
        <v>42102</v>
      </c>
      <c r="G3424" s="1" t="str">
        <f>TEXT(pizza_sales[[#This Row],[order_date]],"dddd")</f>
        <v>Wednesday</v>
      </c>
      <c r="H3424" s="2">
        <v>0.57814814814814819</v>
      </c>
      <c r="I3424">
        <v>16.5</v>
      </c>
      <c r="J3424">
        <v>16.5</v>
      </c>
      <c r="K3424" t="s">
        <v>58</v>
      </c>
      <c r="L3424" t="s">
        <v>13</v>
      </c>
      <c r="M3424" t="s">
        <v>14</v>
      </c>
      <c r="N3424" t="s">
        <v>15</v>
      </c>
    </row>
    <row r="3425" spans="1:14" x14ac:dyDescent="0.25">
      <c r="A3425">
        <v>29285</v>
      </c>
      <c r="B3425">
        <v>12928</v>
      </c>
      <c r="C3425">
        <f>1/COUNTIF(B:B,pizza_sales[[#This Row],[order_id]])</f>
        <v>0.33333333333333331</v>
      </c>
      <c r="D3425" t="s">
        <v>39</v>
      </c>
      <c r="E3425">
        <v>1</v>
      </c>
      <c r="F3425" s="1">
        <v>42102</v>
      </c>
      <c r="G3425" s="1" t="str">
        <f>TEXT(pizza_sales[[#This Row],[order_date]],"dddd")</f>
        <v>Wednesday</v>
      </c>
      <c r="H3425" s="2">
        <v>0.57814814814814819</v>
      </c>
      <c r="I3425">
        <v>20.25</v>
      </c>
      <c r="J3425">
        <v>20.25</v>
      </c>
      <c r="K3425" t="s">
        <v>58</v>
      </c>
      <c r="L3425" t="s">
        <v>35</v>
      </c>
      <c r="M3425" t="s">
        <v>40</v>
      </c>
      <c r="N3425" t="s">
        <v>41</v>
      </c>
    </row>
    <row r="3426" spans="1:14" x14ac:dyDescent="0.25">
      <c r="A3426">
        <v>29293</v>
      </c>
      <c r="B3426">
        <v>12930</v>
      </c>
      <c r="C3426">
        <f>1/COUNTIF(B:B,pizza_sales[[#This Row],[order_id]])</f>
        <v>1</v>
      </c>
      <c r="D3426" t="s">
        <v>49</v>
      </c>
      <c r="E3426">
        <v>1</v>
      </c>
      <c r="F3426" s="1">
        <v>42102</v>
      </c>
      <c r="G3426" s="1" t="str">
        <f>TEXT(pizza_sales[[#This Row],[order_date]],"dddd")</f>
        <v>Wednesday</v>
      </c>
      <c r="H3426" s="2">
        <v>0.59710648148148149</v>
      </c>
      <c r="I3426">
        <v>16</v>
      </c>
      <c r="J3426">
        <v>16</v>
      </c>
      <c r="K3426" t="s">
        <v>59</v>
      </c>
      <c r="L3426" t="s">
        <v>13</v>
      </c>
      <c r="M3426" t="s">
        <v>21</v>
      </c>
      <c r="N3426" t="s">
        <v>22</v>
      </c>
    </row>
    <row r="3427" spans="1:14" x14ac:dyDescent="0.25">
      <c r="A3427">
        <v>29297</v>
      </c>
      <c r="B3427">
        <v>12932</v>
      </c>
      <c r="C3427">
        <f>1/COUNTIF(B:B,pizza_sales[[#This Row],[order_id]])</f>
        <v>1</v>
      </c>
      <c r="D3427" t="s">
        <v>12</v>
      </c>
      <c r="E3427">
        <v>1</v>
      </c>
      <c r="F3427" s="1">
        <v>42102</v>
      </c>
      <c r="G3427" s="1" t="str">
        <f>TEXT(pizza_sales[[#This Row],[order_date]],"dddd")</f>
        <v>Wednesday</v>
      </c>
      <c r="H3427" s="2">
        <v>0.62155092592592598</v>
      </c>
      <c r="I3427">
        <v>13.25</v>
      </c>
      <c r="J3427">
        <v>13.25</v>
      </c>
      <c r="K3427" t="s">
        <v>59</v>
      </c>
      <c r="L3427" t="s">
        <v>13</v>
      </c>
      <c r="M3427" t="s">
        <v>14</v>
      </c>
      <c r="N3427" t="s">
        <v>15</v>
      </c>
    </row>
    <row r="3428" spans="1:14" x14ac:dyDescent="0.25">
      <c r="A3428">
        <v>29299</v>
      </c>
      <c r="B3428">
        <v>12933</v>
      </c>
      <c r="C3428">
        <f>1/COUNTIF(B:B,pizza_sales[[#This Row],[order_id]])</f>
        <v>1</v>
      </c>
      <c r="D3428" t="s">
        <v>34</v>
      </c>
      <c r="E3428">
        <v>1</v>
      </c>
      <c r="F3428" s="1">
        <v>42102</v>
      </c>
      <c r="G3428" s="1" t="str">
        <f>TEXT(pizza_sales[[#This Row],[order_date]],"dddd")</f>
        <v>Wednesday</v>
      </c>
      <c r="H3428" s="2">
        <v>0.62785879629629626</v>
      </c>
      <c r="I3428">
        <v>16.25</v>
      </c>
      <c r="J3428">
        <v>16.25</v>
      </c>
      <c r="K3428" t="s">
        <v>59</v>
      </c>
      <c r="L3428" t="s">
        <v>35</v>
      </c>
      <c r="M3428" t="s">
        <v>36</v>
      </c>
      <c r="N3428" t="s">
        <v>37</v>
      </c>
    </row>
    <row r="3429" spans="1:14" x14ac:dyDescent="0.25">
      <c r="A3429">
        <v>29301</v>
      </c>
      <c r="B3429">
        <v>12935</v>
      </c>
      <c r="C3429">
        <f>1/COUNTIF(B:B,pizza_sales[[#This Row],[order_id]])</f>
        <v>1</v>
      </c>
      <c r="D3429" t="s">
        <v>46</v>
      </c>
      <c r="E3429">
        <v>1</v>
      </c>
      <c r="F3429" s="1">
        <v>42102</v>
      </c>
      <c r="G3429" s="1" t="str">
        <f>TEXT(pizza_sales[[#This Row],[order_date]],"dddd")</f>
        <v>Wednesday</v>
      </c>
      <c r="H3429" s="2">
        <v>0.63568287037037041</v>
      </c>
      <c r="I3429">
        <v>25.5</v>
      </c>
      <c r="J3429">
        <v>25.5</v>
      </c>
      <c r="K3429" t="s">
        <v>61</v>
      </c>
      <c r="L3429" t="s">
        <v>13</v>
      </c>
      <c r="M3429" t="s">
        <v>21</v>
      </c>
      <c r="N3429" t="s">
        <v>22</v>
      </c>
    </row>
    <row r="3430" spans="1:14" x14ac:dyDescent="0.25">
      <c r="A3430">
        <v>29303</v>
      </c>
      <c r="B3430">
        <v>12937</v>
      </c>
      <c r="C3430">
        <f>1/COUNTIF(B:B,pizza_sales[[#This Row],[order_id]])</f>
        <v>1</v>
      </c>
      <c r="D3430" t="s">
        <v>31</v>
      </c>
      <c r="E3430">
        <v>1</v>
      </c>
      <c r="F3430" s="1">
        <v>42102</v>
      </c>
      <c r="G3430" s="1" t="str">
        <f>TEXT(pizza_sales[[#This Row],[order_date]],"dddd")</f>
        <v>Wednesday</v>
      </c>
      <c r="H3430" s="2">
        <v>0.69082175925925926</v>
      </c>
      <c r="I3430">
        <v>12</v>
      </c>
      <c r="J3430">
        <v>12</v>
      </c>
      <c r="K3430" t="s">
        <v>60</v>
      </c>
      <c r="L3430" t="s">
        <v>13</v>
      </c>
      <c r="M3430" t="s">
        <v>32</v>
      </c>
      <c r="N3430" t="s">
        <v>33</v>
      </c>
    </row>
    <row r="3431" spans="1:14" x14ac:dyDescent="0.25">
      <c r="A3431">
        <v>29304</v>
      </c>
      <c r="B3431">
        <v>12938</v>
      </c>
      <c r="C3431">
        <f>1/COUNTIF(B:B,pizza_sales[[#This Row],[order_id]])</f>
        <v>1</v>
      </c>
      <c r="D3431" t="s">
        <v>51</v>
      </c>
      <c r="E3431">
        <v>1</v>
      </c>
      <c r="F3431" s="1">
        <v>42102</v>
      </c>
      <c r="G3431" s="1" t="str">
        <f>TEXT(pizza_sales[[#This Row],[order_date]],"dddd")</f>
        <v>Wednesday</v>
      </c>
      <c r="H3431" s="2">
        <v>0.69115740740740739</v>
      </c>
      <c r="I3431">
        <v>23.65</v>
      </c>
      <c r="J3431">
        <v>23.65</v>
      </c>
      <c r="K3431" t="s">
        <v>60</v>
      </c>
      <c r="L3431" t="s">
        <v>35</v>
      </c>
      <c r="M3431" t="s">
        <v>52</v>
      </c>
      <c r="N3431" t="s">
        <v>53</v>
      </c>
    </row>
    <row r="3432" spans="1:14" x14ac:dyDescent="0.25">
      <c r="A3432">
        <v>29306</v>
      </c>
      <c r="B3432">
        <v>12939</v>
      </c>
      <c r="C3432">
        <f>1/COUNTIF(B:B,pizza_sales[[#This Row],[order_id]])</f>
        <v>1</v>
      </c>
      <c r="D3432" t="s">
        <v>50</v>
      </c>
      <c r="E3432">
        <v>1</v>
      </c>
      <c r="F3432" s="1">
        <v>42102</v>
      </c>
      <c r="G3432" s="1" t="str">
        <f>TEXT(pizza_sales[[#This Row],[order_date]],"dddd")</f>
        <v>Wednesday</v>
      </c>
      <c r="H3432" s="2">
        <v>0.69166666666666665</v>
      </c>
      <c r="I3432">
        <v>16</v>
      </c>
      <c r="J3432">
        <v>16</v>
      </c>
      <c r="K3432" t="s">
        <v>59</v>
      </c>
      <c r="L3432" t="s">
        <v>13</v>
      </c>
      <c r="M3432" t="s">
        <v>32</v>
      </c>
      <c r="N3432" t="s">
        <v>33</v>
      </c>
    </row>
    <row r="3433" spans="1:14" x14ac:dyDescent="0.25">
      <c r="A3433">
        <v>29308</v>
      </c>
      <c r="B3433">
        <v>12940</v>
      </c>
      <c r="C3433">
        <f>1/COUNTIF(B:B,pizza_sales[[#This Row],[order_id]])</f>
        <v>1</v>
      </c>
      <c r="D3433" t="s">
        <v>56</v>
      </c>
      <c r="E3433">
        <v>1</v>
      </c>
      <c r="F3433" s="1">
        <v>42102</v>
      </c>
      <c r="G3433" s="1" t="str">
        <f>TEXT(pizza_sales[[#This Row],[order_date]],"dddd")</f>
        <v>Wednesday</v>
      </c>
      <c r="H3433" s="2">
        <v>0.69376157407407413</v>
      </c>
      <c r="I3433">
        <v>20.25</v>
      </c>
      <c r="J3433">
        <v>20.25</v>
      </c>
      <c r="K3433" t="s">
        <v>58</v>
      </c>
      <c r="L3433" t="s">
        <v>35</v>
      </c>
      <c r="M3433" t="s">
        <v>36</v>
      </c>
      <c r="N3433" t="s">
        <v>37</v>
      </c>
    </row>
    <row r="3434" spans="1:14" x14ac:dyDescent="0.25">
      <c r="A3434">
        <v>29313</v>
      </c>
      <c r="B3434">
        <v>12942</v>
      </c>
      <c r="C3434">
        <f>1/COUNTIF(B:B,pizza_sales[[#This Row],[order_id]])</f>
        <v>0.5</v>
      </c>
      <c r="D3434" t="s">
        <v>28</v>
      </c>
      <c r="E3434">
        <v>1</v>
      </c>
      <c r="F3434" s="1">
        <v>42102</v>
      </c>
      <c r="G3434" s="1" t="str">
        <f>TEXT(pizza_sales[[#This Row],[order_date]],"dddd")</f>
        <v>Wednesday</v>
      </c>
      <c r="H3434" s="2">
        <v>0.70116898148148143</v>
      </c>
      <c r="I3434">
        <v>12</v>
      </c>
      <c r="J3434">
        <v>12</v>
      </c>
      <c r="K3434" t="s">
        <v>60</v>
      </c>
      <c r="L3434" t="s">
        <v>13</v>
      </c>
      <c r="M3434" t="s">
        <v>29</v>
      </c>
      <c r="N3434" t="s">
        <v>30</v>
      </c>
    </row>
    <row r="3435" spans="1:14" x14ac:dyDescent="0.25">
      <c r="A3435">
        <v>29316</v>
      </c>
      <c r="B3435">
        <v>12942</v>
      </c>
      <c r="C3435">
        <f>1/COUNTIF(B:B,pizza_sales[[#This Row],[order_id]])</f>
        <v>0.5</v>
      </c>
      <c r="D3435" t="s">
        <v>50</v>
      </c>
      <c r="E3435">
        <v>1</v>
      </c>
      <c r="F3435" s="1">
        <v>42102</v>
      </c>
      <c r="G3435" s="1" t="str">
        <f>TEXT(pizza_sales[[#This Row],[order_date]],"dddd")</f>
        <v>Wednesday</v>
      </c>
      <c r="H3435" s="2">
        <v>0.70116898148148143</v>
      </c>
      <c r="I3435">
        <v>16</v>
      </c>
      <c r="J3435">
        <v>16</v>
      </c>
      <c r="K3435" t="s">
        <v>59</v>
      </c>
      <c r="L3435" t="s">
        <v>13</v>
      </c>
      <c r="M3435" t="s">
        <v>32</v>
      </c>
      <c r="N3435" t="s">
        <v>33</v>
      </c>
    </row>
    <row r="3436" spans="1:14" x14ac:dyDescent="0.25">
      <c r="A3436">
        <v>29321</v>
      </c>
      <c r="B3436">
        <v>12946</v>
      </c>
      <c r="C3436">
        <f>1/COUNTIF(B:B,pizza_sales[[#This Row],[order_id]])</f>
        <v>1</v>
      </c>
      <c r="D3436" t="s">
        <v>31</v>
      </c>
      <c r="E3436">
        <v>1</v>
      </c>
      <c r="F3436" s="1">
        <v>42102</v>
      </c>
      <c r="G3436" s="1" t="str">
        <f>TEXT(pizza_sales[[#This Row],[order_date]],"dddd")</f>
        <v>Wednesday</v>
      </c>
      <c r="H3436" s="2">
        <v>0.72744212962962962</v>
      </c>
      <c r="I3436">
        <v>12</v>
      </c>
      <c r="J3436">
        <v>12</v>
      </c>
      <c r="K3436" t="s">
        <v>60</v>
      </c>
      <c r="L3436" t="s">
        <v>13</v>
      </c>
      <c r="M3436" t="s">
        <v>32</v>
      </c>
      <c r="N3436" t="s">
        <v>33</v>
      </c>
    </row>
    <row r="3437" spans="1:14" x14ac:dyDescent="0.25">
      <c r="A3437">
        <v>29324</v>
      </c>
      <c r="B3437">
        <v>12947</v>
      </c>
      <c r="C3437">
        <f>1/COUNTIF(B:B,pizza_sales[[#This Row],[order_id]])</f>
        <v>1</v>
      </c>
      <c r="D3437" t="s">
        <v>47</v>
      </c>
      <c r="E3437">
        <v>1</v>
      </c>
      <c r="F3437" s="1">
        <v>42102</v>
      </c>
      <c r="G3437" s="1" t="str">
        <f>TEXT(pizza_sales[[#This Row],[order_date]],"dddd")</f>
        <v>Wednesday</v>
      </c>
      <c r="H3437" s="2">
        <v>0.73640046296296291</v>
      </c>
      <c r="I3437">
        <v>16.5</v>
      </c>
      <c r="J3437">
        <v>16.5</v>
      </c>
      <c r="K3437" t="s">
        <v>58</v>
      </c>
      <c r="L3437" t="s">
        <v>13</v>
      </c>
      <c r="M3437" t="s">
        <v>14</v>
      </c>
      <c r="N3437" t="s">
        <v>15</v>
      </c>
    </row>
    <row r="3438" spans="1:14" x14ac:dyDescent="0.25">
      <c r="A3438">
        <v>29327</v>
      </c>
      <c r="B3438">
        <v>12949</v>
      </c>
      <c r="C3438">
        <f>1/COUNTIF(B:B,pizza_sales[[#This Row],[order_id]])</f>
        <v>1</v>
      </c>
      <c r="D3438" t="s">
        <v>24</v>
      </c>
      <c r="E3438">
        <v>1</v>
      </c>
      <c r="F3438" s="1">
        <v>42102</v>
      </c>
      <c r="G3438" s="1" t="str">
        <f>TEXT(pizza_sales[[#This Row],[order_date]],"dddd")</f>
        <v>Wednesday</v>
      </c>
      <c r="H3438" s="2">
        <v>0.75723379629629628</v>
      </c>
      <c r="I3438">
        <v>20.25</v>
      </c>
      <c r="J3438">
        <v>20.25</v>
      </c>
      <c r="K3438" t="s">
        <v>58</v>
      </c>
      <c r="L3438" t="s">
        <v>17</v>
      </c>
      <c r="M3438" t="s">
        <v>18</v>
      </c>
      <c r="N3438" t="s">
        <v>19</v>
      </c>
    </row>
    <row r="3439" spans="1:14" x14ac:dyDescent="0.25">
      <c r="A3439">
        <v>29329</v>
      </c>
      <c r="B3439">
        <v>12950</v>
      </c>
      <c r="C3439">
        <f>1/COUNTIF(B:B,pizza_sales[[#This Row],[order_id]])</f>
        <v>1</v>
      </c>
      <c r="D3439" t="s">
        <v>50</v>
      </c>
      <c r="E3439">
        <v>1</v>
      </c>
      <c r="F3439" s="1">
        <v>42102</v>
      </c>
      <c r="G3439" s="1" t="str">
        <f>TEXT(pizza_sales[[#This Row],[order_date]],"dddd")</f>
        <v>Wednesday</v>
      </c>
      <c r="H3439" s="2">
        <v>0.76156250000000003</v>
      </c>
      <c r="I3439">
        <v>16</v>
      </c>
      <c r="J3439">
        <v>16</v>
      </c>
      <c r="K3439" t="s">
        <v>59</v>
      </c>
      <c r="L3439" t="s">
        <v>13</v>
      </c>
      <c r="M3439" t="s">
        <v>32</v>
      </c>
      <c r="N3439" t="s">
        <v>33</v>
      </c>
    </row>
    <row r="3440" spans="1:14" x14ac:dyDescent="0.25">
      <c r="A3440">
        <v>29334</v>
      </c>
      <c r="B3440">
        <v>12953</v>
      </c>
      <c r="C3440">
        <f>1/COUNTIF(B:B,pizza_sales[[#This Row],[order_id]])</f>
        <v>1</v>
      </c>
      <c r="D3440" t="s">
        <v>42</v>
      </c>
      <c r="E3440">
        <v>1</v>
      </c>
      <c r="F3440" s="1">
        <v>42102</v>
      </c>
      <c r="G3440" s="1" t="str">
        <f>TEXT(pizza_sales[[#This Row],[order_date]],"dddd")</f>
        <v>Wednesday</v>
      </c>
      <c r="H3440" s="2">
        <v>0.77423611111111112</v>
      </c>
      <c r="I3440">
        <v>12.5</v>
      </c>
      <c r="J3440">
        <v>12.5</v>
      </c>
      <c r="K3440" t="s">
        <v>59</v>
      </c>
      <c r="L3440" t="s">
        <v>13</v>
      </c>
      <c r="M3440" t="s">
        <v>26</v>
      </c>
      <c r="N3440" t="s">
        <v>27</v>
      </c>
    </row>
    <row r="3441" spans="1:14" x14ac:dyDescent="0.25">
      <c r="A3441">
        <v>29338</v>
      </c>
      <c r="B3441">
        <v>12955</v>
      </c>
      <c r="C3441">
        <f>1/COUNTIF(B:B,pizza_sales[[#This Row],[order_id]])</f>
        <v>1</v>
      </c>
      <c r="D3441" t="s">
        <v>42</v>
      </c>
      <c r="E3441">
        <v>1</v>
      </c>
      <c r="F3441" s="1">
        <v>42102</v>
      </c>
      <c r="G3441" s="1" t="str">
        <f>TEXT(pizza_sales[[#This Row],[order_date]],"dddd")</f>
        <v>Wednesday</v>
      </c>
      <c r="H3441" s="2">
        <v>0.7767708333333333</v>
      </c>
      <c r="I3441">
        <v>12.5</v>
      </c>
      <c r="J3441">
        <v>12.5</v>
      </c>
      <c r="K3441" t="s">
        <v>59</v>
      </c>
      <c r="L3441" t="s">
        <v>13</v>
      </c>
      <c r="M3441" t="s">
        <v>26</v>
      </c>
      <c r="N3441" t="s">
        <v>27</v>
      </c>
    </row>
    <row r="3442" spans="1:14" x14ac:dyDescent="0.25">
      <c r="A3442">
        <v>29349</v>
      </c>
      <c r="B3442">
        <v>12961</v>
      </c>
      <c r="C3442">
        <f>1/COUNTIF(B:B,pizza_sales[[#This Row],[order_id]])</f>
        <v>0.5</v>
      </c>
      <c r="D3442" t="s">
        <v>47</v>
      </c>
      <c r="E3442">
        <v>1</v>
      </c>
      <c r="F3442" s="1">
        <v>42102</v>
      </c>
      <c r="G3442" s="1" t="str">
        <f>TEXT(pizza_sales[[#This Row],[order_date]],"dddd")</f>
        <v>Wednesday</v>
      </c>
      <c r="H3442" s="2">
        <v>0.83978009259259256</v>
      </c>
      <c r="I3442">
        <v>16.5</v>
      </c>
      <c r="J3442">
        <v>16.5</v>
      </c>
      <c r="K3442" t="s">
        <v>58</v>
      </c>
      <c r="L3442" t="s">
        <v>13</v>
      </c>
      <c r="M3442" t="s">
        <v>14</v>
      </c>
      <c r="N3442" t="s">
        <v>15</v>
      </c>
    </row>
    <row r="3443" spans="1:14" x14ac:dyDescent="0.25">
      <c r="A3443">
        <v>29350</v>
      </c>
      <c r="B3443">
        <v>12961</v>
      </c>
      <c r="C3443">
        <f>1/COUNTIF(B:B,pizza_sales[[#This Row],[order_id]])</f>
        <v>0.5</v>
      </c>
      <c r="D3443" t="s">
        <v>46</v>
      </c>
      <c r="E3443">
        <v>1</v>
      </c>
      <c r="F3443" s="1">
        <v>42102</v>
      </c>
      <c r="G3443" s="1" t="str">
        <f>TEXT(pizza_sales[[#This Row],[order_date]],"dddd")</f>
        <v>Wednesday</v>
      </c>
      <c r="H3443" s="2">
        <v>0.83978009259259256</v>
      </c>
      <c r="I3443">
        <v>25.5</v>
      </c>
      <c r="J3443">
        <v>25.5</v>
      </c>
      <c r="K3443" t="s">
        <v>61</v>
      </c>
      <c r="L3443" t="s">
        <v>13</v>
      </c>
      <c r="M3443" t="s">
        <v>21</v>
      </c>
      <c r="N3443" t="s">
        <v>22</v>
      </c>
    </row>
    <row r="3444" spans="1:14" x14ac:dyDescent="0.25">
      <c r="A3444">
        <v>29352</v>
      </c>
      <c r="B3444">
        <v>12963</v>
      </c>
      <c r="C3444">
        <f>1/COUNTIF(B:B,pizza_sales[[#This Row],[order_id]])</f>
        <v>1</v>
      </c>
      <c r="D3444" t="s">
        <v>31</v>
      </c>
      <c r="E3444">
        <v>1</v>
      </c>
      <c r="F3444" s="1">
        <v>42102</v>
      </c>
      <c r="G3444" s="1" t="str">
        <f>TEXT(pizza_sales[[#This Row],[order_date]],"dddd")</f>
        <v>Wednesday</v>
      </c>
      <c r="H3444" s="2">
        <v>0.87731481481481477</v>
      </c>
      <c r="I3444">
        <v>12</v>
      </c>
      <c r="J3444">
        <v>12</v>
      </c>
      <c r="K3444" t="s">
        <v>60</v>
      </c>
      <c r="L3444" t="s">
        <v>13</v>
      </c>
      <c r="M3444" t="s">
        <v>32</v>
      </c>
      <c r="N3444" t="s">
        <v>33</v>
      </c>
    </row>
    <row r="3445" spans="1:14" x14ac:dyDescent="0.25">
      <c r="A3445">
        <v>29353</v>
      </c>
      <c r="B3445">
        <v>12964</v>
      </c>
      <c r="C3445">
        <f>1/COUNTIF(B:B,pizza_sales[[#This Row],[order_id]])</f>
        <v>1</v>
      </c>
      <c r="D3445" t="s">
        <v>47</v>
      </c>
      <c r="E3445">
        <v>1</v>
      </c>
      <c r="F3445" s="1">
        <v>42102</v>
      </c>
      <c r="G3445" s="1" t="str">
        <f>TEXT(pizza_sales[[#This Row],[order_date]],"dddd")</f>
        <v>Wednesday</v>
      </c>
      <c r="H3445" s="2">
        <v>0.88481481481481483</v>
      </c>
      <c r="I3445">
        <v>16.5</v>
      </c>
      <c r="J3445">
        <v>16.5</v>
      </c>
      <c r="K3445" t="s">
        <v>58</v>
      </c>
      <c r="L3445" t="s">
        <v>13</v>
      </c>
      <c r="M3445" t="s">
        <v>14</v>
      </c>
      <c r="N3445" t="s">
        <v>15</v>
      </c>
    </row>
    <row r="3446" spans="1:14" x14ac:dyDescent="0.25">
      <c r="A3446">
        <v>29356</v>
      </c>
      <c r="B3446">
        <v>12966</v>
      </c>
      <c r="C3446">
        <f>1/COUNTIF(B:B,pizza_sales[[#This Row],[order_id]])</f>
        <v>1</v>
      </c>
      <c r="D3446" t="s">
        <v>51</v>
      </c>
      <c r="E3446">
        <v>1</v>
      </c>
      <c r="F3446" s="1">
        <v>42102</v>
      </c>
      <c r="G3446" s="1" t="str">
        <f>TEXT(pizza_sales[[#This Row],[order_date]],"dddd")</f>
        <v>Wednesday</v>
      </c>
      <c r="H3446" s="2">
        <v>0.91429398148148144</v>
      </c>
      <c r="I3446">
        <v>23.65</v>
      </c>
      <c r="J3446">
        <v>23.65</v>
      </c>
      <c r="K3446" t="s">
        <v>60</v>
      </c>
      <c r="L3446" t="s">
        <v>35</v>
      </c>
      <c r="M3446" t="s">
        <v>52</v>
      </c>
      <c r="N3446" t="s">
        <v>53</v>
      </c>
    </row>
    <row r="3447" spans="1:14" x14ac:dyDescent="0.25">
      <c r="A3447">
        <v>29363</v>
      </c>
      <c r="B3447">
        <v>12970</v>
      </c>
      <c r="C3447">
        <f>1/COUNTIF(B:B,pizza_sales[[#This Row],[order_id]])</f>
        <v>1</v>
      </c>
      <c r="D3447" t="s">
        <v>56</v>
      </c>
      <c r="E3447">
        <v>1</v>
      </c>
      <c r="F3447" s="1">
        <v>42132</v>
      </c>
      <c r="G3447" s="1" t="str">
        <f>TEXT(pizza_sales[[#This Row],[order_date]],"dddd")</f>
        <v>Friday</v>
      </c>
      <c r="H3447" s="2">
        <v>0.48428240740740741</v>
      </c>
      <c r="I3447">
        <v>20.25</v>
      </c>
      <c r="J3447">
        <v>20.25</v>
      </c>
      <c r="K3447" t="s">
        <v>58</v>
      </c>
      <c r="L3447" t="s">
        <v>35</v>
      </c>
      <c r="M3447" t="s">
        <v>36</v>
      </c>
      <c r="N3447" t="s">
        <v>37</v>
      </c>
    </row>
    <row r="3448" spans="1:14" x14ac:dyDescent="0.25">
      <c r="A3448">
        <v>29364</v>
      </c>
      <c r="B3448">
        <v>12971</v>
      </c>
      <c r="C3448">
        <f>1/COUNTIF(B:B,pizza_sales[[#This Row],[order_id]])</f>
        <v>1</v>
      </c>
      <c r="D3448" t="s">
        <v>12</v>
      </c>
      <c r="E3448">
        <v>1</v>
      </c>
      <c r="F3448" s="1">
        <v>42132</v>
      </c>
      <c r="G3448" s="1" t="str">
        <f>TEXT(pizza_sales[[#This Row],[order_date]],"dddd")</f>
        <v>Friday</v>
      </c>
      <c r="H3448" s="2">
        <v>0.48744212962962963</v>
      </c>
      <c r="I3448">
        <v>13.25</v>
      </c>
      <c r="J3448">
        <v>13.25</v>
      </c>
      <c r="K3448" t="s">
        <v>59</v>
      </c>
      <c r="L3448" t="s">
        <v>13</v>
      </c>
      <c r="M3448" t="s">
        <v>14</v>
      </c>
      <c r="N3448" t="s">
        <v>15</v>
      </c>
    </row>
    <row r="3449" spans="1:14" x14ac:dyDescent="0.25">
      <c r="A3449">
        <v>29366</v>
      </c>
      <c r="B3449">
        <v>12973</v>
      </c>
      <c r="C3449">
        <f>1/COUNTIF(B:B,pizza_sales[[#This Row],[order_id]])</f>
        <v>1</v>
      </c>
      <c r="D3449" t="s">
        <v>12</v>
      </c>
      <c r="E3449">
        <v>1</v>
      </c>
      <c r="F3449" s="1">
        <v>42132</v>
      </c>
      <c r="G3449" s="1" t="str">
        <f>TEXT(pizza_sales[[#This Row],[order_date]],"dddd")</f>
        <v>Friday</v>
      </c>
      <c r="H3449" s="2">
        <v>0.48934027777777778</v>
      </c>
      <c r="I3449">
        <v>13.25</v>
      </c>
      <c r="J3449">
        <v>13.25</v>
      </c>
      <c r="K3449" t="s">
        <v>59</v>
      </c>
      <c r="L3449" t="s">
        <v>13</v>
      </c>
      <c r="M3449" t="s">
        <v>14</v>
      </c>
      <c r="N3449" t="s">
        <v>15</v>
      </c>
    </row>
    <row r="3450" spans="1:14" x14ac:dyDescent="0.25">
      <c r="A3450">
        <v>29370</v>
      </c>
      <c r="B3450">
        <v>12975</v>
      </c>
      <c r="C3450">
        <f>1/COUNTIF(B:B,pizza_sales[[#This Row],[order_id]])</f>
        <v>1</v>
      </c>
      <c r="D3450" t="s">
        <v>45</v>
      </c>
      <c r="E3450">
        <v>1</v>
      </c>
      <c r="F3450" s="1">
        <v>42132</v>
      </c>
      <c r="G3450" s="1" t="str">
        <f>TEXT(pizza_sales[[#This Row],[order_date]],"dddd")</f>
        <v>Friday</v>
      </c>
      <c r="H3450" s="2">
        <v>0.49475694444444446</v>
      </c>
      <c r="I3450">
        <v>10.5</v>
      </c>
      <c r="J3450">
        <v>10.5</v>
      </c>
      <c r="K3450" t="s">
        <v>60</v>
      </c>
      <c r="L3450" t="s">
        <v>13</v>
      </c>
      <c r="M3450" t="s">
        <v>14</v>
      </c>
      <c r="N3450" t="s">
        <v>15</v>
      </c>
    </row>
    <row r="3451" spans="1:14" x14ac:dyDescent="0.25">
      <c r="A3451">
        <v>29372</v>
      </c>
      <c r="B3451">
        <v>12976</v>
      </c>
      <c r="C3451">
        <f>1/COUNTIF(B:B,pizza_sales[[#This Row],[order_id]])</f>
        <v>1</v>
      </c>
      <c r="D3451" t="s">
        <v>42</v>
      </c>
      <c r="E3451">
        <v>1</v>
      </c>
      <c r="F3451" s="1">
        <v>42132</v>
      </c>
      <c r="G3451" s="1" t="str">
        <f>TEXT(pizza_sales[[#This Row],[order_date]],"dddd")</f>
        <v>Friday</v>
      </c>
      <c r="H3451" s="2">
        <v>0.49660879629629628</v>
      </c>
      <c r="I3451">
        <v>12.5</v>
      </c>
      <c r="J3451">
        <v>12.5</v>
      </c>
      <c r="K3451" t="s">
        <v>59</v>
      </c>
      <c r="L3451" t="s">
        <v>13</v>
      </c>
      <c r="M3451" t="s">
        <v>26</v>
      </c>
      <c r="N3451" t="s">
        <v>27</v>
      </c>
    </row>
    <row r="3452" spans="1:14" x14ac:dyDescent="0.25">
      <c r="A3452">
        <v>29375</v>
      </c>
      <c r="B3452">
        <v>12978</v>
      </c>
      <c r="C3452">
        <f>1/COUNTIF(B:B,pizza_sales[[#This Row],[order_id]])</f>
        <v>1</v>
      </c>
      <c r="D3452" t="s">
        <v>48</v>
      </c>
      <c r="E3452">
        <v>1</v>
      </c>
      <c r="F3452" s="1">
        <v>42132</v>
      </c>
      <c r="G3452" s="1" t="str">
        <f>TEXT(pizza_sales[[#This Row],[order_date]],"dddd")</f>
        <v>Friday</v>
      </c>
      <c r="H3452" s="2">
        <v>0.51858796296296295</v>
      </c>
      <c r="I3452">
        <v>12.25</v>
      </c>
      <c r="J3452">
        <v>12.25</v>
      </c>
      <c r="K3452" t="s">
        <v>60</v>
      </c>
      <c r="L3452" t="s">
        <v>35</v>
      </c>
      <c r="M3452" t="s">
        <v>40</v>
      </c>
      <c r="N3452" t="s">
        <v>41</v>
      </c>
    </row>
    <row r="3453" spans="1:14" x14ac:dyDescent="0.25">
      <c r="A3453">
        <v>29377</v>
      </c>
      <c r="B3453">
        <v>12980</v>
      </c>
      <c r="C3453">
        <f>1/COUNTIF(B:B,pizza_sales[[#This Row],[order_id]])</f>
        <v>0.25</v>
      </c>
      <c r="D3453" t="s">
        <v>28</v>
      </c>
      <c r="E3453">
        <v>1</v>
      </c>
      <c r="F3453" s="1">
        <v>42132</v>
      </c>
      <c r="G3453" s="1" t="str">
        <f>TEXT(pizza_sales[[#This Row],[order_date]],"dddd")</f>
        <v>Friday</v>
      </c>
      <c r="H3453" s="2">
        <v>0.52756944444444442</v>
      </c>
      <c r="I3453">
        <v>12</v>
      </c>
      <c r="J3453">
        <v>12</v>
      </c>
      <c r="K3453" t="s">
        <v>60</v>
      </c>
      <c r="L3453" t="s">
        <v>13</v>
      </c>
      <c r="M3453" t="s">
        <v>29</v>
      </c>
      <c r="N3453" t="s">
        <v>30</v>
      </c>
    </row>
    <row r="3454" spans="1:14" x14ac:dyDescent="0.25">
      <c r="A3454">
        <v>29378</v>
      </c>
      <c r="B3454">
        <v>12980</v>
      </c>
      <c r="C3454">
        <f>1/COUNTIF(B:B,pizza_sales[[#This Row],[order_id]])</f>
        <v>0.25</v>
      </c>
      <c r="D3454" t="s">
        <v>56</v>
      </c>
      <c r="E3454">
        <v>1</v>
      </c>
      <c r="F3454" s="1">
        <v>42132</v>
      </c>
      <c r="G3454" s="1" t="str">
        <f>TEXT(pizza_sales[[#This Row],[order_date]],"dddd")</f>
        <v>Friday</v>
      </c>
      <c r="H3454" s="2">
        <v>0.52756944444444442</v>
      </c>
      <c r="I3454">
        <v>20.25</v>
      </c>
      <c r="J3454">
        <v>20.25</v>
      </c>
      <c r="K3454" t="s">
        <v>58</v>
      </c>
      <c r="L3454" t="s">
        <v>35</v>
      </c>
      <c r="M3454" t="s">
        <v>36</v>
      </c>
      <c r="N3454" t="s">
        <v>37</v>
      </c>
    </row>
    <row r="3455" spans="1:14" x14ac:dyDescent="0.25">
      <c r="A3455">
        <v>29381</v>
      </c>
      <c r="B3455">
        <v>12980</v>
      </c>
      <c r="C3455">
        <f>1/COUNTIF(B:B,pizza_sales[[#This Row],[order_id]])</f>
        <v>0.25</v>
      </c>
      <c r="D3455" t="s">
        <v>45</v>
      </c>
      <c r="E3455">
        <v>1</v>
      </c>
      <c r="F3455" s="1">
        <v>42132</v>
      </c>
      <c r="G3455" s="1" t="str">
        <f>TEXT(pizza_sales[[#This Row],[order_date]],"dddd")</f>
        <v>Friday</v>
      </c>
      <c r="H3455" s="2">
        <v>0.52756944444444442</v>
      </c>
      <c r="I3455">
        <v>10.5</v>
      </c>
      <c r="J3455">
        <v>10.5</v>
      </c>
      <c r="K3455" t="s">
        <v>60</v>
      </c>
      <c r="L3455" t="s">
        <v>13</v>
      </c>
      <c r="M3455" t="s">
        <v>14</v>
      </c>
      <c r="N3455" t="s">
        <v>15</v>
      </c>
    </row>
    <row r="3456" spans="1:14" x14ac:dyDescent="0.25">
      <c r="A3456">
        <v>29382</v>
      </c>
      <c r="B3456">
        <v>12980</v>
      </c>
      <c r="C3456">
        <f>1/COUNTIF(B:B,pizza_sales[[#This Row],[order_id]])</f>
        <v>0.25</v>
      </c>
      <c r="D3456" t="s">
        <v>44</v>
      </c>
      <c r="E3456">
        <v>1</v>
      </c>
      <c r="F3456" s="1">
        <v>42132</v>
      </c>
      <c r="G3456" s="1" t="str">
        <f>TEXT(pizza_sales[[#This Row],[order_date]],"dddd")</f>
        <v>Friday</v>
      </c>
      <c r="H3456" s="2">
        <v>0.52756944444444442</v>
      </c>
      <c r="I3456">
        <v>9.75</v>
      </c>
      <c r="J3456">
        <v>9.75</v>
      </c>
      <c r="K3456" t="s">
        <v>60</v>
      </c>
      <c r="L3456" t="s">
        <v>13</v>
      </c>
      <c r="M3456" t="s">
        <v>26</v>
      </c>
      <c r="N3456" t="s">
        <v>27</v>
      </c>
    </row>
    <row r="3457" spans="1:14" x14ac:dyDescent="0.25">
      <c r="A3457">
        <v>29388</v>
      </c>
      <c r="B3457">
        <v>12981</v>
      </c>
      <c r="C3457">
        <f>1/COUNTIF(B:B,pizza_sales[[#This Row],[order_id]])</f>
        <v>1</v>
      </c>
      <c r="D3457" t="s">
        <v>56</v>
      </c>
      <c r="E3457">
        <v>1</v>
      </c>
      <c r="F3457" s="1">
        <v>42132</v>
      </c>
      <c r="G3457" s="1" t="str">
        <f>TEXT(pizza_sales[[#This Row],[order_date]],"dddd")</f>
        <v>Friday</v>
      </c>
      <c r="H3457" s="2">
        <v>0.52802083333333338</v>
      </c>
      <c r="I3457">
        <v>20.25</v>
      </c>
      <c r="J3457">
        <v>20.25</v>
      </c>
      <c r="K3457" t="s">
        <v>58</v>
      </c>
      <c r="L3457" t="s">
        <v>35</v>
      </c>
      <c r="M3457" t="s">
        <v>36</v>
      </c>
      <c r="N3457" t="s">
        <v>37</v>
      </c>
    </row>
    <row r="3458" spans="1:14" x14ac:dyDescent="0.25">
      <c r="A3458">
        <v>29393</v>
      </c>
      <c r="B3458">
        <v>12984</v>
      </c>
      <c r="C3458">
        <f>1/COUNTIF(B:B,pizza_sales[[#This Row],[order_id]])</f>
        <v>1</v>
      </c>
      <c r="D3458" t="s">
        <v>12</v>
      </c>
      <c r="E3458">
        <v>1</v>
      </c>
      <c r="F3458" s="1">
        <v>42132</v>
      </c>
      <c r="G3458" s="1" t="str">
        <f>TEXT(pizza_sales[[#This Row],[order_date]],"dddd")</f>
        <v>Friday</v>
      </c>
      <c r="H3458" s="2">
        <v>0.54620370370370375</v>
      </c>
      <c r="I3458">
        <v>13.25</v>
      </c>
      <c r="J3458">
        <v>13.25</v>
      </c>
      <c r="K3458" t="s">
        <v>59</v>
      </c>
      <c r="L3458" t="s">
        <v>13</v>
      </c>
      <c r="M3458" t="s">
        <v>14</v>
      </c>
      <c r="N3458" t="s">
        <v>15</v>
      </c>
    </row>
    <row r="3459" spans="1:14" x14ac:dyDescent="0.25">
      <c r="A3459">
        <v>29397</v>
      </c>
      <c r="B3459">
        <v>12987</v>
      </c>
      <c r="C3459">
        <f>1/COUNTIF(B:B,pizza_sales[[#This Row],[order_id]])</f>
        <v>0.5</v>
      </c>
      <c r="D3459" t="s">
        <v>44</v>
      </c>
      <c r="E3459">
        <v>1</v>
      </c>
      <c r="F3459" s="1">
        <v>42132</v>
      </c>
      <c r="G3459" s="1" t="str">
        <f>TEXT(pizza_sales[[#This Row],[order_date]],"dddd")</f>
        <v>Friday</v>
      </c>
      <c r="H3459" s="2">
        <v>0.56025462962962957</v>
      </c>
      <c r="I3459">
        <v>9.75</v>
      </c>
      <c r="J3459">
        <v>9.75</v>
      </c>
      <c r="K3459" t="s">
        <v>60</v>
      </c>
      <c r="L3459" t="s">
        <v>13</v>
      </c>
      <c r="M3459" t="s">
        <v>26</v>
      </c>
      <c r="N3459" t="s">
        <v>27</v>
      </c>
    </row>
    <row r="3460" spans="1:14" x14ac:dyDescent="0.25">
      <c r="A3460">
        <v>29398</v>
      </c>
      <c r="B3460">
        <v>12987</v>
      </c>
      <c r="C3460">
        <f>1/COUNTIF(B:B,pizza_sales[[#This Row],[order_id]])</f>
        <v>0.5</v>
      </c>
      <c r="D3460" t="s">
        <v>39</v>
      </c>
      <c r="E3460">
        <v>1</v>
      </c>
      <c r="F3460" s="1">
        <v>42132</v>
      </c>
      <c r="G3460" s="1" t="str">
        <f>TEXT(pizza_sales[[#This Row],[order_date]],"dddd")</f>
        <v>Friday</v>
      </c>
      <c r="H3460" s="2">
        <v>0.56025462962962957</v>
      </c>
      <c r="I3460">
        <v>20.25</v>
      </c>
      <c r="J3460">
        <v>20.25</v>
      </c>
      <c r="K3460" t="s">
        <v>58</v>
      </c>
      <c r="L3460" t="s">
        <v>35</v>
      </c>
      <c r="M3460" t="s">
        <v>40</v>
      </c>
      <c r="N3460" t="s">
        <v>41</v>
      </c>
    </row>
    <row r="3461" spans="1:14" x14ac:dyDescent="0.25">
      <c r="A3461">
        <v>29399</v>
      </c>
      <c r="B3461">
        <v>12988</v>
      </c>
      <c r="C3461">
        <f>1/COUNTIF(B:B,pizza_sales[[#This Row],[order_id]])</f>
        <v>1</v>
      </c>
      <c r="D3461" t="s">
        <v>45</v>
      </c>
      <c r="E3461">
        <v>1</v>
      </c>
      <c r="F3461" s="1">
        <v>42132</v>
      </c>
      <c r="G3461" s="1" t="str">
        <f>TEXT(pizza_sales[[#This Row],[order_date]],"dddd")</f>
        <v>Friday</v>
      </c>
      <c r="H3461" s="2">
        <v>0.57358796296296299</v>
      </c>
      <c r="I3461">
        <v>10.5</v>
      </c>
      <c r="J3461">
        <v>10.5</v>
      </c>
      <c r="K3461" t="s">
        <v>60</v>
      </c>
      <c r="L3461" t="s">
        <v>13</v>
      </c>
      <c r="M3461" t="s">
        <v>14</v>
      </c>
      <c r="N3461" t="s">
        <v>15</v>
      </c>
    </row>
    <row r="3462" spans="1:14" x14ac:dyDescent="0.25">
      <c r="A3462">
        <v>29412</v>
      </c>
      <c r="B3462">
        <v>12993</v>
      </c>
      <c r="C3462">
        <f>1/COUNTIF(B:B,pizza_sales[[#This Row],[order_id]])</f>
        <v>0.5</v>
      </c>
      <c r="D3462" t="s">
        <v>16</v>
      </c>
      <c r="E3462">
        <v>1</v>
      </c>
      <c r="F3462" s="1">
        <v>42132</v>
      </c>
      <c r="G3462" s="1" t="str">
        <f>TEXT(pizza_sales[[#This Row],[order_date]],"dddd")</f>
        <v>Friday</v>
      </c>
      <c r="H3462" s="2">
        <v>0.62016203703703698</v>
      </c>
      <c r="I3462">
        <v>16</v>
      </c>
      <c r="J3462">
        <v>16</v>
      </c>
      <c r="K3462" t="s">
        <v>59</v>
      </c>
      <c r="L3462" t="s">
        <v>17</v>
      </c>
      <c r="M3462" t="s">
        <v>18</v>
      </c>
      <c r="N3462" t="s">
        <v>19</v>
      </c>
    </row>
    <row r="3463" spans="1:14" x14ac:dyDescent="0.25">
      <c r="A3463">
        <v>29413</v>
      </c>
      <c r="B3463">
        <v>12993</v>
      </c>
      <c r="C3463">
        <f>1/COUNTIF(B:B,pizza_sales[[#This Row],[order_id]])</f>
        <v>0.5</v>
      </c>
      <c r="D3463" t="s">
        <v>42</v>
      </c>
      <c r="E3463">
        <v>1</v>
      </c>
      <c r="F3463" s="1">
        <v>42132</v>
      </c>
      <c r="G3463" s="1" t="str">
        <f>TEXT(pizza_sales[[#This Row],[order_date]],"dddd")</f>
        <v>Friday</v>
      </c>
      <c r="H3463" s="2">
        <v>0.62016203703703698</v>
      </c>
      <c r="I3463">
        <v>12.5</v>
      </c>
      <c r="J3463">
        <v>12.5</v>
      </c>
      <c r="K3463" t="s">
        <v>59</v>
      </c>
      <c r="L3463" t="s">
        <v>13</v>
      </c>
      <c r="M3463" t="s">
        <v>26</v>
      </c>
      <c r="N3463" t="s">
        <v>27</v>
      </c>
    </row>
    <row r="3464" spans="1:14" x14ac:dyDescent="0.25">
      <c r="A3464">
        <v>29417</v>
      </c>
      <c r="B3464">
        <v>12994</v>
      </c>
      <c r="C3464">
        <f>1/COUNTIF(B:B,pizza_sales[[#This Row],[order_id]])</f>
        <v>1</v>
      </c>
      <c r="D3464" t="s">
        <v>47</v>
      </c>
      <c r="E3464">
        <v>1</v>
      </c>
      <c r="F3464" s="1">
        <v>42132</v>
      </c>
      <c r="G3464" s="1" t="str">
        <f>TEXT(pizza_sales[[#This Row],[order_date]],"dddd")</f>
        <v>Friday</v>
      </c>
      <c r="H3464" s="2">
        <v>0.62537037037037035</v>
      </c>
      <c r="I3464">
        <v>16.5</v>
      </c>
      <c r="J3464">
        <v>16.5</v>
      </c>
      <c r="K3464" t="s">
        <v>58</v>
      </c>
      <c r="L3464" t="s">
        <v>13</v>
      </c>
      <c r="M3464" t="s">
        <v>14</v>
      </c>
      <c r="N3464" t="s">
        <v>15</v>
      </c>
    </row>
    <row r="3465" spans="1:14" x14ac:dyDescent="0.25">
      <c r="A3465">
        <v>29418</v>
      </c>
      <c r="B3465">
        <v>12995</v>
      </c>
      <c r="C3465">
        <f>1/COUNTIF(B:B,pizza_sales[[#This Row],[order_id]])</f>
        <v>1</v>
      </c>
      <c r="D3465" t="s">
        <v>28</v>
      </c>
      <c r="E3465">
        <v>1</v>
      </c>
      <c r="F3465" s="1">
        <v>42132</v>
      </c>
      <c r="G3465" s="1" t="str">
        <f>TEXT(pizza_sales[[#This Row],[order_date]],"dddd")</f>
        <v>Friday</v>
      </c>
      <c r="H3465" s="2">
        <v>0.63115740740740744</v>
      </c>
      <c r="I3465">
        <v>12</v>
      </c>
      <c r="J3465">
        <v>12</v>
      </c>
      <c r="K3465" t="s">
        <v>60</v>
      </c>
      <c r="L3465" t="s">
        <v>13</v>
      </c>
      <c r="M3465" t="s">
        <v>29</v>
      </c>
      <c r="N3465" t="s">
        <v>30</v>
      </c>
    </row>
    <row r="3466" spans="1:14" x14ac:dyDescent="0.25">
      <c r="A3466">
        <v>29421</v>
      </c>
      <c r="B3466">
        <v>12998</v>
      </c>
      <c r="C3466">
        <f>1/COUNTIF(B:B,pizza_sales[[#This Row],[order_id]])</f>
        <v>1</v>
      </c>
      <c r="D3466" t="s">
        <v>28</v>
      </c>
      <c r="E3466">
        <v>1</v>
      </c>
      <c r="F3466" s="1">
        <v>42132</v>
      </c>
      <c r="G3466" s="1" t="str">
        <f>TEXT(pizza_sales[[#This Row],[order_date]],"dddd")</f>
        <v>Friday</v>
      </c>
      <c r="H3466" s="2">
        <v>0.65984953703703708</v>
      </c>
      <c r="I3466">
        <v>12</v>
      </c>
      <c r="J3466">
        <v>12</v>
      </c>
      <c r="K3466" t="s">
        <v>60</v>
      </c>
      <c r="L3466" t="s">
        <v>13</v>
      </c>
      <c r="M3466" t="s">
        <v>29</v>
      </c>
      <c r="N3466" t="s">
        <v>30</v>
      </c>
    </row>
    <row r="3467" spans="1:14" x14ac:dyDescent="0.25">
      <c r="A3467">
        <v>29426</v>
      </c>
      <c r="B3467">
        <v>12999</v>
      </c>
      <c r="C3467">
        <f>1/COUNTIF(B:B,pizza_sales[[#This Row],[order_id]])</f>
        <v>1</v>
      </c>
      <c r="D3467" t="s">
        <v>44</v>
      </c>
      <c r="E3467">
        <v>1</v>
      </c>
      <c r="F3467" s="1">
        <v>42132</v>
      </c>
      <c r="G3467" s="1" t="str">
        <f>TEXT(pizza_sales[[#This Row],[order_date]],"dddd")</f>
        <v>Friday</v>
      </c>
      <c r="H3467" s="2">
        <v>0.66453703703703704</v>
      </c>
      <c r="I3467">
        <v>9.75</v>
      </c>
      <c r="J3467">
        <v>9.75</v>
      </c>
      <c r="K3467" t="s">
        <v>60</v>
      </c>
      <c r="L3467" t="s">
        <v>13</v>
      </c>
      <c r="M3467" t="s">
        <v>26</v>
      </c>
      <c r="N3467" t="s">
        <v>27</v>
      </c>
    </row>
    <row r="3468" spans="1:14" x14ac:dyDescent="0.25">
      <c r="A3468">
        <v>29428</v>
      </c>
      <c r="B3468">
        <v>13001</v>
      </c>
      <c r="C3468">
        <f>1/COUNTIF(B:B,pizza_sales[[#This Row],[order_id]])</f>
        <v>1</v>
      </c>
      <c r="D3468" t="s">
        <v>28</v>
      </c>
      <c r="E3468">
        <v>1</v>
      </c>
      <c r="F3468" s="1">
        <v>42132</v>
      </c>
      <c r="G3468" s="1" t="str">
        <f>TEXT(pizza_sales[[#This Row],[order_date]],"dddd")</f>
        <v>Friday</v>
      </c>
      <c r="H3468" s="2">
        <v>0.70729166666666665</v>
      </c>
      <c r="I3468">
        <v>12</v>
      </c>
      <c r="J3468">
        <v>12</v>
      </c>
      <c r="K3468" t="s">
        <v>60</v>
      </c>
      <c r="L3468" t="s">
        <v>13</v>
      </c>
      <c r="M3468" t="s">
        <v>29</v>
      </c>
      <c r="N3468" t="s">
        <v>30</v>
      </c>
    </row>
    <row r="3469" spans="1:14" x14ac:dyDescent="0.25">
      <c r="A3469">
        <v>29446</v>
      </c>
      <c r="B3469">
        <v>13009</v>
      </c>
      <c r="C3469">
        <f>1/COUNTIF(B:B,pizza_sales[[#This Row],[order_id]])</f>
        <v>1</v>
      </c>
      <c r="D3469" t="s">
        <v>28</v>
      </c>
      <c r="E3469">
        <v>1</v>
      </c>
      <c r="F3469" s="1">
        <v>42132</v>
      </c>
      <c r="G3469" s="1" t="str">
        <f>TEXT(pizza_sales[[#This Row],[order_date]],"dddd")</f>
        <v>Friday</v>
      </c>
      <c r="H3469" s="2">
        <v>0.75018518518518518</v>
      </c>
      <c r="I3469">
        <v>12</v>
      </c>
      <c r="J3469">
        <v>12</v>
      </c>
      <c r="K3469" t="s">
        <v>60</v>
      </c>
      <c r="L3469" t="s">
        <v>13</v>
      </c>
      <c r="M3469" t="s">
        <v>29</v>
      </c>
      <c r="N3469" t="s">
        <v>30</v>
      </c>
    </row>
    <row r="3470" spans="1:14" x14ac:dyDescent="0.25">
      <c r="A3470">
        <v>29448</v>
      </c>
      <c r="B3470">
        <v>13010</v>
      </c>
      <c r="C3470">
        <f>1/COUNTIF(B:B,pizza_sales[[#This Row],[order_id]])</f>
        <v>1</v>
      </c>
      <c r="D3470" t="s">
        <v>44</v>
      </c>
      <c r="E3470">
        <v>1</v>
      </c>
      <c r="F3470" s="1">
        <v>42132</v>
      </c>
      <c r="G3470" s="1" t="str">
        <f>TEXT(pizza_sales[[#This Row],[order_date]],"dddd")</f>
        <v>Friday</v>
      </c>
      <c r="H3470" s="2">
        <v>0.75466435185185188</v>
      </c>
      <c r="I3470">
        <v>9.75</v>
      </c>
      <c r="J3470">
        <v>9.75</v>
      </c>
      <c r="K3470" t="s">
        <v>60</v>
      </c>
      <c r="L3470" t="s">
        <v>13</v>
      </c>
      <c r="M3470" t="s">
        <v>26</v>
      </c>
      <c r="N3470" t="s">
        <v>27</v>
      </c>
    </row>
    <row r="3471" spans="1:14" x14ac:dyDescent="0.25">
      <c r="A3471">
        <v>29450</v>
      </c>
      <c r="B3471">
        <v>13011</v>
      </c>
      <c r="C3471">
        <f>1/COUNTIF(B:B,pizza_sales[[#This Row],[order_id]])</f>
        <v>0.5</v>
      </c>
      <c r="D3471" t="s">
        <v>56</v>
      </c>
      <c r="E3471">
        <v>1</v>
      </c>
      <c r="F3471" s="1">
        <v>42132</v>
      </c>
      <c r="G3471" s="1" t="str">
        <f>TEXT(pizza_sales[[#This Row],[order_date]],"dddd")</f>
        <v>Friday</v>
      </c>
      <c r="H3471" s="2">
        <v>0.75503472222222223</v>
      </c>
      <c r="I3471">
        <v>20.25</v>
      </c>
      <c r="J3471">
        <v>20.25</v>
      </c>
      <c r="K3471" t="s">
        <v>58</v>
      </c>
      <c r="L3471" t="s">
        <v>35</v>
      </c>
      <c r="M3471" t="s">
        <v>36</v>
      </c>
      <c r="N3471" t="s">
        <v>37</v>
      </c>
    </row>
    <row r="3472" spans="1:14" x14ac:dyDescent="0.25">
      <c r="A3472">
        <v>29451</v>
      </c>
      <c r="B3472">
        <v>13011</v>
      </c>
      <c r="C3472">
        <f>1/COUNTIF(B:B,pizza_sales[[#This Row],[order_id]])</f>
        <v>0.5</v>
      </c>
      <c r="D3472" t="s">
        <v>44</v>
      </c>
      <c r="E3472">
        <v>1</v>
      </c>
      <c r="F3472" s="1">
        <v>42132</v>
      </c>
      <c r="G3472" s="1" t="str">
        <f>TEXT(pizza_sales[[#This Row],[order_date]],"dddd")</f>
        <v>Friday</v>
      </c>
      <c r="H3472" s="2">
        <v>0.75503472222222223</v>
      </c>
      <c r="I3472">
        <v>9.75</v>
      </c>
      <c r="J3472">
        <v>9.75</v>
      </c>
      <c r="K3472" t="s">
        <v>60</v>
      </c>
      <c r="L3472" t="s">
        <v>13</v>
      </c>
      <c r="M3472" t="s">
        <v>26</v>
      </c>
      <c r="N3472" t="s">
        <v>27</v>
      </c>
    </row>
    <row r="3473" spans="1:14" x14ac:dyDescent="0.25">
      <c r="A3473">
        <v>29453</v>
      </c>
      <c r="B3473">
        <v>13013</v>
      </c>
      <c r="C3473">
        <f>1/COUNTIF(B:B,pizza_sales[[#This Row],[order_id]])</f>
        <v>0.5</v>
      </c>
      <c r="D3473" t="s">
        <v>28</v>
      </c>
      <c r="E3473">
        <v>1</v>
      </c>
      <c r="F3473" s="1">
        <v>42132</v>
      </c>
      <c r="G3473" s="1" t="str">
        <f>TEXT(pizza_sales[[#This Row],[order_date]],"dddd")</f>
        <v>Friday</v>
      </c>
      <c r="H3473" s="2">
        <v>0.76886574074074077</v>
      </c>
      <c r="I3473">
        <v>12</v>
      </c>
      <c r="J3473">
        <v>12</v>
      </c>
      <c r="K3473" t="s">
        <v>60</v>
      </c>
      <c r="L3473" t="s">
        <v>13</v>
      </c>
      <c r="M3473" t="s">
        <v>29</v>
      </c>
      <c r="N3473" t="s">
        <v>30</v>
      </c>
    </row>
    <row r="3474" spans="1:14" x14ac:dyDescent="0.25">
      <c r="A3474">
        <v>29455</v>
      </c>
      <c r="B3474">
        <v>13013</v>
      </c>
      <c r="C3474">
        <f>1/COUNTIF(B:B,pizza_sales[[#This Row],[order_id]])</f>
        <v>0.5</v>
      </c>
      <c r="D3474" t="s">
        <v>45</v>
      </c>
      <c r="E3474">
        <v>1</v>
      </c>
      <c r="F3474" s="1">
        <v>42132</v>
      </c>
      <c r="G3474" s="1" t="str">
        <f>TEXT(pizza_sales[[#This Row],[order_date]],"dddd")</f>
        <v>Friday</v>
      </c>
      <c r="H3474" s="2">
        <v>0.76886574074074077</v>
      </c>
      <c r="I3474">
        <v>10.5</v>
      </c>
      <c r="J3474">
        <v>10.5</v>
      </c>
      <c r="K3474" t="s">
        <v>60</v>
      </c>
      <c r="L3474" t="s">
        <v>13</v>
      </c>
      <c r="M3474" t="s">
        <v>14</v>
      </c>
      <c r="N3474" t="s">
        <v>15</v>
      </c>
    </row>
    <row r="3475" spans="1:14" x14ac:dyDescent="0.25">
      <c r="A3475">
        <v>29459</v>
      </c>
      <c r="B3475">
        <v>13014</v>
      </c>
      <c r="C3475">
        <f>1/COUNTIF(B:B,pizza_sales[[#This Row],[order_id]])</f>
        <v>1</v>
      </c>
      <c r="D3475" t="s">
        <v>55</v>
      </c>
      <c r="E3475">
        <v>1</v>
      </c>
      <c r="F3475" s="1">
        <v>42132</v>
      </c>
      <c r="G3475" s="1" t="str">
        <f>TEXT(pizza_sales[[#This Row],[order_date]],"dddd")</f>
        <v>Friday</v>
      </c>
      <c r="H3475" s="2">
        <v>0.77638888888888891</v>
      </c>
      <c r="I3475">
        <v>20.5</v>
      </c>
      <c r="J3475">
        <v>20.5</v>
      </c>
      <c r="K3475" t="s">
        <v>58</v>
      </c>
      <c r="L3475" t="s">
        <v>13</v>
      </c>
      <c r="M3475" t="s">
        <v>21</v>
      </c>
      <c r="N3475" t="s">
        <v>22</v>
      </c>
    </row>
    <row r="3476" spans="1:14" x14ac:dyDescent="0.25">
      <c r="A3476">
        <v>29465</v>
      </c>
      <c r="B3476">
        <v>13018</v>
      </c>
      <c r="C3476">
        <f>1/COUNTIF(B:B,pizza_sales[[#This Row],[order_id]])</f>
        <v>1</v>
      </c>
      <c r="D3476" t="s">
        <v>47</v>
      </c>
      <c r="E3476">
        <v>1</v>
      </c>
      <c r="F3476" s="1">
        <v>42132</v>
      </c>
      <c r="G3476" s="1" t="str">
        <f>TEXT(pizza_sales[[#This Row],[order_date]],"dddd")</f>
        <v>Friday</v>
      </c>
      <c r="H3476" s="2">
        <v>0.79204861111111113</v>
      </c>
      <c r="I3476">
        <v>16.5</v>
      </c>
      <c r="J3476">
        <v>16.5</v>
      </c>
      <c r="K3476" t="s">
        <v>58</v>
      </c>
      <c r="L3476" t="s">
        <v>13</v>
      </c>
      <c r="M3476" t="s">
        <v>14</v>
      </c>
      <c r="N3476" t="s">
        <v>15</v>
      </c>
    </row>
    <row r="3477" spans="1:14" x14ac:dyDescent="0.25">
      <c r="A3477">
        <v>29469</v>
      </c>
      <c r="B3477">
        <v>13020</v>
      </c>
      <c r="C3477">
        <f>1/COUNTIF(B:B,pizza_sales[[#This Row],[order_id]])</f>
        <v>0.5</v>
      </c>
      <c r="D3477" t="s">
        <v>28</v>
      </c>
      <c r="E3477">
        <v>1</v>
      </c>
      <c r="F3477" s="1">
        <v>42132</v>
      </c>
      <c r="G3477" s="1" t="str">
        <f>TEXT(pizza_sales[[#This Row],[order_date]],"dddd")</f>
        <v>Friday</v>
      </c>
      <c r="H3477" s="2">
        <v>0.80947916666666664</v>
      </c>
      <c r="I3477">
        <v>12</v>
      </c>
      <c r="J3477">
        <v>12</v>
      </c>
      <c r="K3477" t="s">
        <v>60</v>
      </c>
      <c r="L3477" t="s">
        <v>13</v>
      </c>
      <c r="M3477" t="s">
        <v>29</v>
      </c>
      <c r="N3477" t="s">
        <v>30</v>
      </c>
    </row>
    <row r="3478" spans="1:14" x14ac:dyDescent="0.25">
      <c r="A3478">
        <v>29470</v>
      </c>
      <c r="B3478">
        <v>13020</v>
      </c>
      <c r="C3478">
        <f>1/COUNTIF(B:B,pizza_sales[[#This Row],[order_id]])</f>
        <v>0.5</v>
      </c>
      <c r="D3478" t="s">
        <v>12</v>
      </c>
      <c r="E3478">
        <v>1</v>
      </c>
      <c r="F3478" s="1">
        <v>42132</v>
      </c>
      <c r="G3478" s="1" t="str">
        <f>TEXT(pizza_sales[[#This Row],[order_date]],"dddd")</f>
        <v>Friday</v>
      </c>
      <c r="H3478" s="2">
        <v>0.80947916666666664</v>
      </c>
      <c r="I3478">
        <v>13.25</v>
      </c>
      <c r="J3478">
        <v>13.25</v>
      </c>
      <c r="K3478" t="s">
        <v>59</v>
      </c>
      <c r="L3478" t="s">
        <v>13</v>
      </c>
      <c r="M3478" t="s">
        <v>14</v>
      </c>
      <c r="N3478" t="s">
        <v>15</v>
      </c>
    </row>
    <row r="3479" spans="1:14" x14ac:dyDescent="0.25">
      <c r="A3479">
        <v>29472</v>
      </c>
      <c r="B3479">
        <v>13021</v>
      </c>
      <c r="C3479">
        <f>1/COUNTIF(B:B,pizza_sales[[#This Row],[order_id]])</f>
        <v>1</v>
      </c>
      <c r="D3479" t="s">
        <v>38</v>
      </c>
      <c r="E3479">
        <v>1</v>
      </c>
      <c r="F3479" s="1">
        <v>42132</v>
      </c>
      <c r="G3479" s="1" t="str">
        <f>TEXT(pizza_sales[[#This Row],[order_date]],"dddd")</f>
        <v>Friday</v>
      </c>
      <c r="H3479" s="2">
        <v>0.81497685185185187</v>
      </c>
      <c r="I3479">
        <v>20.5</v>
      </c>
      <c r="J3479">
        <v>20.5</v>
      </c>
      <c r="K3479" t="s">
        <v>58</v>
      </c>
      <c r="L3479" t="s">
        <v>13</v>
      </c>
      <c r="M3479" t="s">
        <v>32</v>
      </c>
      <c r="N3479" t="s">
        <v>33</v>
      </c>
    </row>
    <row r="3480" spans="1:14" x14ac:dyDescent="0.25">
      <c r="A3480">
        <v>29475</v>
      </c>
      <c r="B3480">
        <v>13022</v>
      </c>
      <c r="C3480">
        <f>1/COUNTIF(B:B,pizza_sales[[#This Row],[order_id]])</f>
        <v>0.5</v>
      </c>
      <c r="D3480" t="s">
        <v>24</v>
      </c>
      <c r="E3480">
        <v>1</v>
      </c>
      <c r="F3480" s="1">
        <v>42132</v>
      </c>
      <c r="G3480" s="1" t="str">
        <f>TEXT(pizza_sales[[#This Row],[order_date]],"dddd")</f>
        <v>Friday</v>
      </c>
      <c r="H3480" s="2">
        <v>0.83163194444444444</v>
      </c>
      <c r="I3480">
        <v>20.25</v>
      </c>
      <c r="J3480">
        <v>20.25</v>
      </c>
      <c r="K3480" t="s">
        <v>58</v>
      </c>
      <c r="L3480" t="s">
        <v>17</v>
      </c>
      <c r="M3480" t="s">
        <v>18</v>
      </c>
      <c r="N3480" t="s">
        <v>19</v>
      </c>
    </row>
    <row r="3481" spans="1:14" x14ac:dyDescent="0.25">
      <c r="A3481">
        <v>29476</v>
      </c>
      <c r="B3481">
        <v>13022</v>
      </c>
      <c r="C3481">
        <f>1/COUNTIF(B:B,pizza_sales[[#This Row],[order_id]])</f>
        <v>0.5</v>
      </c>
      <c r="D3481" t="s">
        <v>16</v>
      </c>
      <c r="E3481">
        <v>1</v>
      </c>
      <c r="F3481" s="1">
        <v>42132</v>
      </c>
      <c r="G3481" s="1" t="str">
        <f>TEXT(pizza_sales[[#This Row],[order_date]],"dddd")</f>
        <v>Friday</v>
      </c>
      <c r="H3481" s="2">
        <v>0.83163194444444444</v>
      </c>
      <c r="I3481">
        <v>16</v>
      </c>
      <c r="J3481">
        <v>16</v>
      </c>
      <c r="K3481" t="s">
        <v>59</v>
      </c>
      <c r="L3481" t="s">
        <v>17</v>
      </c>
      <c r="M3481" t="s">
        <v>18</v>
      </c>
      <c r="N3481" t="s">
        <v>19</v>
      </c>
    </row>
    <row r="3482" spans="1:14" x14ac:dyDescent="0.25">
      <c r="A3482">
        <v>29478</v>
      </c>
      <c r="B3482">
        <v>13023</v>
      </c>
      <c r="C3482">
        <f>1/COUNTIF(B:B,pizza_sales[[#This Row],[order_id]])</f>
        <v>1</v>
      </c>
      <c r="D3482" t="s">
        <v>12</v>
      </c>
      <c r="E3482">
        <v>1</v>
      </c>
      <c r="F3482" s="1">
        <v>42132</v>
      </c>
      <c r="G3482" s="1" t="str">
        <f>TEXT(pizza_sales[[#This Row],[order_date]],"dddd")</f>
        <v>Friday</v>
      </c>
      <c r="H3482" s="2">
        <v>0.84111111111111114</v>
      </c>
      <c r="I3482">
        <v>13.25</v>
      </c>
      <c r="J3482">
        <v>13.25</v>
      </c>
      <c r="K3482" t="s">
        <v>59</v>
      </c>
      <c r="L3482" t="s">
        <v>13</v>
      </c>
      <c r="M3482" t="s">
        <v>14</v>
      </c>
      <c r="N3482" t="s">
        <v>15</v>
      </c>
    </row>
    <row r="3483" spans="1:14" x14ac:dyDescent="0.25">
      <c r="A3483">
        <v>29485</v>
      </c>
      <c r="B3483">
        <v>13027</v>
      </c>
      <c r="C3483">
        <f>1/COUNTIF(B:B,pizza_sales[[#This Row],[order_id]])</f>
        <v>1</v>
      </c>
      <c r="D3483" t="s">
        <v>24</v>
      </c>
      <c r="E3483">
        <v>1</v>
      </c>
      <c r="F3483" s="1">
        <v>42132</v>
      </c>
      <c r="G3483" s="1" t="str">
        <f>TEXT(pizza_sales[[#This Row],[order_date]],"dddd")</f>
        <v>Friday</v>
      </c>
      <c r="H3483" s="2">
        <v>0.90806712962962965</v>
      </c>
      <c r="I3483">
        <v>20.25</v>
      </c>
      <c r="J3483">
        <v>20.25</v>
      </c>
      <c r="K3483" t="s">
        <v>58</v>
      </c>
      <c r="L3483" t="s">
        <v>17</v>
      </c>
      <c r="M3483" t="s">
        <v>18</v>
      </c>
      <c r="N3483" t="s">
        <v>19</v>
      </c>
    </row>
    <row r="3484" spans="1:14" x14ac:dyDescent="0.25">
      <c r="A3484">
        <v>29487</v>
      </c>
      <c r="B3484">
        <v>13028</v>
      </c>
      <c r="C3484">
        <f>1/COUNTIF(B:B,pizza_sales[[#This Row],[order_id]])</f>
        <v>0.5</v>
      </c>
      <c r="D3484" t="s">
        <v>16</v>
      </c>
      <c r="E3484">
        <v>1</v>
      </c>
      <c r="F3484" s="1">
        <v>42132</v>
      </c>
      <c r="G3484" s="1" t="str">
        <f>TEXT(pizza_sales[[#This Row],[order_date]],"dddd")</f>
        <v>Friday</v>
      </c>
      <c r="H3484" s="2">
        <v>0.93343750000000003</v>
      </c>
      <c r="I3484">
        <v>16</v>
      </c>
      <c r="J3484">
        <v>16</v>
      </c>
      <c r="K3484" t="s">
        <v>59</v>
      </c>
      <c r="L3484" t="s">
        <v>17</v>
      </c>
      <c r="M3484" t="s">
        <v>18</v>
      </c>
      <c r="N3484" t="s">
        <v>19</v>
      </c>
    </row>
    <row r="3485" spans="1:14" x14ac:dyDescent="0.25">
      <c r="A3485">
        <v>29488</v>
      </c>
      <c r="B3485">
        <v>13028</v>
      </c>
      <c r="C3485">
        <f>1/COUNTIF(B:B,pizza_sales[[#This Row],[order_id]])</f>
        <v>0.5</v>
      </c>
      <c r="D3485" t="s">
        <v>38</v>
      </c>
      <c r="E3485">
        <v>1</v>
      </c>
      <c r="F3485" s="1">
        <v>42132</v>
      </c>
      <c r="G3485" s="1" t="str">
        <f>TEXT(pizza_sales[[#This Row],[order_date]],"dddd")</f>
        <v>Friday</v>
      </c>
      <c r="H3485" s="2">
        <v>0.93343750000000003</v>
      </c>
      <c r="I3485">
        <v>20.5</v>
      </c>
      <c r="J3485">
        <v>20.5</v>
      </c>
      <c r="K3485" t="s">
        <v>58</v>
      </c>
      <c r="L3485" t="s">
        <v>13</v>
      </c>
      <c r="M3485" t="s">
        <v>32</v>
      </c>
      <c r="N3485" t="s">
        <v>33</v>
      </c>
    </row>
    <row r="3486" spans="1:14" x14ac:dyDescent="0.25">
      <c r="A3486">
        <v>29489</v>
      </c>
      <c r="B3486">
        <v>13029</v>
      </c>
      <c r="C3486">
        <f>1/COUNTIF(B:B,pizza_sales[[#This Row],[order_id]])</f>
        <v>0.5</v>
      </c>
      <c r="D3486" t="s">
        <v>28</v>
      </c>
      <c r="E3486">
        <v>1</v>
      </c>
      <c r="F3486" s="1">
        <v>42163</v>
      </c>
      <c r="G3486" s="1" t="str">
        <f>TEXT(pizza_sales[[#This Row],[order_date]],"dddd")</f>
        <v>Monday</v>
      </c>
      <c r="H3486" s="2">
        <v>0.48109953703703706</v>
      </c>
      <c r="I3486">
        <v>12</v>
      </c>
      <c r="J3486">
        <v>12</v>
      </c>
      <c r="K3486" t="s">
        <v>60</v>
      </c>
      <c r="L3486" t="s">
        <v>13</v>
      </c>
      <c r="M3486" t="s">
        <v>29</v>
      </c>
      <c r="N3486" t="s">
        <v>30</v>
      </c>
    </row>
    <row r="3487" spans="1:14" x14ac:dyDescent="0.25">
      <c r="A3487">
        <v>29491</v>
      </c>
      <c r="B3487">
        <v>13029</v>
      </c>
      <c r="C3487">
        <f>1/COUNTIF(B:B,pizza_sales[[#This Row],[order_id]])</f>
        <v>0.5</v>
      </c>
      <c r="D3487" t="s">
        <v>47</v>
      </c>
      <c r="E3487">
        <v>1</v>
      </c>
      <c r="F3487" s="1">
        <v>42163</v>
      </c>
      <c r="G3487" s="1" t="str">
        <f>TEXT(pizza_sales[[#This Row],[order_date]],"dddd")</f>
        <v>Monday</v>
      </c>
      <c r="H3487" s="2">
        <v>0.48109953703703706</v>
      </c>
      <c r="I3487">
        <v>16.5</v>
      </c>
      <c r="J3487">
        <v>16.5</v>
      </c>
      <c r="K3487" t="s">
        <v>58</v>
      </c>
      <c r="L3487" t="s">
        <v>13</v>
      </c>
      <c r="M3487" t="s">
        <v>14</v>
      </c>
      <c r="N3487" t="s">
        <v>15</v>
      </c>
    </row>
    <row r="3488" spans="1:14" x14ac:dyDescent="0.25">
      <c r="A3488">
        <v>29493</v>
      </c>
      <c r="B3488">
        <v>13030</v>
      </c>
      <c r="C3488">
        <f>1/COUNTIF(B:B,pizza_sales[[#This Row],[order_id]])</f>
        <v>1</v>
      </c>
      <c r="D3488" t="s">
        <v>48</v>
      </c>
      <c r="E3488">
        <v>1</v>
      </c>
      <c r="F3488" s="1">
        <v>42163</v>
      </c>
      <c r="G3488" s="1" t="str">
        <f>TEXT(pizza_sales[[#This Row],[order_date]],"dddd")</f>
        <v>Monday</v>
      </c>
      <c r="H3488" s="2">
        <v>0.48592592592592593</v>
      </c>
      <c r="I3488">
        <v>12.25</v>
      </c>
      <c r="J3488">
        <v>12.25</v>
      </c>
      <c r="K3488" t="s">
        <v>60</v>
      </c>
      <c r="L3488" t="s">
        <v>35</v>
      </c>
      <c r="M3488" t="s">
        <v>40</v>
      </c>
      <c r="N3488" t="s">
        <v>41</v>
      </c>
    </row>
    <row r="3489" spans="1:14" x14ac:dyDescent="0.25">
      <c r="A3489">
        <v>29495</v>
      </c>
      <c r="B3489">
        <v>13031</v>
      </c>
      <c r="C3489">
        <f>1/COUNTIF(B:B,pizza_sales[[#This Row],[order_id]])</f>
        <v>1</v>
      </c>
      <c r="D3489" t="s">
        <v>45</v>
      </c>
      <c r="E3489">
        <v>1</v>
      </c>
      <c r="F3489" s="1">
        <v>42163</v>
      </c>
      <c r="G3489" s="1" t="str">
        <f>TEXT(pizza_sales[[#This Row],[order_date]],"dddd")</f>
        <v>Monday</v>
      </c>
      <c r="H3489" s="2">
        <v>0.49174768518518519</v>
      </c>
      <c r="I3489">
        <v>10.5</v>
      </c>
      <c r="J3489">
        <v>10.5</v>
      </c>
      <c r="K3489" t="s">
        <v>60</v>
      </c>
      <c r="L3489" t="s">
        <v>13</v>
      </c>
      <c r="M3489" t="s">
        <v>14</v>
      </c>
      <c r="N3489" t="s">
        <v>15</v>
      </c>
    </row>
    <row r="3490" spans="1:14" x14ac:dyDescent="0.25">
      <c r="A3490">
        <v>29498</v>
      </c>
      <c r="B3490">
        <v>13032</v>
      </c>
      <c r="C3490">
        <f>1/COUNTIF(B:B,pizza_sales[[#This Row],[order_id]])</f>
        <v>1</v>
      </c>
      <c r="D3490" t="s">
        <v>47</v>
      </c>
      <c r="E3490">
        <v>1</v>
      </c>
      <c r="F3490" s="1">
        <v>42163</v>
      </c>
      <c r="G3490" s="1" t="str">
        <f>TEXT(pizza_sales[[#This Row],[order_date]],"dddd")</f>
        <v>Monday</v>
      </c>
      <c r="H3490" s="2">
        <v>0.49532407407407408</v>
      </c>
      <c r="I3490">
        <v>16.5</v>
      </c>
      <c r="J3490">
        <v>16.5</v>
      </c>
      <c r="K3490" t="s">
        <v>58</v>
      </c>
      <c r="L3490" t="s">
        <v>13</v>
      </c>
      <c r="M3490" t="s">
        <v>14</v>
      </c>
      <c r="N3490" t="s">
        <v>15</v>
      </c>
    </row>
    <row r="3491" spans="1:14" x14ac:dyDescent="0.25">
      <c r="A3491">
        <v>29500</v>
      </c>
      <c r="B3491">
        <v>13033</v>
      </c>
      <c r="C3491">
        <f>1/COUNTIF(B:B,pizza_sales[[#This Row],[order_id]])</f>
        <v>1</v>
      </c>
      <c r="D3491" t="s">
        <v>44</v>
      </c>
      <c r="E3491">
        <v>1</v>
      </c>
      <c r="F3491" s="1">
        <v>42163</v>
      </c>
      <c r="G3491" s="1" t="str">
        <f>TEXT(pizza_sales[[#This Row],[order_date]],"dddd")</f>
        <v>Monday</v>
      </c>
      <c r="H3491" s="2">
        <v>0.49940972222222224</v>
      </c>
      <c r="I3491">
        <v>9.75</v>
      </c>
      <c r="J3491">
        <v>9.75</v>
      </c>
      <c r="K3491" t="s">
        <v>60</v>
      </c>
      <c r="L3491" t="s">
        <v>13</v>
      </c>
      <c r="M3491" t="s">
        <v>26</v>
      </c>
      <c r="N3491" t="s">
        <v>27</v>
      </c>
    </row>
    <row r="3492" spans="1:14" x14ac:dyDescent="0.25">
      <c r="A3492">
        <v>29501</v>
      </c>
      <c r="B3492">
        <v>13034</v>
      </c>
      <c r="C3492">
        <f>1/COUNTIF(B:B,pizza_sales[[#This Row],[order_id]])</f>
        <v>0.5</v>
      </c>
      <c r="D3492" t="s">
        <v>28</v>
      </c>
      <c r="E3492">
        <v>1</v>
      </c>
      <c r="F3492" s="1">
        <v>42163</v>
      </c>
      <c r="G3492" s="1" t="str">
        <f>TEXT(pizza_sales[[#This Row],[order_date]],"dddd")</f>
        <v>Monday</v>
      </c>
      <c r="H3492" s="2">
        <v>0.50082175925925931</v>
      </c>
      <c r="I3492">
        <v>12</v>
      </c>
      <c r="J3492">
        <v>12</v>
      </c>
      <c r="K3492" t="s">
        <v>60</v>
      </c>
      <c r="L3492" t="s">
        <v>13</v>
      </c>
      <c r="M3492" t="s">
        <v>29</v>
      </c>
      <c r="N3492" t="s">
        <v>30</v>
      </c>
    </row>
    <row r="3493" spans="1:14" x14ac:dyDescent="0.25">
      <c r="A3493">
        <v>29502</v>
      </c>
      <c r="B3493">
        <v>13034</v>
      </c>
      <c r="C3493">
        <f>1/COUNTIF(B:B,pizza_sales[[#This Row],[order_id]])</f>
        <v>0.5</v>
      </c>
      <c r="D3493" t="s">
        <v>48</v>
      </c>
      <c r="E3493">
        <v>1</v>
      </c>
      <c r="F3493" s="1">
        <v>42163</v>
      </c>
      <c r="G3493" s="1" t="str">
        <f>TEXT(pizza_sales[[#This Row],[order_date]],"dddd")</f>
        <v>Monday</v>
      </c>
      <c r="H3493" s="2">
        <v>0.50082175925925931</v>
      </c>
      <c r="I3493">
        <v>12.25</v>
      </c>
      <c r="J3493">
        <v>12.25</v>
      </c>
      <c r="K3493" t="s">
        <v>60</v>
      </c>
      <c r="L3493" t="s">
        <v>35</v>
      </c>
      <c r="M3493" t="s">
        <v>40</v>
      </c>
      <c r="N3493" t="s">
        <v>41</v>
      </c>
    </row>
    <row r="3494" spans="1:14" x14ac:dyDescent="0.25">
      <c r="A3494">
        <v>29503</v>
      </c>
      <c r="B3494">
        <v>13035</v>
      </c>
      <c r="C3494">
        <f>1/COUNTIF(B:B,pizza_sales[[#This Row],[order_id]])</f>
        <v>1</v>
      </c>
      <c r="D3494" t="s">
        <v>28</v>
      </c>
      <c r="E3494">
        <v>1</v>
      </c>
      <c r="F3494" s="1">
        <v>42163</v>
      </c>
      <c r="G3494" s="1" t="str">
        <f>TEXT(pizza_sales[[#This Row],[order_date]],"dddd")</f>
        <v>Monday</v>
      </c>
      <c r="H3494" s="2">
        <v>0.50271990740740746</v>
      </c>
      <c r="I3494">
        <v>12</v>
      </c>
      <c r="J3494">
        <v>12</v>
      </c>
      <c r="K3494" t="s">
        <v>60</v>
      </c>
      <c r="L3494" t="s">
        <v>13</v>
      </c>
      <c r="M3494" t="s">
        <v>29</v>
      </c>
      <c r="N3494" t="s">
        <v>30</v>
      </c>
    </row>
    <row r="3495" spans="1:14" x14ac:dyDescent="0.25">
      <c r="A3495">
        <v>29506</v>
      </c>
      <c r="B3495">
        <v>13036</v>
      </c>
      <c r="C3495">
        <f>1/COUNTIF(B:B,pizza_sales[[#This Row],[order_id]])</f>
        <v>0.5</v>
      </c>
      <c r="D3495" t="s">
        <v>50</v>
      </c>
      <c r="E3495">
        <v>1</v>
      </c>
      <c r="F3495" s="1">
        <v>42163</v>
      </c>
      <c r="G3495" s="1" t="str">
        <f>TEXT(pizza_sales[[#This Row],[order_date]],"dddd")</f>
        <v>Monday</v>
      </c>
      <c r="H3495" s="2">
        <v>0.50406249999999997</v>
      </c>
      <c r="I3495">
        <v>16</v>
      </c>
      <c r="J3495">
        <v>16</v>
      </c>
      <c r="K3495" t="s">
        <v>59</v>
      </c>
      <c r="L3495" t="s">
        <v>13</v>
      </c>
      <c r="M3495" t="s">
        <v>32</v>
      </c>
      <c r="N3495" t="s">
        <v>33</v>
      </c>
    </row>
    <row r="3496" spans="1:14" x14ac:dyDescent="0.25">
      <c r="A3496">
        <v>29507</v>
      </c>
      <c r="B3496">
        <v>13036</v>
      </c>
      <c r="C3496">
        <f>1/COUNTIF(B:B,pizza_sales[[#This Row],[order_id]])</f>
        <v>0.5</v>
      </c>
      <c r="D3496" t="s">
        <v>31</v>
      </c>
      <c r="E3496">
        <v>1</v>
      </c>
      <c r="F3496" s="1">
        <v>42163</v>
      </c>
      <c r="G3496" s="1" t="str">
        <f>TEXT(pizza_sales[[#This Row],[order_date]],"dddd")</f>
        <v>Monday</v>
      </c>
      <c r="H3496" s="2">
        <v>0.50406249999999997</v>
      </c>
      <c r="I3496">
        <v>12</v>
      </c>
      <c r="J3496">
        <v>12</v>
      </c>
      <c r="K3496" t="s">
        <v>60</v>
      </c>
      <c r="L3496" t="s">
        <v>13</v>
      </c>
      <c r="M3496" t="s">
        <v>32</v>
      </c>
      <c r="N3496" t="s">
        <v>33</v>
      </c>
    </row>
    <row r="3497" spans="1:14" x14ac:dyDescent="0.25">
      <c r="A3497">
        <v>29514</v>
      </c>
      <c r="B3497">
        <v>13039</v>
      </c>
      <c r="C3497">
        <f>1/COUNTIF(B:B,pizza_sales[[#This Row],[order_id]])</f>
        <v>0.5</v>
      </c>
      <c r="D3497" t="s">
        <v>34</v>
      </c>
      <c r="E3497">
        <v>1</v>
      </c>
      <c r="F3497" s="1">
        <v>42163</v>
      </c>
      <c r="G3497" s="1" t="str">
        <f>TEXT(pizza_sales[[#This Row],[order_date]],"dddd")</f>
        <v>Monday</v>
      </c>
      <c r="H3497" s="2">
        <v>0.51953703703703702</v>
      </c>
      <c r="I3497">
        <v>16.25</v>
      </c>
      <c r="J3497">
        <v>16.25</v>
      </c>
      <c r="K3497" t="s">
        <v>59</v>
      </c>
      <c r="L3497" t="s">
        <v>35</v>
      </c>
      <c r="M3497" t="s">
        <v>36</v>
      </c>
      <c r="N3497" t="s">
        <v>37</v>
      </c>
    </row>
    <row r="3498" spans="1:14" x14ac:dyDescent="0.25">
      <c r="A3498">
        <v>29515</v>
      </c>
      <c r="B3498">
        <v>13039</v>
      </c>
      <c r="C3498">
        <f>1/COUNTIF(B:B,pizza_sales[[#This Row],[order_id]])</f>
        <v>0.5</v>
      </c>
      <c r="D3498" t="s">
        <v>42</v>
      </c>
      <c r="E3498">
        <v>1</v>
      </c>
      <c r="F3498" s="1">
        <v>42163</v>
      </c>
      <c r="G3498" s="1" t="str">
        <f>TEXT(pizza_sales[[#This Row],[order_date]],"dddd")</f>
        <v>Monday</v>
      </c>
      <c r="H3498" s="2">
        <v>0.51953703703703702</v>
      </c>
      <c r="I3498">
        <v>12.5</v>
      </c>
      <c r="J3498">
        <v>12.5</v>
      </c>
      <c r="K3498" t="s">
        <v>59</v>
      </c>
      <c r="L3498" t="s">
        <v>13</v>
      </c>
      <c r="M3498" t="s">
        <v>26</v>
      </c>
      <c r="N3498" t="s">
        <v>27</v>
      </c>
    </row>
    <row r="3499" spans="1:14" x14ac:dyDescent="0.25">
      <c r="A3499">
        <v>29518</v>
      </c>
      <c r="B3499">
        <v>13041</v>
      </c>
      <c r="C3499">
        <f>1/COUNTIF(B:B,pizza_sales[[#This Row],[order_id]])</f>
        <v>1</v>
      </c>
      <c r="D3499" t="s">
        <v>45</v>
      </c>
      <c r="E3499">
        <v>1</v>
      </c>
      <c r="F3499" s="1">
        <v>42163</v>
      </c>
      <c r="G3499" s="1" t="str">
        <f>TEXT(pizza_sales[[#This Row],[order_date]],"dddd")</f>
        <v>Monday</v>
      </c>
      <c r="H3499" s="2">
        <v>0.52901620370370372</v>
      </c>
      <c r="I3499">
        <v>10.5</v>
      </c>
      <c r="J3499">
        <v>10.5</v>
      </c>
      <c r="K3499" t="s">
        <v>60</v>
      </c>
      <c r="L3499" t="s">
        <v>13</v>
      </c>
      <c r="M3499" t="s">
        <v>14</v>
      </c>
      <c r="N3499" t="s">
        <v>15</v>
      </c>
    </row>
    <row r="3500" spans="1:14" x14ac:dyDescent="0.25">
      <c r="A3500">
        <v>29519</v>
      </c>
      <c r="B3500">
        <v>13042</v>
      </c>
      <c r="C3500">
        <f>1/COUNTIF(B:B,pizza_sales[[#This Row],[order_id]])</f>
        <v>1</v>
      </c>
      <c r="D3500" t="s">
        <v>28</v>
      </c>
      <c r="E3500">
        <v>1</v>
      </c>
      <c r="F3500" s="1">
        <v>42163</v>
      </c>
      <c r="G3500" s="1" t="str">
        <f>TEXT(pizza_sales[[#This Row],[order_date]],"dddd")</f>
        <v>Monday</v>
      </c>
      <c r="H3500" s="2">
        <v>0.53054398148148152</v>
      </c>
      <c r="I3500">
        <v>12</v>
      </c>
      <c r="J3500">
        <v>12</v>
      </c>
      <c r="K3500" t="s">
        <v>60</v>
      </c>
      <c r="L3500" t="s">
        <v>13</v>
      </c>
      <c r="M3500" t="s">
        <v>29</v>
      </c>
      <c r="N3500" t="s">
        <v>30</v>
      </c>
    </row>
    <row r="3501" spans="1:14" x14ac:dyDescent="0.25">
      <c r="A3501">
        <v>29525</v>
      </c>
      <c r="B3501">
        <v>13045</v>
      </c>
      <c r="C3501">
        <f>1/COUNTIF(B:B,pizza_sales[[#This Row],[order_id]])</f>
        <v>1</v>
      </c>
      <c r="D3501" t="s">
        <v>38</v>
      </c>
      <c r="E3501">
        <v>1</v>
      </c>
      <c r="F3501" s="1">
        <v>42163</v>
      </c>
      <c r="G3501" s="1" t="str">
        <f>TEXT(pizza_sales[[#This Row],[order_date]],"dddd")</f>
        <v>Monday</v>
      </c>
      <c r="H3501" s="2">
        <v>0.54947916666666663</v>
      </c>
      <c r="I3501">
        <v>20.5</v>
      </c>
      <c r="J3501">
        <v>20.5</v>
      </c>
      <c r="K3501" t="s">
        <v>58</v>
      </c>
      <c r="L3501" t="s">
        <v>13</v>
      </c>
      <c r="M3501" t="s">
        <v>32</v>
      </c>
      <c r="N3501" t="s">
        <v>33</v>
      </c>
    </row>
    <row r="3502" spans="1:14" x14ac:dyDescent="0.25">
      <c r="A3502">
        <v>29526</v>
      </c>
      <c r="B3502">
        <v>13046</v>
      </c>
      <c r="C3502">
        <f>1/COUNTIF(B:B,pizza_sales[[#This Row],[order_id]])</f>
        <v>1</v>
      </c>
      <c r="D3502" t="s">
        <v>16</v>
      </c>
      <c r="E3502">
        <v>1</v>
      </c>
      <c r="F3502" s="1">
        <v>42163</v>
      </c>
      <c r="G3502" s="1" t="str">
        <f>TEXT(pizza_sales[[#This Row],[order_date]],"dddd")</f>
        <v>Monday</v>
      </c>
      <c r="H3502" s="2">
        <v>0.55399305555555556</v>
      </c>
      <c r="I3502">
        <v>16</v>
      </c>
      <c r="J3502">
        <v>16</v>
      </c>
      <c r="K3502" t="s">
        <v>59</v>
      </c>
      <c r="L3502" t="s">
        <v>17</v>
      </c>
      <c r="M3502" t="s">
        <v>18</v>
      </c>
      <c r="N3502" t="s">
        <v>19</v>
      </c>
    </row>
    <row r="3503" spans="1:14" x14ac:dyDescent="0.25">
      <c r="A3503">
        <v>29531</v>
      </c>
      <c r="B3503">
        <v>13048</v>
      </c>
      <c r="C3503">
        <f>1/COUNTIF(B:B,pizza_sales[[#This Row],[order_id]])</f>
        <v>1</v>
      </c>
      <c r="D3503" t="s">
        <v>20</v>
      </c>
      <c r="E3503">
        <v>1</v>
      </c>
      <c r="F3503" s="1">
        <v>42163</v>
      </c>
      <c r="G3503" s="1" t="str">
        <f>TEXT(pizza_sales[[#This Row],[order_date]],"dddd")</f>
        <v>Monday</v>
      </c>
      <c r="H3503" s="2">
        <v>0.55730324074074078</v>
      </c>
      <c r="I3503">
        <v>12</v>
      </c>
      <c r="J3503">
        <v>12</v>
      </c>
      <c r="K3503" t="s">
        <v>60</v>
      </c>
      <c r="L3503" t="s">
        <v>13</v>
      </c>
      <c r="M3503" t="s">
        <v>21</v>
      </c>
      <c r="N3503" t="s">
        <v>22</v>
      </c>
    </row>
    <row r="3504" spans="1:14" x14ac:dyDescent="0.25">
      <c r="A3504">
        <v>29533</v>
      </c>
      <c r="B3504">
        <v>13050</v>
      </c>
      <c r="C3504">
        <f>1/COUNTIF(B:B,pizza_sales[[#This Row],[order_id]])</f>
        <v>1</v>
      </c>
      <c r="D3504" t="s">
        <v>50</v>
      </c>
      <c r="E3504">
        <v>1</v>
      </c>
      <c r="F3504" s="1">
        <v>42163</v>
      </c>
      <c r="G3504" s="1" t="str">
        <f>TEXT(pizza_sales[[#This Row],[order_date]],"dddd")</f>
        <v>Monday</v>
      </c>
      <c r="H3504" s="2">
        <v>0.56478009259259254</v>
      </c>
      <c r="I3504">
        <v>16</v>
      </c>
      <c r="J3504">
        <v>16</v>
      </c>
      <c r="K3504" t="s">
        <v>59</v>
      </c>
      <c r="L3504" t="s">
        <v>13</v>
      </c>
      <c r="M3504" t="s">
        <v>32</v>
      </c>
      <c r="N3504" t="s">
        <v>33</v>
      </c>
    </row>
    <row r="3505" spans="1:14" x14ac:dyDescent="0.25">
      <c r="A3505">
        <v>29536</v>
      </c>
      <c r="B3505">
        <v>13052</v>
      </c>
      <c r="C3505">
        <f>1/COUNTIF(B:B,pizza_sales[[#This Row],[order_id]])</f>
        <v>0.5</v>
      </c>
      <c r="D3505" t="s">
        <v>28</v>
      </c>
      <c r="E3505">
        <v>1</v>
      </c>
      <c r="F3505" s="1">
        <v>42163</v>
      </c>
      <c r="G3505" s="1" t="str">
        <f>TEXT(pizza_sales[[#This Row],[order_date]],"dddd")</f>
        <v>Monday</v>
      </c>
      <c r="H3505" s="2">
        <v>0.58559027777777772</v>
      </c>
      <c r="I3505">
        <v>12</v>
      </c>
      <c r="J3505">
        <v>12</v>
      </c>
      <c r="K3505" t="s">
        <v>60</v>
      </c>
      <c r="L3505" t="s">
        <v>13</v>
      </c>
      <c r="M3505" t="s">
        <v>29</v>
      </c>
      <c r="N3505" t="s">
        <v>30</v>
      </c>
    </row>
    <row r="3506" spans="1:14" x14ac:dyDescent="0.25">
      <c r="A3506">
        <v>29537</v>
      </c>
      <c r="B3506">
        <v>13052</v>
      </c>
      <c r="C3506">
        <f>1/COUNTIF(B:B,pizza_sales[[#This Row],[order_id]])</f>
        <v>0.5</v>
      </c>
      <c r="D3506" t="s">
        <v>51</v>
      </c>
      <c r="E3506">
        <v>1</v>
      </c>
      <c r="F3506" s="1">
        <v>42163</v>
      </c>
      <c r="G3506" s="1" t="str">
        <f>TEXT(pizza_sales[[#This Row],[order_date]],"dddd")</f>
        <v>Monday</v>
      </c>
      <c r="H3506" s="2">
        <v>0.58559027777777772</v>
      </c>
      <c r="I3506">
        <v>23.65</v>
      </c>
      <c r="J3506">
        <v>23.65</v>
      </c>
      <c r="K3506" t="s">
        <v>60</v>
      </c>
      <c r="L3506" t="s">
        <v>35</v>
      </c>
      <c r="M3506" t="s">
        <v>52</v>
      </c>
      <c r="N3506" t="s">
        <v>53</v>
      </c>
    </row>
    <row r="3507" spans="1:14" x14ac:dyDescent="0.25">
      <c r="A3507">
        <v>29542</v>
      </c>
      <c r="B3507">
        <v>13053</v>
      </c>
      <c r="C3507">
        <f>1/COUNTIF(B:B,pizza_sales[[#This Row],[order_id]])</f>
        <v>1</v>
      </c>
      <c r="D3507" t="s">
        <v>38</v>
      </c>
      <c r="E3507">
        <v>1</v>
      </c>
      <c r="F3507" s="1">
        <v>42163</v>
      </c>
      <c r="G3507" s="1" t="str">
        <f>TEXT(pizza_sales[[#This Row],[order_date]],"dddd")</f>
        <v>Monday</v>
      </c>
      <c r="H3507" s="2">
        <v>0.58797453703703706</v>
      </c>
      <c r="I3507">
        <v>20.5</v>
      </c>
      <c r="J3507">
        <v>20.5</v>
      </c>
      <c r="K3507" t="s">
        <v>58</v>
      </c>
      <c r="L3507" t="s">
        <v>13</v>
      </c>
      <c r="M3507" t="s">
        <v>32</v>
      </c>
      <c r="N3507" t="s">
        <v>33</v>
      </c>
    </row>
    <row r="3508" spans="1:14" x14ac:dyDescent="0.25">
      <c r="A3508">
        <v>29546</v>
      </c>
      <c r="B3508">
        <v>13054</v>
      </c>
      <c r="C3508">
        <f>1/COUNTIF(B:B,pizza_sales[[#This Row],[order_id]])</f>
        <v>0.33333333333333331</v>
      </c>
      <c r="D3508" t="s">
        <v>47</v>
      </c>
      <c r="E3508">
        <v>1</v>
      </c>
      <c r="F3508" s="1">
        <v>42163</v>
      </c>
      <c r="G3508" s="1" t="str">
        <f>TEXT(pizza_sales[[#This Row],[order_date]],"dddd")</f>
        <v>Monday</v>
      </c>
      <c r="H3508" s="2">
        <v>0.58842592592592591</v>
      </c>
      <c r="I3508">
        <v>16.5</v>
      </c>
      <c r="J3508">
        <v>16.5</v>
      </c>
      <c r="K3508" t="s">
        <v>58</v>
      </c>
      <c r="L3508" t="s">
        <v>13</v>
      </c>
      <c r="M3508" t="s">
        <v>14</v>
      </c>
      <c r="N3508" t="s">
        <v>15</v>
      </c>
    </row>
    <row r="3509" spans="1:14" x14ac:dyDescent="0.25">
      <c r="A3509">
        <v>29548</v>
      </c>
      <c r="B3509">
        <v>13054</v>
      </c>
      <c r="C3509">
        <f>1/COUNTIF(B:B,pizza_sales[[#This Row],[order_id]])</f>
        <v>0.33333333333333331</v>
      </c>
      <c r="D3509" t="s">
        <v>42</v>
      </c>
      <c r="E3509">
        <v>1</v>
      </c>
      <c r="F3509" s="1">
        <v>42163</v>
      </c>
      <c r="G3509" s="1" t="str">
        <f>TEXT(pizza_sales[[#This Row],[order_date]],"dddd")</f>
        <v>Monday</v>
      </c>
      <c r="H3509" s="2">
        <v>0.58842592592592591</v>
      </c>
      <c r="I3509">
        <v>12.5</v>
      </c>
      <c r="J3509">
        <v>12.5</v>
      </c>
      <c r="K3509" t="s">
        <v>59</v>
      </c>
      <c r="L3509" t="s">
        <v>13</v>
      </c>
      <c r="M3509" t="s">
        <v>26</v>
      </c>
      <c r="N3509" t="s">
        <v>27</v>
      </c>
    </row>
    <row r="3510" spans="1:14" x14ac:dyDescent="0.25">
      <c r="A3510">
        <v>29549</v>
      </c>
      <c r="B3510">
        <v>13054</v>
      </c>
      <c r="C3510">
        <f>1/COUNTIF(B:B,pizza_sales[[#This Row],[order_id]])</f>
        <v>0.33333333333333331</v>
      </c>
      <c r="D3510" t="s">
        <v>43</v>
      </c>
      <c r="E3510">
        <v>1</v>
      </c>
      <c r="F3510" s="1">
        <v>42163</v>
      </c>
      <c r="G3510" s="1" t="str">
        <f>TEXT(pizza_sales[[#This Row],[order_date]],"dddd")</f>
        <v>Monday</v>
      </c>
      <c r="H3510" s="2">
        <v>0.58842592592592591</v>
      </c>
      <c r="I3510">
        <v>16.25</v>
      </c>
      <c r="J3510">
        <v>16.25</v>
      </c>
      <c r="K3510" t="s">
        <v>59</v>
      </c>
      <c r="L3510" t="s">
        <v>35</v>
      </c>
      <c r="M3510" t="s">
        <v>40</v>
      </c>
      <c r="N3510" t="s">
        <v>41</v>
      </c>
    </row>
    <row r="3511" spans="1:14" x14ac:dyDescent="0.25">
      <c r="A3511">
        <v>29554</v>
      </c>
      <c r="B3511">
        <v>13057</v>
      </c>
      <c r="C3511">
        <f>1/COUNTIF(B:B,pizza_sales[[#This Row],[order_id]])</f>
        <v>1</v>
      </c>
      <c r="D3511" t="s">
        <v>28</v>
      </c>
      <c r="E3511">
        <v>1</v>
      </c>
      <c r="F3511" s="1">
        <v>42163</v>
      </c>
      <c r="G3511" s="1" t="str">
        <f>TEXT(pizza_sales[[#This Row],[order_date]],"dddd")</f>
        <v>Monday</v>
      </c>
      <c r="H3511" s="2">
        <v>0.61949074074074073</v>
      </c>
      <c r="I3511">
        <v>12</v>
      </c>
      <c r="J3511">
        <v>12</v>
      </c>
      <c r="K3511" t="s">
        <v>60</v>
      </c>
      <c r="L3511" t="s">
        <v>13</v>
      </c>
      <c r="M3511" t="s">
        <v>29</v>
      </c>
      <c r="N3511" t="s">
        <v>30</v>
      </c>
    </row>
    <row r="3512" spans="1:14" x14ac:dyDescent="0.25">
      <c r="A3512">
        <v>29557</v>
      </c>
      <c r="B3512">
        <v>13058</v>
      </c>
      <c r="C3512">
        <f>1/COUNTIF(B:B,pizza_sales[[#This Row],[order_id]])</f>
        <v>1</v>
      </c>
      <c r="D3512" t="s">
        <v>47</v>
      </c>
      <c r="E3512">
        <v>1</v>
      </c>
      <c r="F3512" s="1">
        <v>42163</v>
      </c>
      <c r="G3512" s="1" t="str">
        <f>TEXT(pizza_sales[[#This Row],[order_date]],"dddd")</f>
        <v>Monday</v>
      </c>
      <c r="H3512" s="2">
        <v>0.62146990740740737</v>
      </c>
      <c r="I3512">
        <v>16.5</v>
      </c>
      <c r="J3512">
        <v>16.5</v>
      </c>
      <c r="K3512" t="s">
        <v>58</v>
      </c>
      <c r="L3512" t="s">
        <v>13</v>
      </c>
      <c r="M3512" t="s">
        <v>14</v>
      </c>
      <c r="N3512" t="s">
        <v>15</v>
      </c>
    </row>
    <row r="3513" spans="1:14" x14ac:dyDescent="0.25">
      <c r="A3513">
        <v>29562</v>
      </c>
      <c r="B3513">
        <v>13061</v>
      </c>
      <c r="C3513">
        <f>1/COUNTIF(B:B,pizza_sales[[#This Row],[order_id]])</f>
        <v>1</v>
      </c>
      <c r="D3513" t="s">
        <v>25</v>
      </c>
      <c r="E3513">
        <v>1</v>
      </c>
      <c r="F3513" s="1">
        <v>42163</v>
      </c>
      <c r="G3513" s="1" t="str">
        <f>TEXT(pizza_sales[[#This Row],[order_date]],"dddd")</f>
        <v>Monday</v>
      </c>
      <c r="H3513" s="2">
        <v>0.65695601851851848</v>
      </c>
      <c r="I3513">
        <v>15.25</v>
      </c>
      <c r="J3513">
        <v>15.25</v>
      </c>
      <c r="K3513" t="s">
        <v>58</v>
      </c>
      <c r="L3513" t="s">
        <v>13</v>
      </c>
      <c r="M3513" t="s">
        <v>26</v>
      </c>
      <c r="N3513" t="s">
        <v>27</v>
      </c>
    </row>
    <row r="3514" spans="1:14" x14ac:dyDescent="0.25">
      <c r="A3514">
        <v>29575</v>
      </c>
      <c r="B3514">
        <v>13068</v>
      </c>
      <c r="C3514">
        <f>1/COUNTIF(B:B,pizza_sales[[#This Row],[order_id]])</f>
        <v>1</v>
      </c>
      <c r="D3514" t="s">
        <v>48</v>
      </c>
      <c r="E3514">
        <v>1</v>
      </c>
      <c r="F3514" s="1">
        <v>42163</v>
      </c>
      <c r="G3514" s="1" t="str">
        <f>TEXT(pizza_sales[[#This Row],[order_date]],"dddd")</f>
        <v>Monday</v>
      </c>
      <c r="H3514" s="2">
        <v>0.72155092592592596</v>
      </c>
      <c r="I3514">
        <v>12.25</v>
      </c>
      <c r="J3514">
        <v>12.25</v>
      </c>
      <c r="K3514" t="s">
        <v>60</v>
      </c>
      <c r="L3514" t="s">
        <v>35</v>
      </c>
      <c r="M3514" t="s">
        <v>40</v>
      </c>
      <c r="N3514" t="s">
        <v>41</v>
      </c>
    </row>
    <row r="3515" spans="1:14" x14ac:dyDescent="0.25">
      <c r="A3515">
        <v>29583</v>
      </c>
      <c r="B3515">
        <v>13071</v>
      </c>
      <c r="C3515">
        <f>1/COUNTIF(B:B,pizza_sales[[#This Row],[order_id]])</f>
        <v>1</v>
      </c>
      <c r="D3515" t="s">
        <v>43</v>
      </c>
      <c r="E3515">
        <v>1</v>
      </c>
      <c r="F3515" s="1">
        <v>42163</v>
      </c>
      <c r="G3515" s="1" t="str">
        <f>TEXT(pizza_sales[[#This Row],[order_date]],"dddd")</f>
        <v>Monday</v>
      </c>
      <c r="H3515" s="2">
        <v>0.73935185185185182</v>
      </c>
      <c r="I3515">
        <v>16.25</v>
      </c>
      <c r="J3515">
        <v>16.25</v>
      </c>
      <c r="K3515" t="s">
        <v>59</v>
      </c>
      <c r="L3515" t="s">
        <v>35</v>
      </c>
      <c r="M3515" t="s">
        <v>40</v>
      </c>
      <c r="N3515" t="s">
        <v>41</v>
      </c>
    </row>
    <row r="3516" spans="1:14" x14ac:dyDescent="0.25">
      <c r="A3516">
        <v>29586</v>
      </c>
      <c r="B3516">
        <v>13073</v>
      </c>
      <c r="C3516">
        <f>1/COUNTIF(B:B,pizza_sales[[#This Row],[order_id]])</f>
        <v>1</v>
      </c>
      <c r="D3516" t="s">
        <v>46</v>
      </c>
      <c r="E3516">
        <v>1</v>
      </c>
      <c r="F3516" s="1">
        <v>42163</v>
      </c>
      <c r="G3516" s="1" t="str">
        <f>TEXT(pizza_sales[[#This Row],[order_date]],"dddd")</f>
        <v>Monday</v>
      </c>
      <c r="H3516" s="2">
        <v>0.74103009259259256</v>
      </c>
      <c r="I3516">
        <v>25.5</v>
      </c>
      <c r="J3516">
        <v>25.5</v>
      </c>
      <c r="K3516" t="s">
        <v>61</v>
      </c>
      <c r="L3516" t="s">
        <v>13</v>
      </c>
      <c r="M3516" t="s">
        <v>21</v>
      </c>
      <c r="N3516" t="s">
        <v>22</v>
      </c>
    </row>
    <row r="3517" spans="1:14" x14ac:dyDescent="0.25">
      <c r="A3517">
        <v>29588</v>
      </c>
      <c r="B3517">
        <v>13074</v>
      </c>
      <c r="C3517">
        <f>1/COUNTIF(B:B,pizza_sales[[#This Row],[order_id]])</f>
        <v>1</v>
      </c>
      <c r="D3517" t="s">
        <v>16</v>
      </c>
      <c r="E3517">
        <v>1</v>
      </c>
      <c r="F3517" s="1">
        <v>42163</v>
      </c>
      <c r="G3517" s="1" t="str">
        <f>TEXT(pizza_sales[[#This Row],[order_date]],"dddd")</f>
        <v>Monday</v>
      </c>
      <c r="H3517" s="2">
        <v>0.74494212962962958</v>
      </c>
      <c r="I3517">
        <v>16</v>
      </c>
      <c r="J3517">
        <v>16</v>
      </c>
      <c r="K3517" t="s">
        <v>59</v>
      </c>
      <c r="L3517" t="s">
        <v>17</v>
      </c>
      <c r="M3517" t="s">
        <v>18</v>
      </c>
      <c r="N3517" t="s">
        <v>19</v>
      </c>
    </row>
    <row r="3518" spans="1:14" x14ac:dyDescent="0.25">
      <c r="A3518">
        <v>29589</v>
      </c>
      <c r="B3518">
        <v>13075</v>
      </c>
      <c r="C3518">
        <f>1/COUNTIF(B:B,pizza_sales[[#This Row],[order_id]])</f>
        <v>1</v>
      </c>
      <c r="D3518" t="s">
        <v>34</v>
      </c>
      <c r="E3518">
        <v>1</v>
      </c>
      <c r="F3518" s="1">
        <v>42163</v>
      </c>
      <c r="G3518" s="1" t="str">
        <f>TEXT(pizza_sales[[#This Row],[order_date]],"dddd")</f>
        <v>Monday</v>
      </c>
      <c r="H3518" s="2">
        <v>0.74600694444444449</v>
      </c>
      <c r="I3518">
        <v>16.25</v>
      </c>
      <c r="J3518">
        <v>16.25</v>
      </c>
      <c r="K3518" t="s">
        <v>59</v>
      </c>
      <c r="L3518" t="s">
        <v>35</v>
      </c>
      <c r="M3518" t="s">
        <v>36</v>
      </c>
      <c r="N3518" t="s">
        <v>37</v>
      </c>
    </row>
    <row r="3519" spans="1:14" x14ac:dyDescent="0.25">
      <c r="A3519">
        <v>29595</v>
      </c>
      <c r="B3519">
        <v>13077</v>
      </c>
      <c r="C3519">
        <f>1/COUNTIF(B:B,pizza_sales[[#This Row],[order_id]])</f>
        <v>1</v>
      </c>
      <c r="D3519" t="s">
        <v>12</v>
      </c>
      <c r="E3519">
        <v>1</v>
      </c>
      <c r="F3519" s="1">
        <v>42163</v>
      </c>
      <c r="G3519" s="1" t="str">
        <f>TEXT(pizza_sales[[#This Row],[order_date]],"dddd")</f>
        <v>Monday</v>
      </c>
      <c r="H3519" s="2">
        <v>0.75762731481481482</v>
      </c>
      <c r="I3519">
        <v>13.25</v>
      </c>
      <c r="J3519">
        <v>13.25</v>
      </c>
      <c r="K3519" t="s">
        <v>59</v>
      </c>
      <c r="L3519" t="s">
        <v>13</v>
      </c>
      <c r="M3519" t="s">
        <v>14</v>
      </c>
      <c r="N3519" t="s">
        <v>15</v>
      </c>
    </row>
    <row r="3520" spans="1:14" x14ac:dyDescent="0.25">
      <c r="A3520">
        <v>29597</v>
      </c>
      <c r="B3520">
        <v>13078</v>
      </c>
      <c r="C3520">
        <f>1/COUNTIF(B:B,pizza_sales[[#This Row],[order_id]])</f>
        <v>1</v>
      </c>
      <c r="D3520" t="s">
        <v>47</v>
      </c>
      <c r="E3520">
        <v>1</v>
      </c>
      <c r="F3520" s="1">
        <v>42163</v>
      </c>
      <c r="G3520" s="1" t="str">
        <f>TEXT(pizza_sales[[#This Row],[order_date]],"dddd")</f>
        <v>Monday</v>
      </c>
      <c r="H3520" s="2">
        <v>0.77197916666666666</v>
      </c>
      <c r="I3520">
        <v>16.5</v>
      </c>
      <c r="J3520">
        <v>16.5</v>
      </c>
      <c r="K3520" t="s">
        <v>58</v>
      </c>
      <c r="L3520" t="s">
        <v>13</v>
      </c>
      <c r="M3520" t="s">
        <v>14</v>
      </c>
      <c r="N3520" t="s">
        <v>15</v>
      </c>
    </row>
    <row r="3521" spans="1:14" x14ac:dyDescent="0.25">
      <c r="A3521">
        <v>29603</v>
      </c>
      <c r="B3521">
        <v>13080</v>
      </c>
      <c r="C3521">
        <f>1/COUNTIF(B:B,pizza_sales[[#This Row],[order_id]])</f>
        <v>0.5</v>
      </c>
      <c r="D3521" t="s">
        <v>24</v>
      </c>
      <c r="E3521">
        <v>1</v>
      </c>
      <c r="F3521" s="1">
        <v>42163</v>
      </c>
      <c r="G3521" s="1" t="str">
        <f>TEXT(pizza_sales[[#This Row],[order_date]],"dddd")</f>
        <v>Monday</v>
      </c>
      <c r="H3521" s="2">
        <v>0.77968749999999998</v>
      </c>
      <c r="I3521">
        <v>20.25</v>
      </c>
      <c r="J3521">
        <v>20.25</v>
      </c>
      <c r="K3521" t="s">
        <v>58</v>
      </c>
      <c r="L3521" t="s">
        <v>17</v>
      </c>
      <c r="M3521" t="s">
        <v>18</v>
      </c>
      <c r="N3521" t="s">
        <v>19</v>
      </c>
    </row>
    <row r="3522" spans="1:14" x14ac:dyDescent="0.25">
      <c r="A3522">
        <v>29604</v>
      </c>
      <c r="B3522">
        <v>13080</v>
      </c>
      <c r="C3522">
        <f>1/COUNTIF(B:B,pizza_sales[[#This Row],[order_id]])</f>
        <v>0.5</v>
      </c>
      <c r="D3522" t="s">
        <v>25</v>
      </c>
      <c r="E3522">
        <v>1</v>
      </c>
      <c r="F3522" s="1">
        <v>42163</v>
      </c>
      <c r="G3522" s="1" t="str">
        <f>TEXT(pizza_sales[[#This Row],[order_date]],"dddd")</f>
        <v>Monday</v>
      </c>
      <c r="H3522" s="2">
        <v>0.77968749999999998</v>
      </c>
      <c r="I3522">
        <v>15.25</v>
      </c>
      <c r="J3522">
        <v>15.25</v>
      </c>
      <c r="K3522" t="s">
        <v>58</v>
      </c>
      <c r="L3522" t="s">
        <v>13</v>
      </c>
      <c r="M3522" t="s">
        <v>26</v>
      </c>
      <c r="N3522" t="s">
        <v>27</v>
      </c>
    </row>
    <row r="3523" spans="1:14" x14ac:dyDescent="0.25">
      <c r="A3523">
        <v>29607</v>
      </c>
      <c r="B3523">
        <v>13082</v>
      </c>
      <c r="C3523">
        <f>1/COUNTIF(B:B,pizza_sales[[#This Row],[order_id]])</f>
        <v>1</v>
      </c>
      <c r="D3523" t="s">
        <v>34</v>
      </c>
      <c r="E3523">
        <v>1</v>
      </c>
      <c r="F3523" s="1">
        <v>42163</v>
      </c>
      <c r="G3523" s="1" t="str">
        <f>TEXT(pizza_sales[[#This Row],[order_date]],"dddd")</f>
        <v>Monday</v>
      </c>
      <c r="H3523" s="2">
        <v>0.79341435185185183</v>
      </c>
      <c r="I3523">
        <v>16.25</v>
      </c>
      <c r="J3523">
        <v>16.25</v>
      </c>
      <c r="K3523" t="s">
        <v>59</v>
      </c>
      <c r="L3523" t="s">
        <v>35</v>
      </c>
      <c r="M3523" t="s">
        <v>36</v>
      </c>
      <c r="N3523" t="s">
        <v>37</v>
      </c>
    </row>
    <row r="3524" spans="1:14" x14ac:dyDescent="0.25">
      <c r="A3524">
        <v>29609</v>
      </c>
      <c r="B3524">
        <v>13083</v>
      </c>
      <c r="C3524">
        <f>1/COUNTIF(B:B,pizza_sales[[#This Row],[order_id]])</f>
        <v>1</v>
      </c>
      <c r="D3524" t="s">
        <v>38</v>
      </c>
      <c r="E3524">
        <v>1</v>
      </c>
      <c r="F3524" s="1">
        <v>42163</v>
      </c>
      <c r="G3524" s="1" t="str">
        <f>TEXT(pizza_sales[[#This Row],[order_date]],"dddd")</f>
        <v>Monday</v>
      </c>
      <c r="H3524" s="2">
        <v>0.79653935185185187</v>
      </c>
      <c r="I3524">
        <v>20.5</v>
      </c>
      <c r="J3524">
        <v>20.5</v>
      </c>
      <c r="K3524" t="s">
        <v>58</v>
      </c>
      <c r="L3524" t="s">
        <v>13</v>
      </c>
      <c r="M3524" t="s">
        <v>32</v>
      </c>
      <c r="N3524" t="s">
        <v>33</v>
      </c>
    </row>
    <row r="3525" spans="1:14" x14ac:dyDescent="0.25">
      <c r="A3525">
        <v>29610</v>
      </c>
      <c r="B3525">
        <v>13084</v>
      </c>
      <c r="C3525">
        <f>1/COUNTIF(B:B,pizza_sales[[#This Row],[order_id]])</f>
        <v>0.5</v>
      </c>
      <c r="D3525" t="s">
        <v>28</v>
      </c>
      <c r="E3525">
        <v>1</v>
      </c>
      <c r="F3525" s="1">
        <v>42163</v>
      </c>
      <c r="G3525" s="1" t="str">
        <f>TEXT(pizza_sales[[#This Row],[order_date]],"dddd")</f>
        <v>Monday</v>
      </c>
      <c r="H3525" s="2">
        <v>0.80432870370370368</v>
      </c>
      <c r="I3525">
        <v>12</v>
      </c>
      <c r="J3525">
        <v>12</v>
      </c>
      <c r="K3525" t="s">
        <v>60</v>
      </c>
      <c r="L3525" t="s">
        <v>13</v>
      </c>
      <c r="M3525" t="s">
        <v>29</v>
      </c>
      <c r="N3525" t="s">
        <v>30</v>
      </c>
    </row>
    <row r="3526" spans="1:14" x14ac:dyDescent="0.25">
      <c r="A3526">
        <v>29613</v>
      </c>
      <c r="B3526">
        <v>13084</v>
      </c>
      <c r="C3526">
        <f>1/COUNTIF(B:B,pizza_sales[[#This Row],[order_id]])</f>
        <v>0.5</v>
      </c>
      <c r="D3526" t="s">
        <v>48</v>
      </c>
      <c r="E3526">
        <v>1</v>
      </c>
      <c r="F3526" s="1">
        <v>42163</v>
      </c>
      <c r="G3526" s="1" t="str">
        <f>TEXT(pizza_sales[[#This Row],[order_date]],"dddd")</f>
        <v>Monday</v>
      </c>
      <c r="H3526" s="2">
        <v>0.80432870370370368</v>
      </c>
      <c r="I3526">
        <v>12.25</v>
      </c>
      <c r="J3526">
        <v>12.25</v>
      </c>
      <c r="K3526" t="s">
        <v>60</v>
      </c>
      <c r="L3526" t="s">
        <v>35</v>
      </c>
      <c r="M3526" t="s">
        <v>40</v>
      </c>
      <c r="N3526" t="s">
        <v>41</v>
      </c>
    </row>
    <row r="3527" spans="1:14" x14ac:dyDescent="0.25">
      <c r="A3527">
        <v>29617</v>
      </c>
      <c r="B3527">
        <v>13086</v>
      </c>
      <c r="C3527">
        <f>1/COUNTIF(B:B,pizza_sales[[#This Row],[order_id]])</f>
        <v>1</v>
      </c>
      <c r="D3527" t="s">
        <v>38</v>
      </c>
      <c r="E3527">
        <v>1</v>
      </c>
      <c r="F3527" s="1">
        <v>42163</v>
      </c>
      <c r="G3527" s="1" t="str">
        <f>TEXT(pizza_sales[[#This Row],[order_date]],"dddd")</f>
        <v>Monday</v>
      </c>
      <c r="H3527" s="2">
        <v>0.83281249999999996</v>
      </c>
      <c r="I3527">
        <v>20.5</v>
      </c>
      <c r="J3527">
        <v>20.5</v>
      </c>
      <c r="K3527" t="s">
        <v>58</v>
      </c>
      <c r="L3527" t="s">
        <v>13</v>
      </c>
      <c r="M3527" t="s">
        <v>32</v>
      </c>
      <c r="N3527" t="s">
        <v>33</v>
      </c>
    </row>
    <row r="3528" spans="1:14" x14ac:dyDescent="0.25">
      <c r="A3528">
        <v>29619</v>
      </c>
      <c r="B3528">
        <v>13088</v>
      </c>
      <c r="C3528">
        <f>1/COUNTIF(B:B,pizza_sales[[#This Row],[order_id]])</f>
        <v>1</v>
      </c>
      <c r="D3528" t="s">
        <v>16</v>
      </c>
      <c r="E3528">
        <v>1</v>
      </c>
      <c r="F3528" s="1">
        <v>42163</v>
      </c>
      <c r="G3528" s="1" t="str">
        <f>TEXT(pizza_sales[[#This Row],[order_date]],"dddd")</f>
        <v>Monday</v>
      </c>
      <c r="H3528" s="2">
        <v>0.87445601851851851</v>
      </c>
      <c r="I3528">
        <v>16</v>
      </c>
      <c r="J3528">
        <v>16</v>
      </c>
      <c r="K3528" t="s">
        <v>59</v>
      </c>
      <c r="L3528" t="s">
        <v>17</v>
      </c>
      <c r="M3528" t="s">
        <v>18</v>
      </c>
      <c r="N3528" t="s">
        <v>19</v>
      </c>
    </row>
    <row r="3529" spans="1:14" x14ac:dyDescent="0.25">
      <c r="A3529">
        <v>29621</v>
      </c>
      <c r="B3529">
        <v>13090</v>
      </c>
      <c r="C3529">
        <f>1/COUNTIF(B:B,pizza_sales[[#This Row],[order_id]])</f>
        <v>1</v>
      </c>
      <c r="D3529" t="s">
        <v>42</v>
      </c>
      <c r="E3529">
        <v>1</v>
      </c>
      <c r="F3529" s="1">
        <v>42193</v>
      </c>
      <c r="G3529" s="1" t="str">
        <f>TEXT(pizza_sales[[#This Row],[order_date]],"dddd")</f>
        <v>Wednesday</v>
      </c>
      <c r="H3529" s="2">
        <v>0.47342592592592592</v>
      </c>
      <c r="I3529">
        <v>12.5</v>
      </c>
      <c r="J3529">
        <v>12.5</v>
      </c>
      <c r="K3529" t="s">
        <v>59</v>
      </c>
      <c r="L3529" t="s">
        <v>13</v>
      </c>
      <c r="M3529" t="s">
        <v>26</v>
      </c>
      <c r="N3529" t="s">
        <v>27</v>
      </c>
    </row>
    <row r="3530" spans="1:14" x14ac:dyDescent="0.25">
      <c r="A3530">
        <v>29625</v>
      </c>
      <c r="B3530">
        <v>13092</v>
      </c>
      <c r="C3530">
        <f>1/COUNTIF(B:B,pizza_sales[[#This Row],[order_id]])</f>
        <v>1</v>
      </c>
      <c r="D3530" t="s">
        <v>55</v>
      </c>
      <c r="E3530">
        <v>1</v>
      </c>
      <c r="F3530" s="1">
        <v>42193</v>
      </c>
      <c r="G3530" s="1" t="str">
        <f>TEXT(pizza_sales[[#This Row],[order_date]],"dddd")</f>
        <v>Wednesday</v>
      </c>
      <c r="H3530" s="2">
        <v>0.48026620370370371</v>
      </c>
      <c r="I3530">
        <v>20.5</v>
      </c>
      <c r="J3530">
        <v>20.5</v>
      </c>
      <c r="K3530" t="s">
        <v>58</v>
      </c>
      <c r="L3530" t="s">
        <v>13</v>
      </c>
      <c r="M3530" t="s">
        <v>21</v>
      </c>
      <c r="N3530" t="s">
        <v>22</v>
      </c>
    </row>
    <row r="3531" spans="1:14" x14ac:dyDescent="0.25">
      <c r="A3531">
        <v>29630</v>
      </c>
      <c r="B3531">
        <v>13096</v>
      </c>
      <c r="C3531">
        <f>1/COUNTIF(B:B,pizza_sales[[#This Row],[order_id]])</f>
        <v>0.33333333333333331</v>
      </c>
      <c r="D3531" t="s">
        <v>34</v>
      </c>
      <c r="E3531">
        <v>1</v>
      </c>
      <c r="F3531" s="1">
        <v>42193</v>
      </c>
      <c r="G3531" s="1" t="str">
        <f>TEXT(pizza_sales[[#This Row],[order_date]],"dddd")</f>
        <v>Wednesday</v>
      </c>
      <c r="H3531" s="2">
        <v>0.51672453703703702</v>
      </c>
      <c r="I3531">
        <v>16.25</v>
      </c>
      <c r="J3531">
        <v>16.25</v>
      </c>
      <c r="K3531" t="s">
        <v>59</v>
      </c>
      <c r="L3531" t="s">
        <v>35</v>
      </c>
      <c r="M3531" t="s">
        <v>36</v>
      </c>
      <c r="N3531" t="s">
        <v>37</v>
      </c>
    </row>
    <row r="3532" spans="1:14" x14ac:dyDescent="0.25">
      <c r="A3532">
        <v>29634</v>
      </c>
      <c r="B3532">
        <v>13096</v>
      </c>
      <c r="C3532">
        <f>1/COUNTIF(B:B,pizza_sales[[#This Row],[order_id]])</f>
        <v>0.33333333333333331</v>
      </c>
      <c r="D3532" t="s">
        <v>42</v>
      </c>
      <c r="E3532">
        <v>1</v>
      </c>
      <c r="F3532" s="1">
        <v>42193</v>
      </c>
      <c r="G3532" s="1" t="str">
        <f>TEXT(pizza_sales[[#This Row],[order_date]],"dddd")</f>
        <v>Wednesday</v>
      </c>
      <c r="H3532" s="2">
        <v>0.51672453703703702</v>
      </c>
      <c r="I3532">
        <v>12.5</v>
      </c>
      <c r="J3532">
        <v>12.5</v>
      </c>
      <c r="K3532" t="s">
        <v>59</v>
      </c>
      <c r="L3532" t="s">
        <v>13</v>
      </c>
      <c r="M3532" t="s">
        <v>26</v>
      </c>
      <c r="N3532" t="s">
        <v>27</v>
      </c>
    </row>
    <row r="3533" spans="1:14" x14ac:dyDescent="0.25">
      <c r="A3533">
        <v>29635</v>
      </c>
      <c r="B3533">
        <v>13096</v>
      </c>
      <c r="C3533">
        <f>1/COUNTIF(B:B,pizza_sales[[#This Row],[order_id]])</f>
        <v>0.33333333333333331</v>
      </c>
      <c r="D3533" t="s">
        <v>44</v>
      </c>
      <c r="E3533">
        <v>1</v>
      </c>
      <c r="F3533" s="1">
        <v>42193</v>
      </c>
      <c r="G3533" s="1" t="str">
        <f>TEXT(pizza_sales[[#This Row],[order_date]],"dddd")</f>
        <v>Wednesday</v>
      </c>
      <c r="H3533" s="2">
        <v>0.51672453703703702</v>
      </c>
      <c r="I3533">
        <v>9.75</v>
      </c>
      <c r="J3533">
        <v>9.75</v>
      </c>
      <c r="K3533" t="s">
        <v>60</v>
      </c>
      <c r="L3533" t="s">
        <v>13</v>
      </c>
      <c r="M3533" t="s">
        <v>26</v>
      </c>
      <c r="N3533" t="s">
        <v>27</v>
      </c>
    </row>
    <row r="3534" spans="1:14" x14ac:dyDescent="0.25">
      <c r="A3534">
        <v>29636</v>
      </c>
      <c r="B3534">
        <v>13097</v>
      </c>
      <c r="C3534">
        <f>1/COUNTIF(B:B,pizza_sales[[#This Row],[order_id]])</f>
        <v>1</v>
      </c>
      <c r="D3534" t="s">
        <v>42</v>
      </c>
      <c r="E3534">
        <v>1</v>
      </c>
      <c r="F3534" s="1">
        <v>42193</v>
      </c>
      <c r="G3534" s="1" t="str">
        <f>TEXT(pizza_sales[[#This Row],[order_date]],"dddd")</f>
        <v>Wednesday</v>
      </c>
      <c r="H3534" s="2">
        <v>0.52194444444444443</v>
      </c>
      <c r="I3534">
        <v>12.5</v>
      </c>
      <c r="J3534">
        <v>12.5</v>
      </c>
      <c r="K3534" t="s">
        <v>59</v>
      </c>
      <c r="L3534" t="s">
        <v>13</v>
      </c>
      <c r="M3534" t="s">
        <v>26</v>
      </c>
      <c r="N3534" t="s">
        <v>27</v>
      </c>
    </row>
    <row r="3535" spans="1:14" x14ac:dyDescent="0.25">
      <c r="A3535">
        <v>29641</v>
      </c>
      <c r="B3535">
        <v>13099</v>
      </c>
      <c r="C3535">
        <f>1/COUNTIF(B:B,pizza_sales[[#This Row],[order_id]])</f>
        <v>0.16666666666666666</v>
      </c>
      <c r="D3535" t="s">
        <v>28</v>
      </c>
      <c r="E3535">
        <v>2</v>
      </c>
      <c r="F3535" s="1">
        <v>42193</v>
      </c>
      <c r="G3535" s="1" t="str">
        <f>TEXT(pizza_sales[[#This Row],[order_date]],"dddd")</f>
        <v>Wednesday</v>
      </c>
      <c r="H3535" s="2">
        <v>0.53521990740740744</v>
      </c>
      <c r="I3535">
        <v>12</v>
      </c>
      <c r="J3535">
        <v>24</v>
      </c>
      <c r="K3535" t="s">
        <v>60</v>
      </c>
      <c r="L3535" t="s">
        <v>13</v>
      </c>
      <c r="M3535" t="s">
        <v>29</v>
      </c>
      <c r="N3535" t="s">
        <v>30</v>
      </c>
    </row>
    <row r="3536" spans="1:14" x14ac:dyDescent="0.25">
      <c r="A3536">
        <v>29642</v>
      </c>
      <c r="B3536">
        <v>13099</v>
      </c>
      <c r="C3536">
        <f>1/COUNTIF(B:B,pizza_sales[[#This Row],[order_id]])</f>
        <v>0.16666666666666666</v>
      </c>
      <c r="D3536" t="s">
        <v>34</v>
      </c>
      <c r="E3536">
        <v>2</v>
      </c>
      <c r="F3536" s="1">
        <v>42193</v>
      </c>
      <c r="G3536" s="1" t="str">
        <f>TEXT(pizza_sales[[#This Row],[order_date]],"dddd")</f>
        <v>Wednesday</v>
      </c>
      <c r="H3536" s="2">
        <v>0.53521990740740744</v>
      </c>
      <c r="I3536">
        <v>16.25</v>
      </c>
      <c r="J3536">
        <v>32.5</v>
      </c>
      <c r="K3536" t="s">
        <v>59</v>
      </c>
      <c r="L3536" t="s">
        <v>35</v>
      </c>
      <c r="M3536" t="s">
        <v>36</v>
      </c>
      <c r="N3536" t="s">
        <v>37</v>
      </c>
    </row>
    <row r="3537" spans="1:14" x14ac:dyDescent="0.25">
      <c r="A3537">
        <v>29644</v>
      </c>
      <c r="B3537">
        <v>13099</v>
      </c>
      <c r="C3537">
        <f>1/COUNTIF(B:B,pizza_sales[[#This Row],[order_id]])</f>
        <v>0.16666666666666666</v>
      </c>
      <c r="D3537" t="s">
        <v>12</v>
      </c>
      <c r="E3537">
        <v>1</v>
      </c>
      <c r="F3537" s="1">
        <v>42193</v>
      </c>
      <c r="G3537" s="1" t="str">
        <f>TEXT(pizza_sales[[#This Row],[order_date]],"dddd")</f>
        <v>Wednesday</v>
      </c>
      <c r="H3537" s="2">
        <v>0.53521990740740744</v>
      </c>
      <c r="I3537">
        <v>13.25</v>
      </c>
      <c r="J3537">
        <v>13.25</v>
      </c>
      <c r="K3537" t="s">
        <v>59</v>
      </c>
      <c r="L3537" t="s">
        <v>13</v>
      </c>
      <c r="M3537" t="s">
        <v>14</v>
      </c>
      <c r="N3537" t="s">
        <v>15</v>
      </c>
    </row>
    <row r="3538" spans="1:14" x14ac:dyDescent="0.25">
      <c r="A3538">
        <v>29646</v>
      </c>
      <c r="B3538">
        <v>13099</v>
      </c>
      <c r="C3538">
        <f>1/COUNTIF(B:B,pizza_sales[[#This Row],[order_id]])</f>
        <v>0.16666666666666666</v>
      </c>
      <c r="D3538" t="s">
        <v>50</v>
      </c>
      <c r="E3538">
        <v>1</v>
      </c>
      <c r="F3538" s="1">
        <v>42193</v>
      </c>
      <c r="G3538" s="1" t="str">
        <f>TEXT(pizza_sales[[#This Row],[order_date]],"dddd")</f>
        <v>Wednesday</v>
      </c>
      <c r="H3538" s="2">
        <v>0.53521990740740744</v>
      </c>
      <c r="I3538">
        <v>16</v>
      </c>
      <c r="J3538">
        <v>16</v>
      </c>
      <c r="K3538" t="s">
        <v>59</v>
      </c>
      <c r="L3538" t="s">
        <v>13</v>
      </c>
      <c r="M3538" t="s">
        <v>32</v>
      </c>
      <c r="N3538" t="s">
        <v>33</v>
      </c>
    </row>
    <row r="3539" spans="1:14" x14ac:dyDescent="0.25">
      <c r="A3539">
        <v>29648</v>
      </c>
      <c r="B3539">
        <v>13099</v>
      </c>
      <c r="C3539">
        <f>1/COUNTIF(B:B,pizza_sales[[#This Row],[order_id]])</f>
        <v>0.16666666666666666</v>
      </c>
      <c r="D3539" t="s">
        <v>42</v>
      </c>
      <c r="E3539">
        <v>1</v>
      </c>
      <c r="F3539" s="1">
        <v>42193</v>
      </c>
      <c r="G3539" s="1" t="str">
        <f>TEXT(pizza_sales[[#This Row],[order_date]],"dddd")</f>
        <v>Wednesday</v>
      </c>
      <c r="H3539" s="2">
        <v>0.53521990740740744</v>
      </c>
      <c r="I3539">
        <v>12.5</v>
      </c>
      <c r="J3539">
        <v>12.5</v>
      </c>
      <c r="K3539" t="s">
        <v>59</v>
      </c>
      <c r="L3539" t="s">
        <v>13</v>
      </c>
      <c r="M3539" t="s">
        <v>26</v>
      </c>
      <c r="N3539" t="s">
        <v>27</v>
      </c>
    </row>
    <row r="3540" spans="1:14" x14ac:dyDescent="0.25">
      <c r="A3540">
        <v>29650</v>
      </c>
      <c r="B3540">
        <v>13099</v>
      </c>
      <c r="C3540">
        <f>1/COUNTIF(B:B,pizza_sales[[#This Row],[order_id]])</f>
        <v>0.16666666666666666</v>
      </c>
      <c r="D3540" t="s">
        <v>43</v>
      </c>
      <c r="E3540">
        <v>1</v>
      </c>
      <c r="F3540" s="1">
        <v>42193</v>
      </c>
      <c r="G3540" s="1" t="str">
        <f>TEXT(pizza_sales[[#This Row],[order_date]],"dddd")</f>
        <v>Wednesday</v>
      </c>
      <c r="H3540" s="2">
        <v>0.53521990740740744</v>
      </c>
      <c r="I3540">
        <v>16.25</v>
      </c>
      <c r="J3540">
        <v>16.25</v>
      </c>
      <c r="K3540" t="s">
        <v>59</v>
      </c>
      <c r="L3540" t="s">
        <v>35</v>
      </c>
      <c r="M3540" t="s">
        <v>40</v>
      </c>
      <c r="N3540" t="s">
        <v>41</v>
      </c>
    </row>
    <row r="3541" spans="1:14" x14ac:dyDescent="0.25">
      <c r="A3541">
        <v>29653</v>
      </c>
      <c r="B3541">
        <v>13100</v>
      </c>
      <c r="C3541">
        <f>1/COUNTIF(B:B,pizza_sales[[#This Row],[order_id]])</f>
        <v>0.5</v>
      </c>
      <c r="D3541" t="s">
        <v>28</v>
      </c>
      <c r="E3541">
        <v>3</v>
      </c>
      <c r="F3541" s="1">
        <v>42193</v>
      </c>
      <c r="G3541" s="1" t="str">
        <f>TEXT(pizza_sales[[#This Row],[order_date]],"dddd")</f>
        <v>Wednesday</v>
      </c>
      <c r="H3541" s="2">
        <v>0.53734953703703703</v>
      </c>
      <c r="I3541">
        <v>12</v>
      </c>
      <c r="J3541">
        <v>36</v>
      </c>
      <c r="K3541" t="s">
        <v>60</v>
      </c>
      <c r="L3541" t="s">
        <v>13</v>
      </c>
      <c r="M3541" t="s">
        <v>29</v>
      </c>
      <c r="N3541" t="s">
        <v>30</v>
      </c>
    </row>
    <row r="3542" spans="1:14" x14ac:dyDescent="0.25">
      <c r="A3542">
        <v>29654</v>
      </c>
      <c r="B3542">
        <v>13100</v>
      </c>
      <c r="C3542">
        <f>1/COUNTIF(B:B,pizza_sales[[#This Row],[order_id]])</f>
        <v>0.5</v>
      </c>
      <c r="D3542" t="s">
        <v>12</v>
      </c>
      <c r="E3542">
        <v>1</v>
      </c>
      <c r="F3542" s="1">
        <v>42193</v>
      </c>
      <c r="G3542" s="1" t="str">
        <f>TEXT(pizza_sales[[#This Row],[order_date]],"dddd")</f>
        <v>Wednesday</v>
      </c>
      <c r="H3542" s="2">
        <v>0.53734953703703703</v>
      </c>
      <c r="I3542">
        <v>13.25</v>
      </c>
      <c r="J3542">
        <v>13.25</v>
      </c>
      <c r="K3542" t="s">
        <v>59</v>
      </c>
      <c r="L3542" t="s">
        <v>13</v>
      </c>
      <c r="M3542" t="s">
        <v>14</v>
      </c>
      <c r="N3542" t="s">
        <v>15</v>
      </c>
    </row>
    <row r="3543" spans="1:14" x14ac:dyDescent="0.25">
      <c r="A3543">
        <v>29657</v>
      </c>
      <c r="B3543">
        <v>13101</v>
      </c>
      <c r="C3543">
        <f>1/COUNTIF(B:B,pizza_sales[[#This Row],[order_id]])</f>
        <v>0.5</v>
      </c>
      <c r="D3543" t="s">
        <v>45</v>
      </c>
      <c r="E3543">
        <v>1</v>
      </c>
      <c r="F3543" s="1">
        <v>42193</v>
      </c>
      <c r="G3543" s="1" t="str">
        <f>TEXT(pizza_sales[[#This Row],[order_date]],"dddd")</f>
        <v>Wednesday</v>
      </c>
      <c r="H3543" s="2">
        <v>0.53861111111111115</v>
      </c>
      <c r="I3543">
        <v>10.5</v>
      </c>
      <c r="J3543">
        <v>10.5</v>
      </c>
      <c r="K3543" t="s">
        <v>60</v>
      </c>
      <c r="L3543" t="s">
        <v>13</v>
      </c>
      <c r="M3543" t="s">
        <v>14</v>
      </c>
      <c r="N3543" t="s">
        <v>15</v>
      </c>
    </row>
    <row r="3544" spans="1:14" x14ac:dyDescent="0.25">
      <c r="A3544">
        <v>29658</v>
      </c>
      <c r="B3544">
        <v>13101</v>
      </c>
      <c r="C3544">
        <f>1/COUNTIF(B:B,pizza_sales[[#This Row],[order_id]])</f>
        <v>0.5</v>
      </c>
      <c r="D3544" t="s">
        <v>24</v>
      </c>
      <c r="E3544">
        <v>1</v>
      </c>
      <c r="F3544" s="1">
        <v>42193</v>
      </c>
      <c r="G3544" s="1" t="str">
        <f>TEXT(pizza_sales[[#This Row],[order_date]],"dddd")</f>
        <v>Wednesday</v>
      </c>
      <c r="H3544" s="2">
        <v>0.53861111111111115</v>
      </c>
      <c r="I3544">
        <v>20.25</v>
      </c>
      <c r="J3544">
        <v>20.25</v>
      </c>
      <c r="K3544" t="s">
        <v>58</v>
      </c>
      <c r="L3544" t="s">
        <v>17</v>
      </c>
      <c r="M3544" t="s">
        <v>18</v>
      </c>
      <c r="N3544" t="s">
        <v>19</v>
      </c>
    </row>
    <row r="3545" spans="1:14" x14ac:dyDescent="0.25">
      <c r="A3545">
        <v>29666</v>
      </c>
      <c r="B3545">
        <v>13106</v>
      </c>
      <c r="C3545">
        <f>1/COUNTIF(B:B,pizza_sales[[#This Row],[order_id]])</f>
        <v>1</v>
      </c>
      <c r="D3545" t="s">
        <v>28</v>
      </c>
      <c r="E3545">
        <v>1</v>
      </c>
      <c r="F3545" s="1">
        <v>42193</v>
      </c>
      <c r="G3545" s="1" t="str">
        <f>TEXT(pizza_sales[[#This Row],[order_date]],"dddd")</f>
        <v>Wednesday</v>
      </c>
      <c r="H3545" s="2">
        <v>0.56202546296296296</v>
      </c>
      <c r="I3545">
        <v>12</v>
      </c>
      <c r="J3545">
        <v>12</v>
      </c>
      <c r="K3545" t="s">
        <v>60</v>
      </c>
      <c r="L3545" t="s">
        <v>13</v>
      </c>
      <c r="M3545" t="s">
        <v>29</v>
      </c>
      <c r="N3545" t="s">
        <v>30</v>
      </c>
    </row>
    <row r="3546" spans="1:14" x14ac:dyDescent="0.25">
      <c r="A3546">
        <v>29670</v>
      </c>
      <c r="B3546">
        <v>13108</v>
      </c>
      <c r="C3546">
        <f>1/COUNTIF(B:B,pizza_sales[[#This Row],[order_id]])</f>
        <v>1</v>
      </c>
      <c r="D3546" t="s">
        <v>28</v>
      </c>
      <c r="E3546">
        <v>1</v>
      </c>
      <c r="F3546" s="1">
        <v>42193</v>
      </c>
      <c r="G3546" s="1" t="str">
        <f>TEXT(pizza_sales[[#This Row],[order_date]],"dddd")</f>
        <v>Wednesday</v>
      </c>
      <c r="H3546" s="2">
        <v>0.58969907407407407</v>
      </c>
      <c r="I3546">
        <v>12</v>
      </c>
      <c r="J3546">
        <v>12</v>
      </c>
      <c r="K3546" t="s">
        <v>60</v>
      </c>
      <c r="L3546" t="s">
        <v>13</v>
      </c>
      <c r="M3546" t="s">
        <v>29</v>
      </c>
      <c r="N3546" t="s">
        <v>30</v>
      </c>
    </row>
    <row r="3547" spans="1:14" x14ac:dyDescent="0.25">
      <c r="A3547">
        <v>29672</v>
      </c>
      <c r="B3547">
        <v>13109</v>
      </c>
      <c r="C3547">
        <f>1/COUNTIF(B:B,pizza_sales[[#This Row],[order_id]])</f>
        <v>1</v>
      </c>
      <c r="D3547" t="s">
        <v>47</v>
      </c>
      <c r="E3547">
        <v>1</v>
      </c>
      <c r="F3547" s="1">
        <v>42193</v>
      </c>
      <c r="G3547" s="1" t="str">
        <f>TEXT(pizza_sales[[#This Row],[order_date]],"dddd")</f>
        <v>Wednesday</v>
      </c>
      <c r="H3547" s="2">
        <v>0.6073263888888889</v>
      </c>
      <c r="I3547">
        <v>16.5</v>
      </c>
      <c r="J3547">
        <v>16.5</v>
      </c>
      <c r="K3547" t="s">
        <v>58</v>
      </c>
      <c r="L3547" t="s">
        <v>13</v>
      </c>
      <c r="M3547" t="s">
        <v>14</v>
      </c>
      <c r="N3547" t="s">
        <v>15</v>
      </c>
    </row>
    <row r="3548" spans="1:14" x14ac:dyDescent="0.25">
      <c r="A3548">
        <v>29676</v>
      </c>
      <c r="B3548">
        <v>13111</v>
      </c>
      <c r="C3548">
        <f>1/COUNTIF(B:B,pizza_sales[[#This Row],[order_id]])</f>
        <v>0.5</v>
      </c>
      <c r="D3548" t="s">
        <v>25</v>
      </c>
      <c r="E3548">
        <v>1</v>
      </c>
      <c r="F3548" s="1">
        <v>42193</v>
      </c>
      <c r="G3548" s="1" t="str">
        <f>TEXT(pizza_sales[[#This Row],[order_date]],"dddd")</f>
        <v>Wednesday</v>
      </c>
      <c r="H3548" s="2">
        <v>0.61350694444444442</v>
      </c>
      <c r="I3548">
        <v>15.25</v>
      </c>
      <c r="J3548">
        <v>15.25</v>
      </c>
      <c r="K3548" t="s">
        <v>58</v>
      </c>
      <c r="L3548" t="s">
        <v>13</v>
      </c>
      <c r="M3548" t="s">
        <v>26</v>
      </c>
      <c r="N3548" t="s">
        <v>27</v>
      </c>
    </row>
    <row r="3549" spans="1:14" x14ac:dyDescent="0.25">
      <c r="A3549">
        <v>29677</v>
      </c>
      <c r="B3549">
        <v>13111</v>
      </c>
      <c r="C3549">
        <f>1/COUNTIF(B:B,pizza_sales[[#This Row],[order_id]])</f>
        <v>0.5</v>
      </c>
      <c r="D3549" t="s">
        <v>39</v>
      </c>
      <c r="E3549">
        <v>1</v>
      </c>
      <c r="F3549" s="1">
        <v>42193</v>
      </c>
      <c r="G3549" s="1" t="str">
        <f>TEXT(pizza_sales[[#This Row],[order_date]],"dddd")</f>
        <v>Wednesday</v>
      </c>
      <c r="H3549" s="2">
        <v>0.61350694444444442</v>
      </c>
      <c r="I3549">
        <v>20.25</v>
      </c>
      <c r="J3549">
        <v>20.25</v>
      </c>
      <c r="K3549" t="s">
        <v>58</v>
      </c>
      <c r="L3549" t="s">
        <v>35</v>
      </c>
      <c r="M3549" t="s">
        <v>40</v>
      </c>
      <c r="N3549" t="s">
        <v>41</v>
      </c>
    </row>
    <row r="3550" spans="1:14" x14ac:dyDescent="0.25">
      <c r="A3550">
        <v>29678</v>
      </c>
      <c r="B3550">
        <v>13112</v>
      </c>
      <c r="C3550">
        <f>1/COUNTIF(B:B,pizza_sales[[#This Row],[order_id]])</f>
        <v>1</v>
      </c>
      <c r="D3550" t="s">
        <v>34</v>
      </c>
      <c r="E3550">
        <v>1</v>
      </c>
      <c r="F3550" s="1">
        <v>42193</v>
      </c>
      <c r="G3550" s="1" t="str">
        <f>TEXT(pizza_sales[[#This Row],[order_date]],"dddd")</f>
        <v>Wednesday</v>
      </c>
      <c r="H3550" s="2">
        <v>0.62062499999999998</v>
      </c>
      <c r="I3550">
        <v>16.25</v>
      </c>
      <c r="J3550">
        <v>16.25</v>
      </c>
      <c r="K3550" t="s">
        <v>59</v>
      </c>
      <c r="L3550" t="s">
        <v>35</v>
      </c>
      <c r="M3550" t="s">
        <v>36</v>
      </c>
      <c r="N3550" t="s">
        <v>37</v>
      </c>
    </row>
    <row r="3551" spans="1:14" x14ac:dyDescent="0.25">
      <c r="A3551">
        <v>29681</v>
      </c>
      <c r="B3551">
        <v>13113</v>
      </c>
      <c r="C3551">
        <f>1/COUNTIF(B:B,pizza_sales[[#This Row],[order_id]])</f>
        <v>1</v>
      </c>
      <c r="D3551" t="s">
        <v>25</v>
      </c>
      <c r="E3551">
        <v>1</v>
      </c>
      <c r="F3551" s="1">
        <v>42193</v>
      </c>
      <c r="G3551" s="1" t="str">
        <f>TEXT(pizza_sales[[#This Row],[order_date]],"dddd")</f>
        <v>Wednesday</v>
      </c>
      <c r="H3551" s="2">
        <v>0.63879629629629631</v>
      </c>
      <c r="I3551">
        <v>15.25</v>
      </c>
      <c r="J3551">
        <v>15.25</v>
      </c>
      <c r="K3551" t="s">
        <v>58</v>
      </c>
      <c r="L3551" t="s">
        <v>13</v>
      </c>
      <c r="M3551" t="s">
        <v>26</v>
      </c>
      <c r="N3551" t="s">
        <v>27</v>
      </c>
    </row>
    <row r="3552" spans="1:14" x14ac:dyDescent="0.25">
      <c r="A3552">
        <v>29685</v>
      </c>
      <c r="B3552">
        <v>13115</v>
      </c>
      <c r="C3552">
        <f>1/COUNTIF(B:B,pizza_sales[[#This Row],[order_id]])</f>
        <v>1</v>
      </c>
      <c r="D3552" t="s">
        <v>42</v>
      </c>
      <c r="E3552">
        <v>1</v>
      </c>
      <c r="F3552" s="1">
        <v>42193</v>
      </c>
      <c r="G3552" s="1" t="str">
        <f>TEXT(pizza_sales[[#This Row],[order_date]],"dddd")</f>
        <v>Wednesday</v>
      </c>
      <c r="H3552" s="2">
        <v>0.64159722222222226</v>
      </c>
      <c r="I3552">
        <v>12.5</v>
      </c>
      <c r="J3552">
        <v>12.5</v>
      </c>
      <c r="K3552" t="s">
        <v>59</v>
      </c>
      <c r="L3552" t="s">
        <v>13</v>
      </c>
      <c r="M3552" t="s">
        <v>26</v>
      </c>
      <c r="N3552" t="s">
        <v>27</v>
      </c>
    </row>
    <row r="3553" spans="1:14" x14ac:dyDescent="0.25">
      <c r="A3553">
        <v>29689</v>
      </c>
      <c r="B3553">
        <v>13117</v>
      </c>
      <c r="C3553">
        <f>1/COUNTIF(B:B,pizza_sales[[#This Row],[order_id]])</f>
        <v>0.5</v>
      </c>
      <c r="D3553" t="s">
        <v>50</v>
      </c>
      <c r="E3553">
        <v>1</v>
      </c>
      <c r="F3553" s="1">
        <v>42193</v>
      </c>
      <c r="G3553" s="1" t="str">
        <f>TEXT(pizza_sales[[#This Row],[order_date]],"dddd")</f>
        <v>Wednesday</v>
      </c>
      <c r="H3553" s="2">
        <v>0.65733796296296299</v>
      </c>
      <c r="I3553">
        <v>16</v>
      </c>
      <c r="J3553">
        <v>16</v>
      </c>
      <c r="K3553" t="s">
        <v>59</v>
      </c>
      <c r="L3553" t="s">
        <v>13</v>
      </c>
      <c r="M3553" t="s">
        <v>32</v>
      </c>
      <c r="N3553" t="s">
        <v>33</v>
      </c>
    </row>
    <row r="3554" spans="1:14" x14ac:dyDescent="0.25">
      <c r="A3554">
        <v>29690</v>
      </c>
      <c r="B3554">
        <v>13117</v>
      </c>
      <c r="C3554">
        <f>1/COUNTIF(B:B,pizza_sales[[#This Row],[order_id]])</f>
        <v>0.5</v>
      </c>
      <c r="D3554" t="s">
        <v>25</v>
      </c>
      <c r="E3554">
        <v>1</v>
      </c>
      <c r="F3554" s="1">
        <v>42193</v>
      </c>
      <c r="G3554" s="1" t="str">
        <f>TEXT(pizza_sales[[#This Row],[order_date]],"dddd")</f>
        <v>Wednesday</v>
      </c>
      <c r="H3554" s="2">
        <v>0.65733796296296299</v>
      </c>
      <c r="I3554">
        <v>15.25</v>
      </c>
      <c r="J3554">
        <v>15.25</v>
      </c>
      <c r="K3554" t="s">
        <v>58</v>
      </c>
      <c r="L3554" t="s">
        <v>13</v>
      </c>
      <c r="M3554" t="s">
        <v>26</v>
      </c>
      <c r="N3554" t="s">
        <v>27</v>
      </c>
    </row>
    <row r="3555" spans="1:14" x14ac:dyDescent="0.25">
      <c r="A3555">
        <v>29692</v>
      </c>
      <c r="B3555">
        <v>13119</v>
      </c>
      <c r="C3555">
        <f>1/COUNTIF(B:B,pizza_sales[[#This Row],[order_id]])</f>
        <v>1</v>
      </c>
      <c r="D3555" t="s">
        <v>24</v>
      </c>
      <c r="E3555">
        <v>1</v>
      </c>
      <c r="F3555" s="1">
        <v>42193</v>
      </c>
      <c r="G3555" s="1" t="str">
        <f>TEXT(pizza_sales[[#This Row],[order_date]],"dddd")</f>
        <v>Wednesday</v>
      </c>
      <c r="H3555" s="2">
        <v>0.72531250000000003</v>
      </c>
      <c r="I3555">
        <v>20.25</v>
      </c>
      <c r="J3555">
        <v>20.25</v>
      </c>
      <c r="K3555" t="s">
        <v>58</v>
      </c>
      <c r="L3555" t="s">
        <v>17</v>
      </c>
      <c r="M3555" t="s">
        <v>18</v>
      </c>
      <c r="N3555" t="s">
        <v>19</v>
      </c>
    </row>
    <row r="3556" spans="1:14" x14ac:dyDescent="0.25">
      <c r="A3556">
        <v>29695</v>
      </c>
      <c r="B3556">
        <v>13120</v>
      </c>
      <c r="C3556">
        <f>1/COUNTIF(B:B,pizza_sales[[#This Row],[order_id]])</f>
        <v>1</v>
      </c>
      <c r="D3556" t="s">
        <v>50</v>
      </c>
      <c r="E3556">
        <v>1</v>
      </c>
      <c r="F3556" s="1">
        <v>42193</v>
      </c>
      <c r="G3556" s="1" t="str">
        <f>TEXT(pizza_sales[[#This Row],[order_date]],"dddd")</f>
        <v>Wednesday</v>
      </c>
      <c r="H3556" s="2">
        <v>0.73277777777777775</v>
      </c>
      <c r="I3556">
        <v>16</v>
      </c>
      <c r="J3556">
        <v>16</v>
      </c>
      <c r="K3556" t="s">
        <v>59</v>
      </c>
      <c r="L3556" t="s">
        <v>13</v>
      </c>
      <c r="M3556" t="s">
        <v>32</v>
      </c>
      <c r="N3556" t="s">
        <v>33</v>
      </c>
    </row>
    <row r="3557" spans="1:14" x14ac:dyDescent="0.25">
      <c r="A3557">
        <v>29698</v>
      </c>
      <c r="B3557">
        <v>13121</v>
      </c>
      <c r="C3557">
        <f>1/COUNTIF(B:B,pizza_sales[[#This Row],[order_id]])</f>
        <v>1</v>
      </c>
      <c r="D3557" t="s">
        <v>50</v>
      </c>
      <c r="E3557">
        <v>1</v>
      </c>
      <c r="F3557" s="1">
        <v>42193</v>
      </c>
      <c r="G3557" s="1" t="str">
        <f>TEXT(pizza_sales[[#This Row],[order_date]],"dddd")</f>
        <v>Wednesday</v>
      </c>
      <c r="H3557" s="2">
        <v>0.73689814814814814</v>
      </c>
      <c r="I3557">
        <v>16</v>
      </c>
      <c r="J3557">
        <v>16</v>
      </c>
      <c r="K3557" t="s">
        <v>59</v>
      </c>
      <c r="L3557" t="s">
        <v>13</v>
      </c>
      <c r="M3557" t="s">
        <v>32</v>
      </c>
      <c r="N3557" t="s">
        <v>33</v>
      </c>
    </row>
    <row r="3558" spans="1:14" x14ac:dyDescent="0.25">
      <c r="A3558">
        <v>29700</v>
      </c>
      <c r="B3558">
        <v>13122</v>
      </c>
      <c r="C3558">
        <f>1/COUNTIF(B:B,pizza_sales[[#This Row],[order_id]])</f>
        <v>0.33333333333333331</v>
      </c>
      <c r="D3558" t="s">
        <v>12</v>
      </c>
      <c r="E3558">
        <v>1</v>
      </c>
      <c r="F3558" s="1">
        <v>42193</v>
      </c>
      <c r="G3558" s="1" t="str">
        <f>TEXT(pizza_sales[[#This Row],[order_date]],"dddd")</f>
        <v>Wednesday</v>
      </c>
      <c r="H3558" s="2">
        <v>0.74767361111111108</v>
      </c>
      <c r="I3558">
        <v>13.25</v>
      </c>
      <c r="J3558">
        <v>13.25</v>
      </c>
      <c r="K3558" t="s">
        <v>59</v>
      </c>
      <c r="L3558" t="s">
        <v>13</v>
      </c>
      <c r="M3558" t="s">
        <v>14</v>
      </c>
      <c r="N3558" t="s">
        <v>15</v>
      </c>
    </row>
    <row r="3559" spans="1:14" x14ac:dyDescent="0.25">
      <c r="A3559">
        <v>29701</v>
      </c>
      <c r="B3559">
        <v>13122</v>
      </c>
      <c r="C3559">
        <f>1/COUNTIF(B:B,pizza_sales[[#This Row],[order_id]])</f>
        <v>0.33333333333333331</v>
      </c>
      <c r="D3559" t="s">
        <v>16</v>
      </c>
      <c r="E3559">
        <v>1</v>
      </c>
      <c r="F3559" s="1">
        <v>42193</v>
      </c>
      <c r="G3559" s="1" t="str">
        <f>TEXT(pizza_sales[[#This Row],[order_date]],"dddd")</f>
        <v>Wednesday</v>
      </c>
      <c r="H3559" s="2">
        <v>0.74767361111111108</v>
      </c>
      <c r="I3559">
        <v>16</v>
      </c>
      <c r="J3559">
        <v>16</v>
      </c>
      <c r="K3559" t="s">
        <v>59</v>
      </c>
      <c r="L3559" t="s">
        <v>17</v>
      </c>
      <c r="M3559" t="s">
        <v>18</v>
      </c>
      <c r="N3559" t="s">
        <v>19</v>
      </c>
    </row>
    <row r="3560" spans="1:14" x14ac:dyDescent="0.25">
      <c r="A3560">
        <v>29702</v>
      </c>
      <c r="B3560">
        <v>13122</v>
      </c>
      <c r="C3560">
        <f>1/COUNTIF(B:B,pizza_sales[[#This Row],[order_id]])</f>
        <v>0.33333333333333331</v>
      </c>
      <c r="D3560" t="s">
        <v>44</v>
      </c>
      <c r="E3560">
        <v>1</v>
      </c>
      <c r="F3560" s="1">
        <v>42193</v>
      </c>
      <c r="G3560" s="1" t="str">
        <f>TEXT(pizza_sales[[#This Row],[order_date]],"dddd")</f>
        <v>Wednesday</v>
      </c>
      <c r="H3560" s="2">
        <v>0.74767361111111108</v>
      </c>
      <c r="I3560">
        <v>9.75</v>
      </c>
      <c r="J3560">
        <v>9.75</v>
      </c>
      <c r="K3560" t="s">
        <v>60</v>
      </c>
      <c r="L3560" t="s">
        <v>13</v>
      </c>
      <c r="M3560" t="s">
        <v>26</v>
      </c>
      <c r="N3560" t="s">
        <v>27</v>
      </c>
    </row>
    <row r="3561" spans="1:14" x14ac:dyDescent="0.25">
      <c r="A3561">
        <v>29713</v>
      </c>
      <c r="B3561">
        <v>13127</v>
      </c>
      <c r="C3561">
        <f>1/COUNTIF(B:B,pizza_sales[[#This Row],[order_id]])</f>
        <v>1</v>
      </c>
      <c r="D3561" t="s">
        <v>45</v>
      </c>
      <c r="E3561">
        <v>1</v>
      </c>
      <c r="F3561" s="1">
        <v>42193</v>
      </c>
      <c r="G3561" s="1" t="str">
        <f>TEXT(pizza_sales[[#This Row],[order_date]],"dddd")</f>
        <v>Wednesday</v>
      </c>
      <c r="H3561" s="2">
        <v>0.7794444444444445</v>
      </c>
      <c r="I3561">
        <v>10.5</v>
      </c>
      <c r="J3561">
        <v>10.5</v>
      </c>
      <c r="K3561" t="s">
        <v>60</v>
      </c>
      <c r="L3561" t="s">
        <v>13</v>
      </c>
      <c r="M3561" t="s">
        <v>14</v>
      </c>
      <c r="N3561" t="s">
        <v>15</v>
      </c>
    </row>
    <row r="3562" spans="1:14" x14ac:dyDescent="0.25">
      <c r="A3562">
        <v>29714</v>
      </c>
      <c r="B3562">
        <v>13128</v>
      </c>
      <c r="C3562">
        <f>1/COUNTIF(B:B,pizza_sales[[#This Row],[order_id]])</f>
        <v>1</v>
      </c>
      <c r="D3562" t="s">
        <v>51</v>
      </c>
      <c r="E3562">
        <v>1</v>
      </c>
      <c r="F3562" s="1">
        <v>42193</v>
      </c>
      <c r="G3562" s="1" t="str">
        <f>TEXT(pizza_sales[[#This Row],[order_date]],"dddd")</f>
        <v>Wednesday</v>
      </c>
      <c r="H3562" s="2">
        <v>0.79038194444444443</v>
      </c>
      <c r="I3562">
        <v>23.65</v>
      </c>
      <c r="J3562">
        <v>23.65</v>
      </c>
      <c r="K3562" t="s">
        <v>60</v>
      </c>
      <c r="L3562" t="s">
        <v>35</v>
      </c>
      <c r="M3562" t="s">
        <v>52</v>
      </c>
      <c r="N3562" t="s">
        <v>53</v>
      </c>
    </row>
    <row r="3563" spans="1:14" x14ac:dyDescent="0.25">
      <c r="A3563">
        <v>29718</v>
      </c>
      <c r="B3563">
        <v>13130</v>
      </c>
      <c r="C3563">
        <f>1/COUNTIF(B:B,pizza_sales[[#This Row],[order_id]])</f>
        <v>1</v>
      </c>
      <c r="D3563" t="s">
        <v>42</v>
      </c>
      <c r="E3563">
        <v>1</v>
      </c>
      <c r="F3563" s="1">
        <v>42193</v>
      </c>
      <c r="G3563" s="1" t="str">
        <f>TEXT(pizza_sales[[#This Row],[order_date]],"dddd")</f>
        <v>Wednesday</v>
      </c>
      <c r="H3563" s="2">
        <v>0.79164351851851855</v>
      </c>
      <c r="I3563">
        <v>12.5</v>
      </c>
      <c r="J3563">
        <v>12.5</v>
      </c>
      <c r="K3563" t="s">
        <v>59</v>
      </c>
      <c r="L3563" t="s">
        <v>13</v>
      </c>
      <c r="M3563" t="s">
        <v>26</v>
      </c>
      <c r="N3563" t="s">
        <v>27</v>
      </c>
    </row>
    <row r="3564" spans="1:14" x14ac:dyDescent="0.25">
      <c r="A3564">
        <v>29720</v>
      </c>
      <c r="B3564">
        <v>13131</v>
      </c>
      <c r="C3564">
        <f>1/COUNTIF(B:B,pizza_sales[[#This Row],[order_id]])</f>
        <v>1</v>
      </c>
      <c r="D3564" t="s">
        <v>48</v>
      </c>
      <c r="E3564">
        <v>1</v>
      </c>
      <c r="F3564" s="1">
        <v>42193</v>
      </c>
      <c r="G3564" s="1" t="str">
        <f>TEXT(pizza_sales[[#This Row],[order_date]],"dddd")</f>
        <v>Wednesday</v>
      </c>
      <c r="H3564" s="2">
        <v>0.79420138888888892</v>
      </c>
      <c r="I3564">
        <v>12.25</v>
      </c>
      <c r="J3564">
        <v>12.25</v>
      </c>
      <c r="K3564" t="s">
        <v>60</v>
      </c>
      <c r="L3564" t="s">
        <v>35</v>
      </c>
      <c r="M3564" t="s">
        <v>40</v>
      </c>
      <c r="N3564" t="s">
        <v>41</v>
      </c>
    </row>
    <row r="3565" spans="1:14" x14ac:dyDescent="0.25">
      <c r="A3565">
        <v>29725</v>
      </c>
      <c r="B3565">
        <v>13134</v>
      </c>
      <c r="C3565">
        <f>1/COUNTIF(B:B,pizza_sales[[#This Row],[order_id]])</f>
        <v>1</v>
      </c>
      <c r="D3565" t="s">
        <v>28</v>
      </c>
      <c r="E3565">
        <v>1</v>
      </c>
      <c r="F3565" s="1">
        <v>42193</v>
      </c>
      <c r="G3565" s="1" t="str">
        <f>TEXT(pizza_sales[[#This Row],[order_date]],"dddd")</f>
        <v>Wednesday</v>
      </c>
      <c r="H3565" s="2">
        <v>0.81878472222222221</v>
      </c>
      <c r="I3565">
        <v>12</v>
      </c>
      <c r="J3565">
        <v>12</v>
      </c>
      <c r="K3565" t="s">
        <v>60</v>
      </c>
      <c r="L3565" t="s">
        <v>13</v>
      </c>
      <c r="M3565" t="s">
        <v>29</v>
      </c>
      <c r="N3565" t="s">
        <v>30</v>
      </c>
    </row>
    <row r="3566" spans="1:14" x14ac:dyDescent="0.25">
      <c r="A3566">
        <v>29736</v>
      </c>
      <c r="B3566">
        <v>13137</v>
      </c>
      <c r="C3566">
        <f>1/COUNTIF(B:B,pizza_sales[[#This Row],[order_id]])</f>
        <v>1</v>
      </c>
      <c r="D3566" t="s">
        <v>42</v>
      </c>
      <c r="E3566">
        <v>2</v>
      </c>
      <c r="F3566" s="1">
        <v>42193</v>
      </c>
      <c r="G3566" s="1" t="str">
        <f>TEXT(pizza_sales[[#This Row],[order_date]],"dddd")</f>
        <v>Wednesday</v>
      </c>
      <c r="H3566" s="2">
        <v>0.82984953703703701</v>
      </c>
      <c r="I3566">
        <v>12.5</v>
      </c>
      <c r="J3566">
        <v>25</v>
      </c>
      <c r="K3566" t="s">
        <v>59</v>
      </c>
      <c r="L3566" t="s">
        <v>13</v>
      </c>
      <c r="M3566" t="s">
        <v>26</v>
      </c>
      <c r="N3566" t="s">
        <v>27</v>
      </c>
    </row>
    <row r="3567" spans="1:14" x14ac:dyDescent="0.25">
      <c r="A3567">
        <v>29743</v>
      </c>
      <c r="B3567">
        <v>13142</v>
      </c>
      <c r="C3567">
        <f>1/COUNTIF(B:B,pizza_sales[[#This Row],[order_id]])</f>
        <v>0.5</v>
      </c>
      <c r="D3567" t="s">
        <v>34</v>
      </c>
      <c r="E3567">
        <v>1</v>
      </c>
      <c r="F3567" s="1">
        <v>42193</v>
      </c>
      <c r="G3567" s="1" t="str">
        <f>TEXT(pizza_sales[[#This Row],[order_date]],"dddd")</f>
        <v>Wednesday</v>
      </c>
      <c r="H3567" s="2">
        <v>0.87162037037037032</v>
      </c>
      <c r="I3567">
        <v>16.25</v>
      </c>
      <c r="J3567">
        <v>16.25</v>
      </c>
      <c r="K3567" t="s">
        <v>59</v>
      </c>
      <c r="L3567" t="s">
        <v>35</v>
      </c>
      <c r="M3567" t="s">
        <v>36</v>
      </c>
      <c r="N3567" t="s">
        <v>37</v>
      </c>
    </row>
    <row r="3568" spans="1:14" x14ac:dyDescent="0.25">
      <c r="A3568">
        <v>29746</v>
      </c>
      <c r="B3568">
        <v>13142</v>
      </c>
      <c r="C3568">
        <f>1/COUNTIF(B:B,pizza_sales[[#This Row],[order_id]])</f>
        <v>0.5</v>
      </c>
      <c r="D3568" t="s">
        <v>55</v>
      </c>
      <c r="E3568">
        <v>1</v>
      </c>
      <c r="F3568" s="1">
        <v>42193</v>
      </c>
      <c r="G3568" s="1" t="str">
        <f>TEXT(pizza_sales[[#This Row],[order_date]],"dddd")</f>
        <v>Wednesday</v>
      </c>
      <c r="H3568" s="2">
        <v>0.87162037037037032</v>
      </c>
      <c r="I3568">
        <v>20.5</v>
      </c>
      <c r="J3568">
        <v>20.5</v>
      </c>
      <c r="K3568" t="s">
        <v>58</v>
      </c>
      <c r="L3568" t="s">
        <v>13</v>
      </c>
      <c r="M3568" t="s">
        <v>21</v>
      </c>
      <c r="N3568" t="s">
        <v>22</v>
      </c>
    </row>
    <row r="3569" spans="1:14" x14ac:dyDescent="0.25">
      <c r="A3569">
        <v>29748</v>
      </c>
      <c r="B3569">
        <v>13143</v>
      </c>
      <c r="C3569">
        <f>1/COUNTIF(B:B,pizza_sales[[#This Row],[order_id]])</f>
        <v>0.5</v>
      </c>
      <c r="D3569" t="s">
        <v>16</v>
      </c>
      <c r="E3569">
        <v>1</v>
      </c>
      <c r="F3569" s="1">
        <v>42193</v>
      </c>
      <c r="G3569" s="1" t="str">
        <f>TEXT(pizza_sales[[#This Row],[order_date]],"dddd")</f>
        <v>Wednesday</v>
      </c>
      <c r="H3569" s="2">
        <v>0.87600694444444449</v>
      </c>
      <c r="I3569">
        <v>16</v>
      </c>
      <c r="J3569">
        <v>16</v>
      </c>
      <c r="K3569" t="s">
        <v>59</v>
      </c>
      <c r="L3569" t="s">
        <v>17</v>
      </c>
      <c r="M3569" t="s">
        <v>18</v>
      </c>
      <c r="N3569" t="s">
        <v>19</v>
      </c>
    </row>
    <row r="3570" spans="1:14" x14ac:dyDescent="0.25">
      <c r="A3570">
        <v>29749</v>
      </c>
      <c r="B3570">
        <v>13143</v>
      </c>
      <c r="C3570">
        <f>1/COUNTIF(B:B,pizza_sales[[#This Row],[order_id]])</f>
        <v>0.5</v>
      </c>
      <c r="D3570" t="s">
        <v>50</v>
      </c>
      <c r="E3570">
        <v>1</v>
      </c>
      <c r="F3570" s="1">
        <v>42193</v>
      </c>
      <c r="G3570" s="1" t="str">
        <f>TEXT(pizza_sales[[#This Row],[order_date]],"dddd")</f>
        <v>Wednesday</v>
      </c>
      <c r="H3570" s="2">
        <v>0.87600694444444449</v>
      </c>
      <c r="I3570">
        <v>16</v>
      </c>
      <c r="J3570">
        <v>16</v>
      </c>
      <c r="K3570" t="s">
        <v>59</v>
      </c>
      <c r="L3570" t="s">
        <v>13</v>
      </c>
      <c r="M3570" t="s">
        <v>32</v>
      </c>
      <c r="N3570" t="s">
        <v>33</v>
      </c>
    </row>
    <row r="3571" spans="1:14" x14ac:dyDescent="0.25">
      <c r="A3571">
        <v>29751</v>
      </c>
      <c r="B3571">
        <v>13144</v>
      </c>
      <c r="C3571">
        <f>1/COUNTIF(B:B,pizza_sales[[#This Row],[order_id]])</f>
        <v>1</v>
      </c>
      <c r="D3571" t="s">
        <v>46</v>
      </c>
      <c r="E3571">
        <v>1</v>
      </c>
      <c r="F3571" s="1">
        <v>42193</v>
      </c>
      <c r="G3571" s="1" t="str">
        <f>TEXT(pizza_sales[[#This Row],[order_date]],"dddd")</f>
        <v>Wednesday</v>
      </c>
      <c r="H3571" s="2">
        <v>0.8874305555555555</v>
      </c>
      <c r="I3571">
        <v>25.5</v>
      </c>
      <c r="J3571">
        <v>25.5</v>
      </c>
      <c r="K3571" t="s">
        <v>61</v>
      </c>
      <c r="L3571" t="s">
        <v>13</v>
      </c>
      <c r="M3571" t="s">
        <v>21</v>
      </c>
      <c r="N3571" t="s">
        <v>22</v>
      </c>
    </row>
    <row r="3572" spans="1:14" x14ac:dyDescent="0.25">
      <c r="A3572">
        <v>29754</v>
      </c>
      <c r="B3572">
        <v>13146</v>
      </c>
      <c r="C3572">
        <f>1/COUNTIF(B:B,pizza_sales[[#This Row],[order_id]])</f>
        <v>0.5</v>
      </c>
      <c r="D3572" t="s">
        <v>45</v>
      </c>
      <c r="E3572">
        <v>1</v>
      </c>
      <c r="F3572" s="1">
        <v>42193</v>
      </c>
      <c r="G3572" s="1" t="str">
        <f>TEXT(pizza_sales[[#This Row],[order_date]],"dddd")</f>
        <v>Wednesday</v>
      </c>
      <c r="H3572" s="2">
        <v>0.89376157407407408</v>
      </c>
      <c r="I3572">
        <v>10.5</v>
      </c>
      <c r="J3572">
        <v>10.5</v>
      </c>
      <c r="K3572" t="s">
        <v>60</v>
      </c>
      <c r="L3572" t="s">
        <v>13</v>
      </c>
      <c r="M3572" t="s">
        <v>14</v>
      </c>
      <c r="N3572" t="s">
        <v>15</v>
      </c>
    </row>
    <row r="3573" spans="1:14" x14ac:dyDescent="0.25">
      <c r="A3573">
        <v>29756</v>
      </c>
      <c r="B3573">
        <v>13146</v>
      </c>
      <c r="C3573">
        <f>1/COUNTIF(B:B,pizza_sales[[#This Row],[order_id]])</f>
        <v>0.5</v>
      </c>
      <c r="D3573" t="s">
        <v>42</v>
      </c>
      <c r="E3573">
        <v>1</v>
      </c>
      <c r="F3573" s="1">
        <v>42193</v>
      </c>
      <c r="G3573" s="1" t="str">
        <f>TEXT(pizza_sales[[#This Row],[order_date]],"dddd")</f>
        <v>Wednesday</v>
      </c>
      <c r="H3573" s="2">
        <v>0.89376157407407408</v>
      </c>
      <c r="I3573">
        <v>12.5</v>
      </c>
      <c r="J3573">
        <v>12.5</v>
      </c>
      <c r="K3573" t="s">
        <v>59</v>
      </c>
      <c r="L3573" t="s">
        <v>13</v>
      </c>
      <c r="M3573" t="s">
        <v>26</v>
      </c>
      <c r="N3573" t="s">
        <v>27</v>
      </c>
    </row>
    <row r="3574" spans="1:14" x14ac:dyDescent="0.25">
      <c r="A3574">
        <v>29758</v>
      </c>
      <c r="B3574">
        <v>13147</v>
      </c>
      <c r="C3574">
        <f>1/COUNTIF(B:B,pizza_sales[[#This Row],[order_id]])</f>
        <v>1</v>
      </c>
      <c r="D3574" t="s">
        <v>43</v>
      </c>
      <c r="E3574">
        <v>1</v>
      </c>
      <c r="F3574" s="1">
        <v>42193</v>
      </c>
      <c r="G3574" s="1" t="str">
        <f>TEXT(pizza_sales[[#This Row],[order_date]],"dddd")</f>
        <v>Wednesday</v>
      </c>
      <c r="H3574" s="2">
        <v>0.89894675925925926</v>
      </c>
      <c r="I3574">
        <v>16.25</v>
      </c>
      <c r="J3574">
        <v>16.25</v>
      </c>
      <c r="K3574" t="s">
        <v>59</v>
      </c>
      <c r="L3574" t="s">
        <v>35</v>
      </c>
      <c r="M3574" t="s">
        <v>40</v>
      </c>
      <c r="N3574" t="s">
        <v>41</v>
      </c>
    </row>
    <row r="3575" spans="1:14" x14ac:dyDescent="0.25">
      <c r="A3575">
        <v>29759</v>
      </c>
      <c r="B3575">
        <v>13148</v>
      </c>
      <c r="C3575">
        <f>1/COUNTIF(B:B,pizza_sales[[#This Row],[order_id]])</f>
        <v>1</v>
      </c>
      <c r="D3575" t="s">
        <v>38</v>
      </c>
      <c r="E3575">
        <v>1</v>
      </c>
      <c r="F3575" s="1">
        <v>42193</v>
      </c>
      <c r="G3575" s="1" t="str">
        <f>TEXT(pizza_sales[[#This Row],[order_date]],"dddd")</f>
        <v>Wednesday</v>
      </c>
      <c r="H3575" s="2">
        <v>0.91197916666666667</v>
      </c>
      <c r="I3575">
        <v>20.5</v>
      </c>
      <c r="J3575">
        <v>20.5</v>
      </c>
      <c r="K3575" t="s">
        <v>58</v>
      </c>
      <c r="L3575" t="s">
        <v>13</v>
      </c>
      <c r="M3575" t="s">
        <v>32</v>
      </c>
      <c r="N3575" t="s">
        <v>33</v>
      </c>
    </row>
    <row r="3576" spans="1:14" x14ac:dyDescent="0.25">
      <c r="A3576">
        <v>29760</v>
      </c>
      <c r="B3576">
        <v>13149</v>
      </c>
      <c r="C3576">
        <f>1/COUNTIF(B:B,pizza_sales[[#This Row],[order_id]])</f>
        <v>1</v>
      </c>
      <c r="D3576" t="s">
        <v>34</v>
      </c>
      <c r="E3576">
        <v>1</v>
      </c>
      <c r="F3576" s="1">
        <v>42193</v>
      </c>
      <c r="G3576" s="1" t="str">
        <f>TEXT(pizza_sales[[#This Row],[order_date]],"dddd")</f>
        <v>Wednesday</v>
      </c>
      <c r="H3576" s="2">
        <v>0.91266203703703708</v>
      </c>
      <c r="I3576">
        <v>16.25</v>
      </c>
      <c r="J3576">
        <v>16.25</v>
      </c>
      <c r="K3576" t="s">
        <v>59</v>
      </c>
      <c r="L3576" t="s">
        <v>35</v>
      </c>
      <c r="M3576" t="s">
        <v>36</v>
      </c>
      <c r="N3576" t="s">
        <v>37</v>
      </c>
    </row>
    <row r="3577" spans="1:14" x14ac:dyDescent="0.25">
      <c r="A3577">
        <v>29763</v>
      </c>
      <c r="B3577">
        <v>13150</v>
      </c>
      <c r="C3577">
        <f>1/COUNTIF(B:B,pizza_sales[[#This Row],[order_id]])</f>
        <v>1</v>
      </c>
      <c r="D3577" t="s">
        <v>46</v>
      </c>
      <c r="E3577">
        <v>1</v>
      </c>
      <c r="F3577" s="1">
        <v>42193</v>
      </c>
      <c r="G3577" s="1" t="str">
        <f>TEXT(pizza_sales[[#This Row],[order_date]],"dddd")</f>
        <v>Wednesday</v>
      </c>
      <c r="H3577" s="2">
        <v>0.92436342592592591</v>
      </c>
      <c r="I3577">
        <v>25.5</v>
      </c>
      <c r="J3577">
        <v>25.5</v>
      </c>
      <c r="K3577" t="s">
        <v>61</v>
      </c>
      <c r="L3577" t="s">
        <v>13</v>
      </c>
      <c r="M3577" t="s">
        <v>21</v>
      </c>
      <c r="N3577" t="s">
        <v>22</v>
      </c>
    </row>
    <row r="3578" spans="1:14" x14ac:dyDescent="0.25">
      <c r="A3578">
        <v>29764</v>
      </c>
      <c r="B3578">
        <v>13151</v>
      </c>
      <c r="C3578">
        <f>1/COUNTIF(B:B,pizza_sales[[#This Row],[order_id]])</f>
        <v>1</v>
      </c>
      <c r="D3578" t="s">
        <v>28</v>
      </c>
      <c r="E3578">
        <v>1</v>
      </c>
      <c r="F3578" s="1">
        <v>42193</v>
      </c>
      <c r="G3578" s="1" t="str">
        <f>TEXT(pizza_sales[[#This Row],[order_date]],"dddd")</f>
        <v>Wednesday</v>
      </c>
      <c r="H3578" s="2">
        <v>0.93096064814814816</v>
      </c>
      <c r="I3578">
        <v>12</v>
      </c>
      <c r="J3578">
        <v>12</v>
      </c>
      <c r="K3578" t="s">
        <v>60</v>
      </c>
      <c r="L3578" t="s">
        <v>13</v>
      </c>
      <c r="M3578" t="s">
        <v>29</v>
      </c>
      <c r="N3578" t="s">
        <v>30</v>
      </c>
    </row>
    <row r="3579" spans="1:14" x14ac:dyDescent="0.25">
      <c r="A3579">
        <v>29775</v>
      </c>
      <c r="B3579">
        <v>13154</v>
      </c>
      <c r="C3579">
        <f>1/COUNTIF(B:B,pizza_sales[[#This Row],[order_id]])</f>
        <v>1</v>
      </c>
      <c r="D3579" t="s">
        <v>43</v>
      </c>
      <c r="E3579">
        <v>1</v>
      </c>
      <c r="F3579" s="1">
        <v>42193</v>
      </c>
      <c r="G3579" s="1" t="str">
        <f>TEXT(pizza_sales[[#This Row],[order_date]],"dddd")</f>
        <v>Wednesday</v>
      </c>
      <c r="H3579" s="2">
        <v>0.95574074074074078</v>
      </c>
      <c r="I3579">
        <v>16.25</v>
      </c>
      <c r="J3579">
        <v>16.25</v>
      </c>
      <c r="K3579" t="s">
        <v>59</v>
      </c>
      <c r="L3579" t="s">
        <v>35</v>
      </c>
      <c r="M3579" t="s">
        <v>40</v>
      </c>
      <c r="N3579" t="s">
        <v>41</v>
      </c>
    </row>
    <row r="3580" spans="1:14" x14ac:dyDescent="0.25">
      <c r="A3580">
        <v>29780</v>
      </c>
      <c r="B3580">
        <v>13156</v>
      </c>
      <c r="C3580">
        <f>1/COUNTIF(B:B,pizza_sales[[#This Row],[order_id]])</f>
        <v>0.2</v>
      </c>
      <c r="D3580" t="s">
        <v>28</v>
      </c>
      <c r="E3580">
        <v>1</v>
      </c>
      <c r="F3580" s="1">
        <v>42224</v>
      </c>
      <c r="G3580" s="1" t="str">
        <f>TEXT(pizza_sales[[#This Row],[order_date]],"dddd")</f>
        <v>Saturday</v>
      </c>
      <c r="H3580" s="2">
        <v>0.52375000000000005</v>
      </c>
      <c r="I3580">
        <v>12</v>
      </c>
      <c r="J3580">
        <v>12</v>
      </c>
      <c r="K3580" t="s">
        <v>60</v>
      </c>
      <c r="L3580" t="s">
        <v>13</v>
      </c>
      <c r="M3580" t="s">
        <v>29</v>
      </c>
      <c r="N3580" t="s">
        <v>30</v>
      </c>
    </row>
    <row r="3581" spans="1:14" x14ac:dyDescent="0.25">
      <c r="A3581">
        <v>29781</v>
      </c>
      <c r="B3581">
        <v>13156</v>
      </c>
      <c r="C3581">
        <f>1/COUNTIF(B:B,pizza_sales[[#This Row],[order_id]])</f>
        <v>0.2</v>
      </c>
      <c r="D3581" t="s">
        <v>34</v>
      </c>
      <c r="E3581">
        <v>1</v>
      </c>
      <c r="F3581" s="1">
        <v>42224</v>
      </c>
      <c r="G3581" s="1" t="str">
        <f>TEXT(pizza_sales[[#This Row],[order_date]],"dddd")</f>
        <v>Saturday</v>
      </c>
      <c r="H3581" s="2">
        <v>0.52375000000000005</v>
      </c>
      <c r="I3581">
        <v>16.25</v>
      </c>
      <c r="J3581">
        <v>16.25</v>
      </c>
      <c r="K3581" t="s">
        <v>59</v>
      </c>
      <c r="L3581" t="s">
        <v>35</v>
      </c>
      <c r="M3581" t="s">
        <v>36</v>
      </c>
      <c r="N3581" t="s">
        <v>37</v>
      </c>
    </row>
    <row r="3582" spans="1:14" x14ac:dyDescent="0.25">
      <c r="A3582">
        <v>29785</v>
      </c>
      <c r="B3582">
        <v>13156</v>
      </c>
      <c r="C3582">
        <f>1/COUNTIF(B:B,pizza_sales[[#This Row],[order_id]])</f>
        <v>0.2</v>
      </c>
      <c r="D3582" t="s">
        <v>47</v>
      </c>
      <c r="E3582">
        <v>1</v>
      </c>
      <c r="F3582" s="1">
        <v>42224</v>
      </c>
      <c r="G3582" s="1" t="str">
        <f>TEXT(pizza_sales[[#This Row],[order_date]],"dddd")</f>
        <v>Saturday</v>
      </c>
      <c r="H3582" s="2">
        <v>0.52375000000000005</v>
      </c>
      <c r="I3582">
        <v>16.5</v>
      </c>
      <c r="J3582">
        <v>16.5</v>
      </c>
      <c r="K3582" t="s">
        <v>58</v>
      </c>
      <c r="L3582" t="s">
        <v>13</v>
      </c>
      <c r="M3582" t="s">
        <v>14</v>
      </c>
      <c r="N3582" t="s">
        <v>15</v>
      </c>
    </row>
    <row r="3583" spans="1:14" x14ac:dyDescent="0.25">
      <c r="A3583">
        <v>29786</v>
      </c>
      <c r="B3583">
        <v>13156</v>
      </c>
      <c r="C3583">
        <f>1/COUNTIF(B:B,pizza_sales[[#This Row],[order_id]])</f>
        <v>0.2</v>
      </c>
      <c r="D3583" t="s">
        <v>50</v>
      </c>
      <c r="E3583">
        <v>1</v>
      </c>
      <c r="F3583" s="1">
        <v>42224</v>
      </c>
      <c r="G3583" s="1" t="str">
        <f>TEXT(pizza_sales[[#This Row],[order_date]],"dddd")</f>
        <v>Saturday</v>
      </c>
      <c r="H3583" s="2">
        <v>0.52375000000000005</v>
      </c>
      <c r="I3583">
        <v>16</v>
      </c>
      <c r="J3583">
        <v>16</v>
      </c>
      <c r="K3583" t="s">
        <v>59</v>
      </c>
      <c r="L3583" t="s">
        <v>13</v>
      </c>
      <c r="M3583" t="s">
        <v>32</v>
      </c>
      <c r="N3583" t="s">
        <v>33</v>
      </c>
    </row>
    <row r="3584" spans="1:14" x14ac:dyDescent="0.25">
      <c r="A3584">
        <v>29788</v>
      </c>
      <c r="B3584">
        <v>13156</v>
      </c>
      <c r="C3584">
        <f>1/COUNTIF(B:B,pizza_sales[[#This Row],[order_id]])</f>
        <v>0.2</v>
      </c>
      <c r="D3584" t="s">
        <v>39</v>
      </c>
      <c r="E3584">
        <v>1</v>
      </c>
      <c r="F3584" s="1">
        <v>42224</v>
      </c>
      <c r="G3584" s="1" t="str">
        <f>TEXT(pizza_sales[[#This Row],[order_date]],"dddd")</f>
        <v>Saturday</v>
      </c>
      <c r="H3584" s="2">
        <v>0.52375000000000005</v>
      </c>
      <c r="I3584">
        <v>20.25</v>
      </c>
      <c r="J3584">
        <v>20.25</v>
      </c>
      <c r="K3584" t="s">
        <v>58</v>
      </c>
      <c r="L3584" t="s">
        <v>35</v>
      </c>
      <c r="M3584" t="s">
        <v>40</v>
      </c>
      <c r="N3584" t="s">
        <v>41</v>
      </c>
    </row>
    <row r="3585" spans="1:14" x14ac:dyDescent="0.25">
      <c r="A3585">
        <v>29798</v>
      </c>
      <c r="B3585">
        <v>13158</v>
      </c>
      <c r="C3585">
        <f>1/COUNTIF(B:B,pizza_sales[[#This Row],[order_id]])</f>
        <v>0.5</v>
      </c>
      <c r="D3585" t="s">
        <v>47</v>
      </c>
      <c r="E3585">
        <v>1</v>
      </c>
      <c r="F3585" s="1">
        <v>42224</v>
      </c>
      <c r="G3585" s="1" t="str">
        <f>TEXT(pizza_sales[[#This Row],[order_date]],"dddd")</f>
        <v>Saturday</v>
      </c>
      <c r="H3585" s="2">
        <v>0.55076388888888894</v>
      </c>
      <c r="I3585">
        <v>16.5</v>
      </c>
      <c r="J3585">
        <v>16.5</v>
      </c>
      <c r="K3585" t="s">
        <v>58</v>
      </c>
      <c r="L3585" t="s">
        <v>13</v>
      </c>
      <c r="M3585" t="s">
        <v>14</v>
      </c>
      <c r="N3585" t="s">
        <v>15</v>
      </c>
    </row>
    <row r="3586" spans="1:14" x14ac:dyDescent="0.25">
      <c r="A3586">
        <v>29800</v>
      </c>
      <c r="B3586">
        <v>13158</v>
      </c>
      <c r="C3586">
        <f>1/COUNTIF(B:B,pizza_sales[[#This Row],[order_id]])</f>
        <v>0.5</v>
      </c>
      <c r="D3586" t="s">
        <v>25</v>
      </c>
      <c r="E3586">
        <v>1</v>
      </c>
      <c r="F3586" s="1">
        <v>42224</v>
      </c>
      <c r="G3586" s="1" t="str">
        <f>TEXT(pizza_sales[[#This Row],[order_date]],"dddd")</f>
        <v>Saturday</v>
      </c>
      <c r="H3586" s="2">
        <v>0.55076388888888894</v>
      </c>
      <c r="I3586">
        <v>15.25</v>
      </c>
      <c r="J3586">
        <v>15.25</v>
      </c>
      <c r="K3586" t="s">
        <v>58</v>
      </c>
      <c r="L3586" t="s">
        <v>13</v>
      </c>
      <c r="M3586" t="s">
        <v>26</v>
      </c>
      <c r="N3586" t="s">
        <v>27</v>
      </c>
    </row>
    <row r="3587" spans="1:14" x14ac:dyDescent="0.25">
      <c r="A3587">
        <v>29808</v>
      </c>
      <c r="B3587">
        <v>13163</v>
      </c>
      <c r="C3587">
        <f>1/COUNTIF(B:B,pizza_sales[[#This Row],[order_id]])</f>
        <v>1</v>
      </c>
      <c r="D3587" t="s">
        <v>31</v>
      </c>
      <c r="E3587">
        <v>1</v>
      </c>
      <c r="F3587" s="1">
        <v>42224</v>
      </c>
      <c r="G3587" s="1" t="str">
        <f>TEXT(pizza_sales[[#This Row],[order_date]],"dddd")</f>
        <v>Saturday</v>
      </c>
      <c r="H3587" s="2">
        <v>0.61396990740740742</v>
      </c>
      <c r="I3587">
        <v>12</v>
      </c>
      <c r="J3587">
        <v>12</v>
      </c>
      <c r="K3587" t="s">
        <v>60</v>
      </c>
      <c r="L3587" t="s">
        <v>13</v>
      </c>
      <c r="M3587" t="s">
        <v>32</v>
      </c>
      <c r="N3587" t="s">
        <v>33</v>
      </c>
    </row>
    <row r="3588" spans="1:14" x14ac:dyDescent="0.25">
      <c r="A3588">
        <v>29809</v>
      </c>
      <c r="B3588">
        <v>13164</v>
      </c>
      <c r="C3588">
        <f>1/COUNTIF(B:B,pizza_sales[[#This Row],[order_id]])</f>
        <v>1</v>
      </c>
      <c r="D3588" t="s">
        <v>31</v>
      </c>
      <c r="E3588">
        <v>1</v>
      </c>
      <c r="F3588" s="1">
        <v>42224</v>
      </c>
      <c r="G3588" s="1" t="str">
        <f>TEXT(pizza_sales[[#This Row],[order_date]],"dddd")</f>
        <v>Saturday</v>
      </c>
      <c r="H3588" s="2">
        <v>0.62275462962962957</v>
      </c>
      <c r="I3588">
        <v>12</v>
      </c>
      <c r="J3588">
        <v>12</v>
      </c>
      <c r="K3588" t="s">
        <v>60</v>
      </c>
      <c r="L3588" t="s">
        <v>13</v>
      </c>
      <c r="M3588" t="s">
        <v>32</v>
      </c>
      <c r="N3588" t="s">
        <v>33</v>
      </c>
    </row>
    <row r="3589" spans="1:14" x14ac:dyDescent="0.25">
      <c r="A3589">
        <v>29810</v>
      </c>
      <c r="B3589">
        <v>13165</v>
      </c>
      <c r="C3589">
        <f>1/COUNTIF(B:B,pizza_sales[[#This Row],[order_id]])</f>
        <v>1</v>
      </c>
      <c r="D3589" t="s">
        <v>46</v>
      </c>
      <c r="E3589">
        <v>1</v>
      </c>
      <c r="F3589" s="1">
        <v>42224</v>
      </c>
      <c r="G3589" s="1" t="str">
        <f>TEXT(pizza_sales[[#This Row],[order_date]],"dddd")</f>
        <v>Saturday</v>
      </c>
      <c r="H3589" s="2">
        <v>0.64328703703703705</v>
      </c>
      <c r="I3589">
        <v>25.5</v>
      </c>
      <c r="J3589">
        <v>25.5</v>
      </c>
      <c r="K3589" t="s">
        <v>61</v>
      </c>
      <c r="L3589" t="s">
        <v>13</v>
      </c>
      <c r="M3589" t="s">
        <v>21</v>
      </c>
      <c r="N3589" t="s">
        <v>22</v>
      </c>
    </row>
    <row r="3590" spans="1:14" x14ac:dyDescent="0.25">
      <c r="A3590">
        <v>29816</v>
      </c>
      <c r="B3590">
        <v>13170</v>
      </c>
      <c r="C3590">
        <f>1/COUNTIF(B:B,pizza_sales[[#This Row],[order_id]])</f>
        <v>0.5</v>
      </c>
      <c r="D3590" t="s">
        <v>31</v>
      </c>
      <c r="E3590">
        <v>1</v>
      </c>
      <c r="F3590" s="1">
        <v>42224</v>
      </c>
      <c r="G3590" s="1" t="str">
        <f>TEXT(pizza_sales[[#This Row],[order_date]],"dddd")</f>
        <v>Saturday</v>
      </c>
      <c r="H3590" s="2">
        <v>0.67554398148148154</v>
      </c>
      <c r="I3590">
        <v>12</v>
      </c>
      <c r="J3590">
        <v>12</v>
      </c>
      <c r="K3590" t="s">
        <v>60</v>
      </c>
      <c r="L3590" t="s">
        <v>13</v>
      </c>
      <c r="M3590" t="s">
        <v>32</v>
      </c>
      <c r="N3590" t="s">
        <v>33</v>
      </c>
    </row>
    <row r="3591" spans="1:14" x14ac:dyDescent="0.25">
      <c r="A3591">
        <v>29817</v>
      </c>
      <c r="B3591">
        <v>13170</v>
      </c>
      <c r="C3591">
        <f>1/COUNTIF(B:B,pizza_sales[[#This Row],[order_id]])</f>
        <v>0.5</v>
      </c>
      <c r="D3591" t="s">
        <v>39</v>
      </c>
      <c r="E3591">
        <v>1</v>
      </c>
      <c r="F3591" s="1">
        <v>42224</v>
      </c>
      <c r="G3591" s="1" t="str">
        <f>TEXT(pizza_sales[[#This Row],[order_date]],"dddd")</f>
        <v>Saturday</v>
      </c>
      <c r="H3591" s="2">
        <v>0.67554398148148154</v>
      </c>
      <c r="I3591">
        <v>20.25</v>
      </c>
      <c r="J3591">
        <v>20.25</v>
      </c>
      <c r="K3591" t="s">
        <v>58</v>
      </c>
      <c r="L3591" t="s">
        <v>35</v>
      </c>
      <c r="M3591" t="s">
        <v>40</v>
      </c>
      <c r="N3591" t="s">
        <v>41</v>
      </c>
    </row>
    <row r="3592" spans="1:14" x14ac:dyDescent="0.25">
      <c r="A3592">
        <v>29819</v>
      </c>
      <c r="B3592">
        <v>13171</v>
      </c>
      <c r="C3592">
        <f>1/COUNTIF(B:B,pizza_sales[[#This Row],[order_id]])</f>
        <v>0.5</v>
      </c>
      <c r="D3592" t="s">
        <v>47</v>
      </c>
      <c r="E3592">
        <v>1</v>
      </c>
      <c r="F3592" s="1">
        <v>42224</v>
      </c>
      <c r="G3592" s="1" t="str">
        <f>TEXT(pizza_sales[[#This Row],[order_date]],"dddd")</f>
        <v>Saturday</v>
      </c>
      <c r="H3592" s="2">
        <v>0.68082175925925925</v>
      </c>
      <c r="I3592">
        <v>16.5</v>
      </c>
      <c r="J3592">
        <v>16.5</v>
      </c>
      <c r="K3592" t="s">
        <v>58</v>
      </c>
      <c r="L3592" t="s">
        <v>13</v>
      </c>
      <c r="M3592" t="s">
        <v>14</v>
      </c>
      <c r="N3592" t="s">
        <v>15</v>
      </c>
    </row>
    <row r="3593" spans="1:14" x14ac:dyDescent="0.25">
      <c r="A3593">
        <v>29820</v>
      </c>
      <c r="B3593">
        <v>13171</v>
      </c>
      <c r="C3593">
        <f>1/COUNTIF(B:B,pizza_sales[[#This Row],[order_id]])</f>
        <v>0.5</v>
      </c>
      <c r="D3593" t="s">
        <v>24</v>
      </c>
      <c r="E3593">
        <v>1</v>
      </c>
      <c r="F3593" s="1">
        <v>42224</v>
      </c>
      <c r="G3593" s="1" t="str">
        <f>TEXT(pizza_sales[[#This Row],[order_date]],"dddd")</f>
        <v>Saturday</v>
      </c>
      <c r="H3593" s="2">
        <v>0.68082175925925925</v>
      </c>
      <c r="I3593">
        <v>20.25</v>
      </c>
      <c r="J3593">
        <v>20.25</v>
      </c>
      <c r="K3593" t="s">
        <v>58</v>
      </c>
      <c r="L3593" t="s">
        <v>17</v>
      </c>
      <c r="M3593" t="s">
        <v>18</v>
      </c>
      <c r="N3593" t="s">
        <v>19</v>
      </c>
    </row>
    <row r="3594" spans="1:14" x14ac:dyDescent="0.25">
      <c r="A3594">
        <v>29826</v>
      </c>
      <c r="B3594">
        <v>13173</v>
      </c>
      <c r="C3594">
        <f>1/COUNTIF(B:B,pizza_sales[[#This Row],[order_id]])</f>
        <v>1</v>
      </c>
      <c r="D3594" t="s">
        <v>47</v>
      </c>
      <c r="E3594">
        <v>1</v>
      </c>
      <c r="F3594" s="1">
        <v>42224</v>
      </c>
      <c r="G3594" s="1" t="str">
        <f>TEXT(pizza_sales[[#This Row],[order_date]],"dddd")</f>
        <v>Saturday</v>
      </c>
      <c r="H3594" s="2">
        <v>0.68824074074074071</v>
      </c>
      <c r="I3594">
        <v>16.5</v>
      </c>
      <c r="J3594">
        <v>16.5</v>
      </c>
      <c r="K3594" t="s">
        <v>58</v>
      </c>
      <c r="L3594" t="s">
        <v>13</v>
      </c>
      <c r="M3594" t="s">
        <v>14</v>
      </c>
      <c r="N3594" t="s">
        <v>15</v>
      </c>
    </row>
    <row r="3595" spans="1:14" x14ac:dyDescent="0.25">
      <c r="A3595">
        <v>29827</v>
      </c>
      <c r="B3595">
        <v>13174</v>
      </c>
      <c r="C3595">
        <f>1/COUNTIF(B:B,pizza_sales[[#This Row],[order_id]])</f>
        <v>1</v>
      </c>
      <c r="D3595" t="s">
        <v>28</v>
      </c>
      <c r="E3595">
        <v>1</v>
      </c>
      <c r="F3595" s="1">
        <v>42224</v>
      </c>
      <c r="G3595" s="1" t="str">
        <f>TEXT(pizza_sales[[#This Row],[order_date]],"dddd")</f>
        <v>Saturday</v>
      </c>
      <c r="H3595" s="2">
        <v>0.68887731481481485</v>
      </c>
      <c r="I3595">
        <v>12</v>
      </c>
      <c r="J3595">
        <v>12</v>
      </c>
      <c r="K3595" t="s">
        <v>60</v>
      </c>
      <c r="L3595" t="s">
        <v>13</v>
      </c>
      <c r="M3595" t="s">
        <v>29</v>
      </c>
      <c r="N3595" t="s">
        <v>30</v>
      </c>
    </row>
    <row r="3596" spans="1:14" x14ac:dyDescent="0.25">
      <c r="A3596">
        <v>29831</v>
      </c>
      <c r="B3596">
        <v>13175</v>
      </c>
      <c r="C3596">
        <f>1/COUNTIF(B:B,pizza_sales[[#This Row],[order_id]])</f>
        <v>0.5</v>
      </c>
      <c r="D3596" t="s">
        <v>16</v>
      </c>
      <c r="E3596">
        <v>1</v>
      </c>
      <c r="F3596" s="1">
        <v>42224</v>
      </c>
      <c r="G3596" s="1" t="str">
        <f>TEXT(pizza_sales[[#This Row],[order_date]],"dddd")</f>
        <v>Saturday</v>
      </c>
      <c r="H3596" s="2">
        <v>0.68947916666666664</v>
      </c>
      <c r="I3596">
        <v>16</v>
      </c>
      <c r="J3596">
        <v>16</v>
      </c>
      <c r="K3596" t="s">
        <v>59</v>
      </c>
      <c r="L3596" t="s">
        <v>17</v>
      </c>
      <c r="M3596" t="s">
        <v>18</v>
      </c>
      <c r="N3596" t="s">
        <v>19</v>
      </c>
    </row>
    <row r="3597" spans="1:14" x14ac:dyDescent="0.25">
      <c r="A3597">
        <v>29832</v>
      </c>
      <c r="B3597">
        <v>13175</v>
      </c>
      <c r="C3597">
        <f>1/COUNTIF(B:B,pizza_sales[[#This Row],[order_id]])</f>
        <v>0.5</v>
      </c>
      <c r="D3597" t="s">
        <v>25</v>
      </c>
      <c r="E3597">
        <v>1</v>
      </c>
      <c r="F3597" s="1">
        <v>42224</v>
      </c>
      <c r="G3597" s="1" t="str">
        <f>TEXT(pizza_sales[[#This Row],[order_date]],"dddd")</f>
        <v>Saturday</v>
      </c>
      <c r="H3597" s="2">
        <v>0.68947916666666664</v>
      </c>
      <c r="I3597">
        <v>15.25</v>
      </c>
      <c r="J3597">
        <v>15.25</v>
      </c>
      <c r="K3597" t="s">
        <v>58</v>
      </c>
      <c r="L3597" t="s">
        <v>13</v>
      </c>
      <c r="M3597" t="s">
        <v>26</v>
      </c>
      <c r="N3597" t="s">
        <v>27</v>
      </c>
    </row>
    <row r="3598" spans="1:14" x14ac:dyDescent="0.25">
      <c r="A3598">
        <v>29834</v>
      </c>
      <c r="B3598">
        <v>13176</v>
      </c>
      <c r="C3598">
        <f>1/COUNTIF(B:B,pizza_sales[[#This Row],[order_id]])</f>
        <v>0.5</v>
      </c>
      <c r="D3598" t="s">
        <v>28</v>
      </c>
      <c r="E3598">
        <v>1</v>
      </c>
      <c r="F3598" s="1">
        <v>42224</v>
      </c>
      <c r="G3598" s="1" t="str">
        <f>TEXT(pizza_sales[[#This Row],[order_date]],"dddd")</f>
        <v>Saturday</v>
      </c>
      <c r="H3598" s="2">
        <v>0.69193287037037032</v>
      </c>
      <c r="I3598">
        <v>12</v>
      </c>
      <c r="J3598">
        <v>12</v>
      </c>
      <c r="K3598" t="s">
        <v>60</v>
      </c>
      <c r="L3598" t="s">
        <v>13</v>
      </c>
      <c r="M3598" t="s">
        <v>29</v>
      </c>
      <c r="N3598" t="s">
        <v>30</v>
      </c>
    </row>
    <row r="3599" spans="1:14" x14ac:dyDescent="0.25">
      <c r="A3599">
        <v>29836</v>
      </c>
      <c r="B3599">
        <v>13176</v>
      </c>
      <c r="C3599">
        <f>1/COUNTIF(B:B,pizza_sales[[#This Row],[order_id]])</f>
        <v>0.5</v>
      </c>
      <c r="D3599" t="s">
        <v>42</v>
      </c>
      <c r="E3599">
        <v>1</v>
      </c>
      <c r="F3599" s="1">
        <v>42224</v>
      </c>
      <c r="G3599" s="1" t="str">
        <f>TEXT(pizza_sales[[#This Row],[order_date]],"dddd")</f>
        <v>Saturday</v>
      </c>
      <c r="H3599" s="2">
        <v>0.69193287037037032</v>
      </c>
      <c r="I3599">
        <v>12.5</v>
      </c>
      <c r="J3599">
        <v>12.5</v>
      </c>
      <c r="K3599" t="s">
        <v>59</v>
      </c>
      <c r="L3599" t="s">
        <v>13</v>
      </c>
      <c r="M3599" t="s">
        <v>26</v>
      </c>
      <c r="N3599" t="s">
        <v>27</v>
      </c>
    </row>
    <row r="3600" spans="1:14" x14ac:dyDescent="0.25">
      <c r="A3600">
        <v>29843</v>
      </c>
      <c r="B3600">
        <v>13179</v>
      </c>
      <c r="C3600">
        <f>1/COUNTIF(B:B,pizza_sales[[#This Row],[order_id]])</f>
        <v>0.5</v>
      </c>
      <c r="D3600" t="s">
        <v>44</v>
      </c>
      <c r="E3600">
        <v>1</v>
      </c>
      <c r="F3600" s="1">
        <v>42224</v>
      </c>
      <c r="G3600" s="1" t="str">
        <f>TEXT(pizza_sales[[#This Row],[order_date]],"dddd")</f>
        <v>Saturday</v>
      </c>
      <c r="H3600" s="2">
        <v>0.71297453703703706</v>
      </c>
      <c r="I3600">
        <v>9.75</v>
      </c>
      <c r="J3600">
        <v>9.75</v>
      </c>
      <c r="K3600" t="s">
        <v>60</v>
      </c>
      <c r="L3600" t="s">
        <v>13</v>
      </c>
      <c r="M3600" t="s">
        <v>26</v>
      </c>
      <c r="N3600" t="s">
        <v>27</v>
      </c>
    </row>
    <row r="3601" spans="1:14" x14ac:dyDescent="0.25">
      <c r="A3601">
        <v>29844</v>
      </c>
      <c r="B3601">
        <v>13179</v>
      </c>
      <c r="C3601">
        <f>1/COUNTIF(B:B,pizza_sales[[#This Row],[order_id]])</f>
        <v>0.5</v>
      </c>
      <c r="D3601" t="s">
        <v>48</v>
      </c>
      <c r="E3601">
        <v>1</v>
      </c>
      <c r="F3601" s="1">
        <v>42224</v>
      </c>
      <c r="G3601" s="1" t="str">
        <f>TEXT(pizza_sales[[#This Row],[order_date]],"dddd")</f>
        <v>Saturday</v>
      </c>
      <c r="H3601" s="2">
        <v>0.71297453703703706</v>
      </c>
      <c r="I3601">
        <v>12.25</v>
      </c>
      <c r="J3601">
        <v>12.25</v>
      </c>
      <c r="K3601" t="s">
        <v>60</v>
      </c>
      <c r="L3601" t="s">
        <v>35</v>
      </c>
      <c r="M3601" t="s">
        <v>40</v>
      </c>
      <c r="N3601" t="s">
        <v>41</v>
      </c>
    </row>
    <row r="3602" spans="1:14" x14ac:dyDescent="0.25">
      <c r="A3602">
        <v>29846</v>
      </c>
      <c r="B3602">
        <v>13180</v>
      </c>
      <c r="C3602">
        <f>1/COUNTIF(B:B,pizza_sales[[#This Row],[order_id]])</f>
        <v>0.5</v>
      </c>
      <c r="D3602" t="s">
        <v>44</v>
      </c>
      <c r="E3602">
        <v>1</v>
      </c>
      <c r="F3602" s="1">
        <v>42224</v>
      </c>
      <c r="G3602" s="1" t="str">
        <f>TEXT(pizza_sales[[#This Row],[order_date]],"dddd")</f>
        <v>Saturday</v>
      </c>
      <c r="H3602" s="2">
        <v>0.71478009259259256</v>
      </c>
      <c r="I3602">
        <v>9.75</v>
      </c>
      <c r="J3602">
        <v>9.75</v>
      </c>
      <c r="K3602" t="s">
        <v>60</v>
      </c>
      <c r="L3602" t="s">
        <v>13</v>
      </c>
      <c r="M3602" t="s">
        <v>26</v>
      </c>
      <c r="N3602" t="s">
        <v>27</v>
      </c>
    </row>
    <row r="3603" spans="1:14" x14ac:dyDescent="0.25">
      <c r="A3603">
        <v>29847</v>
      </c>
      <c r="B3603">
        <v>13180</v>
      </c>
      <c r="C3603">
        <f>1/COUNTIF(B:B,pizza_sales[[#This Row],[order_id]])</f>
        <v>0.5</v>
      </c>
      <c r="D3603" t="s">
        <v>48</v>
      </c>
      <c r="E3603">
        <v>1</v>
      </c>
      <c r="F3603" s="1">
        <v>42224</v>
      </c>
      <c r="G3603" s="1" t="str">
        <f>TEXT(pizza_sales[[#This Row],[order_date]],"dddd")</f>
        <v>Saturday</v>
      </c>
      <c r="H3603" s="2">
        <v>0.71478009259259256</v>
      </c>
      <c r="I3603">
        <v>12.25</v>
      </c>
      <c r="J3603">
        <v>12.25</v>
      </c>
      <c r="K3603" t="s">
        <v>60</v>
      </c>
      <c r="L3603" t="s">
        <v>35</v>
      </c>
      <c r="M3603" t="s">
        <v>40</v>
      </c>
      <c r="N3603" t="s">
        <v>41</v>
      </c>
    </row>
    <row r="3604" spans="1:14" x14ac:dyDescent="0.25">
      <c r="A3604">
        <v>29851</v>
      </c>
      <c r="B3604">
        <v>13182</v>
      </c>
      <c r="C3604">
        <f>1/COUNTIF(B:B,pizza_sales[[#This Row],[order_id]])</f>
        <v>0.5</v>
      </c>
      <c r="D3604" t="s">
        <v>43</v>
      </c>
      <c r="E3604">
        <v>1</v>
      </c>
      <c r="F3604" s="1">
        <v>42224</v>
      </c>
      <c r="G3604" s="1" t="str">
        <f>TEXT(pizza_sales[[#This Row],[order_date]],"dddd")</f>
        <v>Saturday</v>
      </c>
      <c r="H3604" s="2">
        <v>0.72445601851851849</v>
      </c>
      <c r="I3604">
        <v>16.25</v>
      </c>
      <c r="J3604">
        <v>16.25</v>
      </c>
      <c r="K3604" t="s">
        <v>59</v>
      </c>
      <c r="L3604" t="s">
        <v>35</v>
      </c>
      <c r="M3604" t="s">
        <v>40</v>
      </c>
      <c r="N3604" t="s">
        <v>41</v>
      </c>
    </row>
    <row r="3605" spans="1:14" x14ac:dyDescent="0.25">
      <c r="A3605">
        <v>29852</v>
      </c>
      <c r="B3605">
        <v>13182</v>
      </c>
      <c r="C3605">
        <f>1/COUNTIF(B:B,pizza_sales[[#This Row],[order_id]])</f>
        <v>0.5</v>
      </c>
      <c r="D3605" t="s">
        <v>46</v>
      </c>
      <c r="E3605">
        <v>1</v>
      </c>
      <c r="F3605" s="1">
        <v>42224</v>
      </c>
      <c r="G3605" s="1" t="str">
        <f>TEXT(pizza_sales[[#This Row],[order_date]],"dddd")</f>
        <v>Saturday</v>
      </c>
      <c r="H3605" s="2">
        <v>0.72445601851851849</v>
      </c>
      <c r="I3605">
        <v>25.5</v>
      </c>
      <c r="J3605">
        <v>25.5</v>
      </c>
      <c r="K3605" t="s">
        <v>61</v>
      </c>
      <c r="L3605" t="s">
        <v>13</v>
      </c>
      <c r="M3605" t="s">
        <v>21</v>
      </c>
      <c r="N3605" t="s">
        <v>22</v>
      </c>
    </row>
    <row r="3606" spans="1:14" x14ac:dyDescent="0.25">
      <c r="A3606">
        <v>29856</v>
      </c>
      <c r="B3606">
        <v>13183</v>
      </c>
      <c r="C3606">
        <f>1/COUNTIF(B:B,pizza_sales[[#This Row],[order_id]])</f>
        <v>1</v>
      </c>
      <c r="D3606" t="s">
        <v>25</v>
      </c>
      <c r="E3606">
        <v>1</v>
      </c>
      <c r="F3606" s="1">
        <v>42224</v>
      </c>
      <c r="G3606" s="1" t="str">
        <f>TEXT(pizza_sales[[#This Row],[order_date]],"dddd")</f>
        <v>Saturday</v>
      </c>
      <c r="H3606" s="2">
        <v>0.73771990740740745</v>
      </c>
      <c r="I3606">
        <v>15.25</v>
      </c>
      <c r="J3606">
        <v>15.25</v>
      </c>
      <c r="K3606" t="s">
        <v>58</v>
      </c>
      <c r="L3606" t="s">
        <v>13</v>
      </c>
      <c r="M3606" t="s">
        <v>26</v>
      </c>
      <c r="N3606" t="s">
        <v>27</v>
      </c>
    </row>
    <row r="3607" spans="1:14" x14ac:dyDescent="0.25">
      <c r="A3607">
        <v>29863</v>
      </c>
      <c r="B3607">
        <v>13188</v>
      </c>
      <c r="C3607">
        <f>1/COUNTIF(B:B,pizza_sales[[#This Row],[order_id]])</f>
        <v>1</v>
      </c>
      <c r="D3607" t="s">
        <v>45</v>
      </c>
      <c r="E3607">
        <v>1</v>
      </c>
      <c r="F3607" s="1">
        <v>42224</v>
      </c>
      <c r="G3607" s="1" t="str">
        <f>TEXT(pizza_sales[[#This Row],[order_date]],"dddd")</f>
        <v>Saturday</v>
      </c>
      <c r="H3607" s="2">
        <v>0.75519675925925922</v>
      </c>
      <c r="I3607">
        <v>10.5</v>
      </c>
      <c r="J3607">
        <v>10.5</v>
      </c>
      <c r="K3607" t="s">
        <v>60</v>
      </c>
      <c r="L3607" t="s">
        <v>13</v>
      </c>
      <c r="M3607" t="s">
        <v>14</v>
      </c>
      <c r="N3607" t="s">
        <v>15</v>
      </c>
    </row>
    <row r="3608" spans="1:14" x14ac:dyDescent="0.25">
      <c r="A3608">
        <v>29866</v>
      </c>
      <c r="B3608">
        <v>13190</v>
      </c>
      <c r="C3608">
        <f>1/COUNTIF(B:B,pizza_sales[[#This Row],[order_id]])</f>
        <v>1</v>
      </c>
      <c r="D3608" t="s">
        <v>28</v>
      </c>
      <c r="E3608">
        <v>1</v>
      </c>
      <c r="F3608" s="1">
        <v>42224</v>
      </c>
      <c r="G3608" s="1" t="str">
        <f>TEXT(pizza_sales[[#This Row],[order_date]],"dddd")</f>
        <v>Saturday</v>
      </c>
      <c r="H3608" s="2">
        <v>0.76350694444444445</v>
      </c>
      <c r="I3608">
        <v>12</v>
      </c>
      <c r="J3608">
        <v>12</v>
      </c>
      <c r="K3608" t="s">
        <v>60</v>
      </c>
      <c r="L3608" t="s">
        <v>13</v>
      </c>
      <c r="M3608" t="s">
        <v>29</v>
      </c>
      <c r="N3608" t="s">
        <v>30</v>
      </c>
    </row>
    <row r="3609" spans="1:14" x14ac:dyDescent="0.25">
      <c r="A3609">
        <v>29871</v>
      </c>
      <c r="B3609">
        <v>13192</v>
      </c>
      <c r="C3609">
        <f>1/COUNTIF(B:B,pizza_sales[[#This Row],[order_id]])</f>
        <v>0.33333333333333331</v>
      </c>
      <c r="D3609" t="s">
        <v>45</v>
      </c>
      <c r="E3609">
        <v>1</v>
      </c>
      <c r="F3609" s="1">
        <v>42224</v>
      </c>
      <c r="G3609" s="1" t="str">
        <f>TEXT(pizza_sales[[#This Row],[order_date]],"dddd")</f>
        <v>Saturday</v>
      </c>
      <c r="H3609" s="2">
        <v>0.76703703703703707</v>
      </c>
      <c r="I3609">
        <v>10.5</v>
      </c>
      <c r="J3609">
        <v>10.5</v>
      </c>
      <c r="K3609" t="s">
        <v>60</v>
      </c>
      <c r="L3609" t="s">
        <v>13</v>
      </c>
      <c r="M3609" t="s">
        <v>14</v>
      </c>
      <c r="N3609" t="s">
        <v>15</v>
      </c>
    </row>
    <row r="3610" spans="1:14" x14ac:dyDescent="0.25">
      <c r="A3610">
        <v>29872</v>
      </c>
      <c r="B3610">
        <v>13192</v>
      </c>
      <c r="C3610">
        <f>1/COUNTIF(B:B,pizza_sales[[#This Row],[order_id]])</f>
        <v>0.33333333333333331</v>
      </c>
      <c r="D3610" t="s">
        <v>39</v>
      </c>
      <c r="E3610">
        <v>1</v>
      </c>
      <c r="F3610" s="1">
        <v>42224</v>
      </c>
      <c r="G3610" s="1" t="str">
        <f>TEXT(pizza_sales[[#This Row],[order_date]],"dddd")</f>
        <v>Saturday</v>
      </c>
      <c r="H3610" s="2">
        <v>0.76703703703703707</v>
      </c>
      <c r="I3610">
        <v>20.25</v>
      </c>
      <c r="J3610">
        <v>20.25</v>
      </c>
      <c r="K3610" t="s">
        <v>58</v>
      </c>
      <c r="L3610" t="s">
        <v>35</v>
      </c>
      <c r="M3610" t="s">
        <v>40</v>
      </c>
      <c r="N3610" t="s">
        <v>41</v>
      </c>
    </row>
    <row r="3611" spans="1:14" x14ac:dyDescent="0.25">
      <c r="A3611">
        <v>29873</v>
      </c>
      <c r="B3611">
        <v>13192</v>
      </c>
      <c r="C3611">
        <f>1/COUNTIF(B:B,pizza_sales[[#This Row],[order_id]])</f>
        <v>0.33333333333333331</v>
      </c>
      <c r="D3611" t="s">
        <v>48</v>
      </c>
      <c r="E3611">
        <v>1</v>
      </c>
      <c r="F3611" s="1">
        <v>42224</v>
      </c>
      <c r="G3611" s="1" t="str">
        <f>TEXT(pizza_sales[[#This Row],[order_date]],"dddd")</f>
        <v>Saturday</v>
      </c>
      <c r="H3611" s="2">
        <v>0.76703703703703707</v>
      </c>
      <c r="I3611">
        <v>12.25</v>
      </c>
      <c r="J3611">
        <v>12.25</v>
      </c>
      <c r="K3611" t="s">
        <v>60</v>
      </c>
      <c r="L3611" t="s">
        <v>35</v>
      </c>
      <c r="M3611" t="s">
        <v>40</v>
      </c>
      <c r="N3611" t="s">
        <v>41</v>
      </c>
    </row>
    <row r="3612" spans="1:14" x14ac:dyDescent="0.25">
      <c r="A3612">
        <v>29885</v>
      </c>
      <c r="B3612">
        <v>13197</v>
      </c>
      <c r="C3612">
        <f>1/COUNTIF(B:B,pizza_sales[[#This Row],[order_id]])</f>
        <v>1</v>
      </c>
      <c r="D3612" t="s">
        <v>55</v>
      </c>
      <c r="E3612">
        <v>1</v>
      </c>
      <c r="F3612" s="1">
        <v>42224</v>
      </c>
      <c r="G3612" s="1" t="str">
        <f>TEXT(pizza_sales[[#This Row],[order_date]],"dddd")</f>
        <v>Saturday</v>
      </c>
      <c r="H3612" s="2">
        <v>0.80472222222222223</v>
      </c>
      <c r="I3612">
        <v>20.5</v>
      </c>
      <c r="J3612">
        <v>20.5</v>
      </c>
      <c r="K3612" t="s">
        <v>58</v>
      </c>
      <c r="L3612" t="s">
        <v>13</v>
      </c>
      <c r="M3612" t="s">
        <v>21</v>
      </c>
      <c r="N3612" t="s">
        <v>22</v>
      </c>
    </row>
    <row r="3613" spans="1:14" x14ac:dyDescent="0.25">
      <c r="A3613">
        <v>29889</v>
      </c>
      <c r="B3613">
        <v>13199</v>
      </c>
      <c r="C3613">
        <f>1/COUNTIF(B:B,pizza_sales[[#This Row],[order_id]])</f>
        <v>1</v>
      </c>
      <c r="D3613" t="s">
        <v>50</v>
      </c>
      <c r="E3613">
        <v>1</v>
      </c>
      <c r="F3613" s="1">
        <v>42224</v>
      </c>
      <c r="G3613" s="1" t="str">
        <f>TEXT(pizza_sales[[#This Row],[order_date]],"dddd")</f>
        <v>Saturday</v>
      </c>
      <c r="H3613" s="2">
        <v>0.81973379629629628</v>
      </c>
      <c r="I3613">
        <v>16</v>
      </c>
      <c r="J3613">
        <v>16</v>
      </c>
      <c r="K3613" t="s">
        <v>59</v>
      </c>
      <c r="L3613" t="s">
        <v>13</v>
      </c>
      <c r="M3613" t="s">
        <v>32</v>
      </c>
      <c r="N3613" t="s">
        <v>33</v>
      </c>
    </row>
    <row r="3614" spans="1:14" x14ac:dyDescent="0.25">
      <c r="A3614">
        <v>29899</v>
      </c>
      <c r="B3614">
        <v>13205</v>
      </c>
      <c r="C3614">
        <f>1/COUNTIF(B:B,pizza_sales[[#This Row],[order_id]])</f>
        <v>0.5</v>
      </c>
      <c r="D3614" t="s">
        <v>28</v>
      </c>
      <c r="E3614">
        <v>1</v>
      </c>
      <c r="F3614" s="1">
        <v>42224</v>
      </c>
      <c r="G3614" s="1" t="str">
        <f>TEXT(pizza_sales[[#This Row],[order_date]],"dddd")</f>
        <v>Saturday</v>
      </c>
      <c r="H3614" s="2">
        <v>0.841400462962963</v>
      </c>
      <c r="I3614">
        <v>12</v>
      </c>
      <c r="J3614">
        <v>12</v>
      </c>
      <c r="K3614" t="s">
        <v>60</v>
      </c>
      <c r="L3614" t="s">
        <v>13</v>
      </c>
      <c r="M3614" t="s">
        <v>29</v>
      </c>
      <c r="N3614" t="s">
        <v>30</v>
      </c>
    </row>
    <row r="3615" spans="1:14" x14ac:dyDescent="0.25">
      <c r="A3615">
        <v>29901</v>
      </c>
      <c r="B3615">
        <v>13205</v>
      </c>
      <c r="C3615">
        <f>1/COUNTIF(B:B,pizza_sales[[#This Row],[order_id]])</f>
        <v>0.5</v>
      </c>
      <c r="D3615" t="s">
        <v>45</v>
      </c>
      <c r="E3615">
        <v>1</v>
      </c>
      <c r="F3615" s="1">
        <v>42224</v>
      </c>
      <c r="G3615" s="1" t="str">
        <f>TEXT(pizza_sales[[#This Row],[order_date]],"dddd")</f>
        <v>Saturday</v>
      </c>
      <c r="H3615" s="2">
        <v>0.841400462962963</v>
      </c>
      <c r="I3615">
        <v>10.5</v>
      </c>
      <c r="J3615">
        <v>10.5</v>
      </c>
      <c r="K3615" t="s">
        <v>60</v>
      </c>
      <c r="L3615" t="s">
        <v>13</v>
      </c>
      <c r="M3615" t="s">
        <v>14</v>
      </c>
      <c r="N3615" t="s">
        <v>15</v>
      </c>
    </row>
    <row r="3616" spans="1:14" x14ac:dyDescent="0.25">
      <c r="A3616">
        <v>29904</v>
      </c>
      <c r="B3616">
        <v>13207</v>
      </c>
      <c r="C3616">
        <f>1/COUNTIF(B:B,pizza_sales[[#This Row],[order_id]])</f>
        <v>1</v>
      </c>
      <c r="D3616" t="s">
        <v>16</v>
      </c>
      <c r="E3616">
        <v>1</v>
      </c>
      <c r="F3616" s="1">
        <v>42224</v>
      </c>
      <c r="G3616" s="1" t="str">
        <f>TEXT(pizza_sales[[#This Row],[order_date]],"dddd")</f>
        <v>Saturday</v>
      </c>
      <c r="H3616" s="2">
        <v>0.84797453703703707</v>
      </c>
      <c r="I3616">
        <v>16</v>
      </c>
      <c r="J3616">
        <v>16</v>
      </c>
      <c r="K3616" t="s">
        <v>59</v>
      </c>
      <c r="L3616" t="s">
        <v>17</v>
      </c>
      <c r="M3616" t="s">
        <v>18</v>
      </c>
      <c r="N3616" t="s">
        <v>19</v>
      </c>
    </row>
    <row r="3617" spans="1:14" x14ac:dyDescent="0.25">
      <c r="A3617">
        <v>29910</v>
      </c>
      <c r="B3617">
        <v>13211</v>
      </c>
      <c r="C3617">
        <f>1/COUNTIF(B:B,pizza_sales[[#This Row],[order_id]])</f>
        <v>0.5</v>
      </c>
      <c r="D3617" t="s">
        <v>16</v>
      </c>
      <c r="E3617">
        <v>1</v>
      </c>
      <c r="F3617" s="1">
        <v>42224</v>
      </c>
      <c r="G3617" s="1" t="str">
        <f>TEXT(pizza_sales[[#This Row],[order_date]],"dddd")</f>
        <v>Saturday</v>
      </c>
      <c r="H3617" s="2">
        <v>0.88282407407407404</v>
      </c>
      <c r="I3617">
        <v>16</v>
      </c>
      <c r="J3617">
        <v>16</v>
      </c>
      <c r="K3617" t="s">
        <v>59</v>
      </c>
      <c r="L3617" t="s">
        <v>17</v>
      </c>
      <c r="M3617" t="s">
        <v>18</v>
      </c>
      <c r="N3617" t="s">
        <v>19</v>
      </c>
    </row>
    <row r="3618" spans="1:14" x14ac:dyDescent="0.25">
      <c r="A3618">
        <v>29911</v>
      </c>
      <c r="B3618">
        <v>13211</v>
      </c>
      <c r="C3618">
        <f>1/COUNTIF(B:B,pizza_sales[[#This Row],[order_id]])</f>
        <v>0.5</v>
      </c>
      <c r="D3618" t="s">
        <v>39</v>
      </c>
      <c r="E3618">
        <v>1</v>
      </c>
      <c r="F3618" s="1">
        <v>42224</v>
      </c>
      <c r="G3618" s="1" t="str">
        <f>TEXT(pizza_sales[[#This Row],[order_date]],"dddd")</f>
        <v>Saturday</v>
      </c>
      <c r="H3618" s="2">
        <v>0.88282407407407404</v>
      </c>
      <c r="I3618">
        <v>20.25</v>
      </c>
      <c r="J3618">
        <v>20.25</v>
      </c>
      <c r="K3618" t="s">
        <v>58</v>
      </c>
      <c r="L3618" t="s">
        <v>35</v>
      </c>
      <c r="M3618" t="s">
        <v>40</v>
      </c>
      <c r="N3618" t="s">
        <v>41</v>
      </c>
    </row>
    <row r="3619" spans="1:14" x14ac:dyDescent="0.25">
      <c r="A3619">
        <v>29914</v>
      </c>
      <c r="B3619">
        <v>13212</v>
      </c>
      <c r="C3619">
        <f>1/COUNTIF(B:B,pizza_sales[[#This Row],[order_id]])</f>
        <v>1</v>
      </c>
      <c r="D3619" t="s">
        <v>47</v>
      </c>
      <c r="E3619">
        <v>1</v>
      </c>
      <c r="F3619" s="1">
        <v>42224</v>
      </c>
      <c r="G3619" s="1" t="str">
        <f>TEXT(pizza_sales[[#This Row],[order_date]],"dddd")</f>
        <v>Saturday</v>
      </c>
      <c r="H3619" s="2">
        <v>0.8904050925925926</v>
      </c>
      <c r="I3619">
        <v>16.5</v>
      </c>
      <c r="J3619">
        <v>16.5</v>
      </c>
      <c r="K3619" t="s">
        <v>58</v>
      </c>
      <c r="L3619" t="s">
        <v>13</v>
      </c>
      <c r="M3619" t="s">
        <v>14</v>
      </c>
      <c r="N3619" t="s">
        <v>15</v>
      </c>
    </row>
    <row r="3620" spans="1:14" x14ac:dyDescent="0.25">
      <c r="A3620">
        <v>29918</v>
      </c>
      <c r="B3620">
        <v>13215</v>
      </c>
      <c r="C3620">
        <f>1/COUNTIF(B:B,pizza_sales[[#This Row],[order_id]])</f>
        <v>0.5</v>
      </c>
      <c r="D3620" t="s">
        <v>28</v>
      </c>
      <c r="E3620">
        <v>1</v>
      </c>
      <c r="F3620" s="1">
        <v>42224</v>
      </c>
      <c r="G3620" s="1" t="str">
        <f>TEXT(pizza_sales[[#This Row],[order_date]],"dddd")</f>
        <v>Saturday</v>
      </c>
      <c r="H3620" s="2">
        <v>0.8972106481481481</v>
      </c>
      <c r="I3620">
        <v>12</v>
      </c>
      <c r="J3620">
        <v>12</v>
      </c>
      <c r="K3620" t="s">
        <v>60</v>
      </c>
      <c r="L3620" t="s">
        <v>13</v>
      </c>
      <c r="M3620" t="s">
        <v>29</v>
      </c>
      <c r="N3620" t="s">
        <v>30</v>
      </c>
    </row>
    <row r="3621" spans="1:14" x14ac:dyDescent="0.25">
      <c r="A3621">
        <v>29919</v>
      </c>
      <c r="B3621">
        <v>13215</v>
      </c>
      <c r="C3621">
        <f>1/COUNTIF(B:B,pizza_sales[[#This Row],[order_id]])</f>
        <v>0.5</v>
      </c>
      <c r="D3621" t="s">
        <v>38</v>
      </c>
      <c r="E3621">
        <v>1</v>
      </c>
      <c r="F3621" s="1">
        <v>42224</v>
      </c>
      <c r="G3621" s="1" t="str">
        <f>TEXT(pizza_sales[[#This Row],[order_date]],"dddd")</f>
        <v>Saturday</v>
      </c>
      <c r="H3621" s="2">
        <v>0.8972106481481481</v>
      </c>
      <c r="I3621">
        <v>20.5</v>
      </c>
      <c r="J3621">
        <v>20.5</v>
      </c>
      <c r="K3621" t="s">
        <v>58</v>
      </c>
      <c r="L3621" t="s">
        <v>13</v>
      </c>
      <c r="M3621" t="s">
        <v>32</v>
      </c>
      <c r="N3621" t="s">
        <v>33</v>
      </c>
    </row>
    <row r="3622" spans="1:14" x14ac:dyDescent="0.25">
      <c r="A3622">
        <v>29921</v>
      </c>
      <c r="B3622">
        <v>13216</v>
      </c>
      <c r="C3622">
        <f>1/COUNTIF(B:B,pizza_sales[[#This Row],[order_id]])</f>
        <v>1</v>
      </c>
      <c r="D3622" t="s">
        <v>43</v>
      </c>
      <c r="E3622">
        <v>1</v>
      </c>
      <c r="F3622" s="1">
        <v>42224</v>
      </c>
      <c r="G3622" s="1" t="str">
        <f>TEXT(pizza_sales[[#This Row],[order_date]],"dddd")</f>
        <v>Saturday</v>
      </c>
      <c r="H3622" s="2">
        <v>0.90125</v>
      </c>
      <c r="I3622">
        <v>16.25</v>
      </c>
      <c r="J3622">
        <v>16.25</v>
      </c>
      <c r="K3622" t="s">
        <v>59</v>
      </c>
      <c r="L3622" t="s">
        <v>35</v>
      </c>
      <c r="M3622" t="s">
        <v>40</v>
      </c>
      <c r="N3622" t="s">
        <v>41</v>
      </c>
    </row>
    <row r="3623" spans="1:14" x14ac:dyDescent="0.25">
      <c r="A3623">
        <v>29926</v>
      </c>
      <c r="B3623">
        <v>13219</v>
      </c>
      <c r="C3623">
        <f>1/COUNTIF(B:B,pizza_sales[[#This Row],[order_id]])</f>
        <v>1</v>
      </c>
      <c r="D3623" t="s">
        <v>47</v>
      </c>
      <c r="E3623">
        <v>1</v>
      </c>
      <c r="F3623" s="1">
        <v>42224</v>
      </c>
      <c r="G3623" s="1" t="str">
        <f>TEXT(pizza_sales[[#This Row],[order_date]],"dddd")</f>
        <v>Saturday</v>
      </c>
      <c r="H3623" s="2">
        <v>0.91836805555555556</v>
      </c>
      <c r="I3623">
        <v>16.5</v>
      </c>
      <c r="J3623">
        <v>16.5</v>
      </c>
      <c r="K3623" t="s">
        <v>58</v>
      </c>
      <c r="L3623" t="s">
        <v>13</v>
      </c>
      <c r="M3623" t="s">
        <v>14</v>
      </c>
      <c r="N3623" t="s">
        <v>15</v>
      </c>
    </row>
    <row r="3624" spans="1:14" x14ac:dyDescent="0.25">
      <c r="A3624">
        <v>29928</v>
      </c>
      <c r="B3624">
        <v>13220</v>
      </c>
      <c r="C3624">
        <f>1/COUNTIF(B:B,pizza_sales[[#This Row],[order_id]])</f>
        <v>1</v>
      </c>
      <c r="D3624" t="s">
        <v>45</v>
      </c>
      <c r="E3624">
        <v>1</v>
      </c>
      <c r="F3624" s="1">
        <v>42224</v>
      </c>
      <c r="G3624" s="1" t="str">
        <f>TEXT(pizza_sales[[#This Row],[order_date]],"dddd")</f>
        <v>Saturday</v>
      </c>
      <c r="H3624" s="2">
        <v>0.92327546296296292</v>
      </c>
      <c r="I3624">
        <v>10.5</v>
      </c>
      <c r="J3624">
        <v>10.5</v>
      </c>
      <c r="K3624" t="s">
        <v>60</v>
      </c>
      <c r="L3624" t="s">
        <v>13</v>
      </c>
      <c r="M3624" t="s">
        <v>14</v>
      </c>
      <c r="N3624" t="s">
        <v>15</v>
      </c>
    </row>
    <row r="3625" spans="1:14" x14ac:dyDescent="0.25">
      <c r="A3625">
        <v>29933</v>
      </c>
      <c r="B3625">
        <v>13221</v>
      </c>
      <c r="C3625">
        <f>1/COUNTIF(B:B,pizza_sales[[#This Row],[order_id]])</f>
        <v>0.5</v>
      </c>
      <c r="D3625" t="s">
        <v>45</v>
      </c>
      <c r="E3625">
        <v>1</v>
      </c>
      <c r="F3625" s="1">
        <v>42224</v>
      </c>
      <c r="G3625" s="1" t="str">
        <f>TEXT(pizza_sales[[#This Row],[order_date]],"dddd")</f>
        <v>Saturday</v>
      </c>
      <c r="H3625" s="2">
        <v>0.92988425925925922</v>
      </c>
      <c r="I3625">
        <v>10.5</v>
      </c>
      <c r="J3625">
        <v>10.5</v>
      </c>
      <c r="K3625" t="s">
        <v>60</v>
      </c>
      <c r="L3625" t="s">
        <v>13</v>
      </c>
      <c r="M3625" t="s">
        <v>14</v>
      </c>
      <c r="N3625" t="s">
        <v>15</v>
      </c>
    </row>
    <row r="3626" spans="1:14" x14ac:dyDescent="0.25">
      <c r="A3626">
        <v>29934</v>
      </c>
      <c r="B3626">
        <v>13221</v>
      </c>
      <c r="C3626">
        <f>1/COUNTIF(B:B,pizza_sales[[#This Row],[order_id]])</f>
        <v>0.5</v>
      </c>
      <c r="D3626" t="s">
        <v>24</v>
      </c>
      <c r="E3626">
        <v>1</v>
      </c>
      <c r="F3626" s="1">
        <v>42224</v>
      </c>
      <c r="G3626" s="1" t="str">
        <f>TEXT(pizza_sales[[#This Row],[order_date]],"dddd")</f>
        <v>Saturday</v>
      </c>
      <c r="H3626" s="2">
        <v>0.92988425925925922</v>
      </c>
      <c r="I3626">
        <v>20.25</v>
      </c>
      <c r="J3626">
        <v>20.25</v>
      </c>
      <c r="K3626" t="s">
        <v>58</v>
      </c>
      <c r="L3626" t="s">
        <v>17</v>
      </c>
      <c r="M3626" t="s">
        <v>18</v>
      </c>
      <c r="N3626" t="s">
        <v>19</v>
      </c>
    </row>
    <row r="3627" spans="1:14" x14ac:dyDescent="0.25">
      <c r="A3627">
        <v>29942</v>
      </c>
      <c r="B3627">
        <v>13224</v>
      </c>
      <c r="C3627">
        <f>1/COUNTIF(B:B,pizza_sales[[#This Row],[order_id]])</f>
        <v>1</v>
      </c>
      <c r="D3627" t="s">
        <v>31</v>
      </c>
      <c r="E3627">
        <v>1</v>
      </c>
      <c r="F3627" s="1">
        <v>42255</v>
      </c>
      <c r="G3627" s="1" t="str">
        <f>TEXT(pizza_sales[[#This Row],[order_date]],"dddd")</f>
        <v>Tuesday</v>
      </c>
      <c r="H3627" s="2">
        <v>0.49607638888888889</v>
      </c>
      <c r="I3627">
        <v>12</v>
      </c>
      <c r="J3627">
        <v>12</v>
      </c>
      <c r="K3627" t="s">
        <v>60</v>
      </c>
      <c r="L3627" t="s">
        <v>13</v>
      </c>
      <c r="M3627" t="s">
        <v>32</v>
      </c>
      <c r="N3627" t="s">
        <v>33</v>
      </c>
    </row>
    <row r="3628" spans="1:14" x14ac:dyDescent="0.25">
      <c r="A3628">
        <v>29946</v>
      </c>
      <c r="B3628">
        <v>13226</v>
      </c>
      <c r="C3628">
        <f>1/COUNTIF(B:B,pizza_sales[[#This Row],[order_id]])</f>
        <v>1</v>
      </c>
      <c r="D3628" t="s">
        <v>43</v>
      </c>
      <c r="E3628">
        <v>1</v>
      </c>
      <c r="F3628" s="1">
        <v>42255</v>
      </c>
      <c r="G3628" s="1" t="str">
        <f>TEXT(pizza_sales[[#This Row],[order_date]],"dddd")</f>
        <v>Tuesday</v>
      </c>
      <c r="H3628" s="2">
        <v>0.51543981481481482</v>
      </c>
      <c r="I3628">
        <v>16.25</v>
      </c>
      <c r="J3628">
        <v>16.25</v>
      </c>
      <c r="K3628" t="s">
        <v>59</v>
      </c>
      <c r="L3628" t="s">
        <v>35</v>
      </c>
      <c r="M3628" t="s">
        <v>40</v>
      </c>
      <c r="N3628" t="s">
        <v>41</v>
      </c>
    </row>
    <row r="3629" spans="1:14" x14ac:dyDescent="0.25">
      <c r="A3629">
        <v>29950</v>
      </c>
      <c r="B3629">
        <v>13228</v>
      </c>
      <c r="C3629">
        <f>1/COUNTIF(B:B,pizza_sales[[#This Row],[order_id]])</f>
        <v>0.33333333333333331</v>
      </c>
      <c r="D3629" t="s">
        <v>28</v>
      </c>
      <c r="E3629">
        <v>1</v>
      </c>
      <c r="F3629" s="1">
        <v>42255</v>
      </c>
      <c r="G3629" s="1" t="str">
        <f>TEXT(pizza_sales[[#This Row],[order_date]],"dddd")</f>
        <v>Tuesday</v>
      </c>
      <c r="H3629" s="2">
        <v>0.53690972222222222</v>
      </c>
      <c r="I3629">
        <v>12</v>
      </c>
      <c r="J3629">
        <v>12</v>
      </c>
      <c r="K3629" t="s">
        <v>60</v>
      </c>
      <c r="L3629" t="s">
        <v>13</v>
      </c>
      <c r="M3629" t="s">
        <v>29</v>
      </c>
      <c r="N3629" t="s">
        <v>30</v>
      </c>
    </row>
    <row r="3630" spans="1:14" x14ac:dyDescent="0.25">
      <c r="A3630">
        <v>29952</v>
      </c>
      <c r="B3630">
        <v>13228</v>
      </c>
      <c r="C3630">
        <f>1/COUNTIF(B:B,pizza_sales[[#This Row],[order_id]])</f>
        <v>0.33333333333333331</v>
      </c>
      <c r="D3630" t="s">
        <v>12</v>
      </c>
      <c r="E3630">
        <v>1</v>
      </c>
      <c r="F3630" s="1">
        <v>42255</v>
      </c>
      <c r="G3630" s="1" t="str">
        <f>TEXT(pizza_sales[[#This Row],[order_date]],"dddd")</f>
        <v>Tuesday</v>
      </c>
      <c r="H3630" s="2">
        <v>0.53690972222222222</v>
      </c>
      <c r="I3630">
        <v>13.25</v>
      </c>
      <c r="J3630">
        <v>13.25</v>
      </c>
      <c r="K3630" t="s">
        <v>59</v>
      </c>
      <c r="L3630" t="s">
        <v>13</v>
      </c>
      <c r="M3630" t="s">
        <v>14</v>
      </c>
      <c r="N3630" t="s">
        <v>15</v>
      </c>
    </row>
    <row r="3631" spans="1:14" x14ac:dyDescent="0.25">
      <c r="A3631">
        <v>29954</v>
      </c>
      <c r="B3631">
        <v>13228</v>
      </c>
      <c r="C3631">
        <f>1/COUNTIF(B:B,pizza_sales[[#This Row],[order_id]])</f>
        <v>0.33333333333333331</v>
      </c>
      <c r="D3631" t="s">
        <v>25</v>
      </c>
      <c r="E3631">
        <v>1</v>
      </c>
      <c r="F3631" s="1">
        <v>42255</v>
      </c>
      <c r="G3631" s="1" t="str">
        <f>TEXT(pizza_sales[[#This Row],[order_date]],"dddd")</f>
        <v>Tuesday</v>
      </c>
      <c r="H3631" s="2">
        <v>0.53690972222222222</v>
      </c>
      <c r="I3631">
        <v>15.25</v>
      </c>
      <c r="J3631">
        <v>15.25</v>
      </c>
      <c r="K3631" t="s">
        <v>58</v>
      </c>
      <c r="L3631" t="s">
        <v>13</v>
      </c>
      <c r="M3631" t="s">
        <v>26</v>
      </c>
      <c r="N3631" t="s">
        <v>27</v>
      </c>
    </row>
    <row r="3632" spans="1:14" x14ac:dyDescent="0.25">
      <c r="A3632">
        <v>29956</v>
      </c>
      <c r="B3632">
        <v>13230</v>
      </c>
      <c r="C3632">
        <f>1/COUNTIF(B:B,pizza_sales[[#This Row],[order_id]])</f>
        <v>1</v>
      </c>
      <c r="D3632" t="s">
        <v>47</v>
      </c>
      <c r="E3632">
        <v>1</v>
      </c>
      <c r="F3632" s="1">
        <v>42255</v>
      </c>
      <c r="G3632" s="1" t="str">
        <f>TEXT(pizza_sales[[#This Row],[order_date]],"dddd")</f>
        <v>Tuesday</v>
      </c>
      <c r="H3632" s="2">
        <v>0.55201388888888892</v>
      </c>
      <c r="I3632">
        <v>16.5</v>
      </c>
      <c r="J3632">
        <v>16.5</v>
      </c>
      <c r="K3632" t="s">
        <v>58</v>
      </c>
      <c r="L3632" t="s">
        <v>13</v>
      </c>
      <c r="M3632" t="s">
        <v>14</v>
      </c>
      <c r="N3632" t="s">
        <v>15</v>
      </c>
    </row>
    <row r="3633" spans="1:14" x14ac:dyDescent="0.25">
      <c r="A3633">
        <v>29958</v>
      </c>
      <c r="B3633">
        <v>13231</v>
      </c>
      <c r="C3633">
        <f>1/COUNTIF(B:B,pizza_sales[[#This Row],[order_id]])</f>
        <v>1</v>
      </c>
      <c r="D3633" t="s">
        <v>46</v>
      </c>
      <c r="E3633">
        <v>1</v>
      </c>
      <c r="F3633" s="1">
        <v>42255</v>
      </c>
      <c r="G3633" s="1" t="str">
        <f>TEXT(pizza_sales[[#This Row],[order_date]],"dddd")</f>
        <v>Tuesday</v>
      </c>
      <c r="H3633" s="2">
        <v>0.56458333333333333</v>
      </c>
      <c r="I3633">
        <v>25.5</v>
      </c>
      <c r="J3633">
        <v>25.5</v>
      </c>
      <c r="K3633" t="s">
        <v>61</v>
      </c>
      <c r="L3633" t="s">
        <v>13</v>
      </c>
      <c r="M3633" t="s">
        <v>21</v>
      </c>
      <c r="N3633" t="s">
        <v>22</v>
      </c>
    </row>
    <row r="3634" spans="1:14" x14ac:dyDescent="0.25">
      <c r="A3634">
        <v>29959</v>
      </c>
      <c r="B3634">
        <v>13232</v>
      </c>
      <c r="C3634">
        <f>1/COUNTIF(B:B,pizza_sales[[#This Row],[order_id]])</f>
        <v>1</v>
      </c>
      <c r="D3634" t="s">
        <v>31</v>
      </c>
      <c r="E3634">
        <v>1</v>
      </c>
      <c r="F3634" s="1">
        <v>42255</v>
      </c>
      <c r="G3634" s="1" t="str">
        <f>TEXT(pizza_sales[[#This Row],[order_date]],"dddd")</f>
        <v>Tuesday</v>
      </c>
      <c r="H3634" s="2">
        <v>0.57178240740740738</v>
      </c>
      <c r="I3634">
        <v>12</v>
      </c>
      <c r="J3634">
        <v>12</v>
      </c>
      <c r="K3634" t="s">
        <v>60</v>
      </c>
      <c r="L3634" t="s">
        <v>13</v>
      </c>
      <c r="M3634" t="s">
        <v>32</v>
      </c>
      <c r="N3634" t="s">
        <v>33</v>
      </c>
    </row>
    <row r="3635" spans="1:14" x14ac:dyDescent="0.25">
      <c r="A3635">
        <v>29965</v>
      </c>
      <c r="B3635">
        <v>13235</v>
      </c>
      <c r="C3635">
        <f>1/COUNTIF(B:B,pizza_sales[[#This Row],[order_id]])</f>
        <v>0.5</v>
      </c>
      <c r="D3635" t="s">
        <v>34</v>
      </c>
      <c r="E3635">
        <v>1</v>
      </c>
      <c r="F3635" s="1">
        <v>42255</v>
      </c>
      <c r="G3635" s="1" t="str">
        <f>TEXT(pizza_sales[[#This Row],[order_date]],"dddd")</f>
        <v>Tuesday</v>
      </c>
      <c r="H3635" s="2">
        <v>0.59180555555555558</v>
      </c>
      <c r="I3635">
        <v>16.25</v>
      </c>
      <c r="J3635">
        <v>16.25</v>
      </c>
      <c r="K3635" t="s">
        <v>59</v>
      </c>
      <c r="L3635" t="s">
        <v>35</v>
      </c>
      <c r="M3635" t="s">
        <v>36</v>
      </c>
      <c r="N3635" t="s">
        <v>37</v>
      </c>
    </row>
    <row r="3636" spans="1:14" x14ac:dyDescent="0.25">
      <c r="A3636">
        <v>29972</v>
      </c>
      <c r="B3636">
        <v>13235</v>
      </c>
      <c r="C3636">
        <f>1/COUNTIF(B:B,pizza_sales[[#This Row],[order_id]])</f>
        <v>0.5</v>
      </c>
      <c r="D3636" t="s">
        <v>48</v>
      </c>
      <c r="E3636">
        <v>1</v>
      </c>
      <c r="F3636" s="1">
        <v>42255</v>
      </c>
      <c r="G3636" s="1" t="str">
        <f>TEXT(pizza_sales[[#This Row],[order_date]],"dddd")</f>
        <v>Tuesday</v>
      </c>
      <c r="H3636" s="2">
        <v>0.59180555555555558</v>
      </c>
      <c r="I3636">
        <v>12.25</v>
      </c>
      <c r="J3636">
        <v>12.25</v>
      </c>
      <c r="K3636" t="s">
        <v>60</v>
      </c>
      <c r="L3636" t="s">
        <v>35</v>
      </c>
      <c r="M3636" t="s">
        <v>40</v>
      </c>
      <c r="N3636" t="s">
        <v>41</v>
      </c>
    </row>
    <row r="3637" spans="1:14" x14ac:dyDescent="0.25">
      <c r="A3637">
        <v>29981</v>
      </c>
      <c r="B3637">
        <v>13240</v>
      </c>
      <c r="C3637">
        <f>1/COUNTIF(B:B,pizza_sales[[#This Row],[order_id]])</f>
        <v>0.5</v>
      </c>
      <c r="D3637" t="s">
        <v>34</v>
      </c>
      <c r="E3637">
        <v>1</v>
      </c>
      <c r="F3637" s="1">
        <v>42255</v>
      </c>
      <c r="G3637" s="1" t="str">
        <f>TEXT(pizza_sales[[#This Row],[order_date]],"dddd")</f>
        <v>Tuesday</v>
      </c>
      <c r="H3637" s="2">
        <v>0.62866898148148154</v>
      </c>
      <c r="I3637">
        <v>16.25</v>
      </c>
      <c r="J3637">
        <v>16.25</v>
      </c>
      <c r="K3637" t="s">
        <v>59</v>
      </c>
      <c r="L3637" t="s">
        <v>35</v>
      </c>
      <c r="M3637" t="s">
        <v>36</v>
      </c>
      <c r="N3637" t="s">
        <v>37</v>
      </c>
    </row>
    <row r="3638" spans="1:14" x14ac:dyDescent="0.25">
      <c r="A3638">
        <v>29983</v>
      </c>
      <c r="B3638">
        <v>13240</v>
      </c>
      <c r="C3638">
        <f>1/COUNTIF(B:B,pizza_sales[[#This Row],[order_id]])</f>
        <v>0.5</v>
      </c>
      <c r="D3638" t="s">
        <v>44</v>
      </c>
      <c r="E3638">
        <v>1</v>
      </c>
      <c r="F3638" s="1">
        <v>42255</v>
      </c>
      <c r="G3638" s="1" t="str">
        <f>TEXT(pizza_sales[[#This Row],[order_date]],"dddd")</f>
        <v>Tuesday</v>
      </c>
      <c r="H3638" s="2">
        <v>0.62866898148148154</v>
      </c>
      <c r="I3638">
        <v>9.75</v>
      </c>
      <c r="J3638">
        <v>9.75</v>
      </c>
      <c r="K3638" t="s">
        <v>60</v>
      </c>
      <c r="L3638" t="s">
        <v>13</v>
      </c>
      <c r="M3638" t="s">
        <v>26</v>
      </c>
      <c r="N3638" t="s">
        <v>27</v>
      </c>
    </row>
    <row r="3639" spans="1:14" x14ac:dyDescent="0.25">
      <c r="A3639">
        <v>29987</v>
      </c>
      <c r="B3639">
        <v>13241</v>
      </c>
      <c r="C3639">
        <f>1/COUNTIF(B:B,pizza_sales[[#This Row],[order_id]])</f>
        <v>1</v>
      </c>
      <c r="D3639" t="s">
        <v>42</v>
      </c>
      <c r="E3639">
        <v>1</v>
      </c>
      <c r="F3639" s="1">
        <v>42255</v>
      </c>
      <c r="G3639" s="1" t="str">
        <f>TEXT(pizza_sales[[#This Row],[order_date]],"dddd")</f>
        <v>Tuesday</v>
      </c>
      <c r="H3639" s="2">
        <v>0.6343981481481481</v>
      </c>
      <c r="I3639">
        <v>12.5</v>
      </c>
      <c r="J3639">
        <v>12.5</v>
      </c>
      <c r="K3639" t="s">
        <v>59</v>
      </c>
      <c r="L3639" t="s">
        <v>13</v>
      </c>
      <c r="M3639" t="s">
        <v>26</v>
      </c>
      <c r="N3639" t="s">
        <v>27</v>
      </c>
    </row>
    <row r="3640" spans="1:14" x14ac:dyDescent="0.25">
      <c r="A3640">
        <v>29989</v>
      </c>
      <c r="B3640">
        <v>13242</v>
      </c>
      <c r="C3640">
        <f>1/COUNTIF(B:B,pizza_sales[[#This Row],[order_id]])</f>
        <v>1</v>
      </c>
      <c r="D3640" t="s">
        <v>12</v>
      </c>
      <c r="E3640">
        <v>1</v>
      </c>
      <c r="F3640" s="1">
        <v>42255</v>
      </c>
      <c r="G3640" s="1" t="str">
        <f>TEXT(pizza_sales[[#This Row],[order_date]],"dddd")</f>
        <v>Tuesday</v>
      </c>
      <c r="H3640" s="2">
        <v>0.6466898148148148</v>
      </c>
      <c r="I3640">
        <v>13.25</v>
      </c>
      <c r="J3640">
        <v>13.25</v>
      </c>
      <c r="K3640" t="s">
        <v>59</v>
      </c>
      <c r="L3640" t="s">
        <v>13</v>
      </c>
      <c r="M3640" t="s">
        <v>14</v>
      </c>
      <c r="N3640" t="s">
        <v>15</v>
      </c>
    </row>
    <row r="3641" spans="1:14" x14ac:dyDescent="0.25">
      <c r="A3641">
        <v>29994</v>
      </c>
      <c r="B3641">
        <v>13245</v>
      </c>
      <c r="C3641">
        <f>1/COUNTIF(B:B,pizza_sales[[#This Row],[order_id]])</f>
        <v>1</v>
      </c>
      <c r="D3641" t="s">
        <v>51</v>
      </c>
      <c r="E3641">
        <v>1</v>
      </c>
      <c r="F3641" s="1">
        <v>42255</v>
      </c>
      <c r="G3641" s="1" t="str">
        <f>TEXT(pizza_sales[[#This Row],[order_date]],"dddd")</f>
        <v>Tuesday</v>
      </c>
      <c r="H3641" s="2">
        <v>0.68070601851851853</v>
      </c>
      <c r="I3641">
        <v>23.65</v>
      </c>
      <c r="J3641">
        <v>23.65</v>
      </c>
      <c r="K3641" t="s">
        <v>60</v>
      </c>
      <c r="L3641" t="s">
        <v>35</v>
      </c>
      <c r="M3641" t="s">
        <v>52</v>
      </c>
      <c r="N3641" t="s">
        <v>53</v>
      </c>
    </row>
    <row r="3642" spans="1:14" x14ac:dyDescent="0.25">
      <c r="A3642">
        <v>30000</v>
      </c>
      <c r="B3642">
        <v>13248</v>
      </c>
      <c r="C3642">
        <f>1/COUNTIF(B:B,pizza_sales[[#This Row],[order_id]])</f>
        <v>1</v>
      </c>
      <c r="D3642" t="s">
        <v>28</v>
      </c>
      <c r="E3642">
        <v>1</v>
      </c>
      <c r="F3642" s="1">
        <v>42255</v>
      </c>
      <c r="G3642" s="1" t="str">
        <f>TEXT(pizza_sales[[#This Row],[order_date]],"dddd")</f>
        <v>Tuesday</v>
      </c>
      <c r="H3642" s="2">
        <v>0.68733796296296301</v>
      </c>
      <c r="I3642">
        <v>12</v>
      </c>
      <c r="J3642">
        <v>12</v>
      </c>
      <c r="K3642" t="s">
        <v>60</v>
      </c>
      <c r="L3642" t="s">
        <v>13</v>
      </c>
      <c r="M3642" t="s">
        <v>29</v>
      </c>
      <c r="N3642" t="s">
        <v>30</v>
      </c>
    </row>
    <row r="3643" spans="1:14" x14ac:dyDescent="0.25">
      <c r="A3643">
        <v>30009</v>
      </c>
      <c r="B3643">
        <v>13252</v>
      </c>
      <c r="C3643">
        <f>1/COUNTIF(B:B,pizza_sales[[#This Row],[order_id]])</f>
        <v>1</v>
      </c>
      <c r="D3643" t="s">
        <v>42</v>
      </c>
      <c r="E3643">
        <v>1</v>
      </c>
      <c r="F3643" s="1">
        <v>42255</v>
      </c>
      <c r="G3643" s="1" t="str">
        <f>TEXT(pizza_sales[[#This Row],[order_date]],"dddd")</f>
        <v>Tuesday</v>
      </c>
      <c r="H3643" s="2">
        <v>0.71149305555555553</v>
      </c>
      <c r="I3643">
        <v>12.5</v>
      </c>
      <c r="J3643">
        <v>12.5</v>
      </c>
      <c r="K3643" t="s">
        <v>59</v>
      </c>
      <c r="L3643" t="s">
        <v>13</v>
      </c>
      <c r="M3643" t="s">
        <v>26</v>
      </c>
      <c r="N3643" t="s">
        <v>27</v>
      </c>
    </row>
    <row r="3644" spans="1:14" x14ac:dyDescent="0.25">
      <c r="A3644">
        <v>30011</v>
      </c>
      <c r="B3644">
        <v>13254</v>
      </c>
      <c r="C3644">
        <f>1/COUNTIF(B:B,pizza_sales[[#This Row],[order_id]])</f>
        <v>1</v>
      </c>
      <c r="D3644" t="s">
        <v>42</v>
      </c>
      <c r="E3644">
        <v>1</v>
      </c>
      <c r="F3644" s="1">
        <v>42255</v>
      </c>
      <c r="G3644" s="1" t="str">
        <f>TEXT(pizza_sales[[#This Row],[order_date]],"dddd")</f>
        <v>Tuesday</v>
      </c>
      <c r="H3644" s="2">
        <v>0.74291666666666667</v>
      </c>
      <c r="I3644">
        <v>12.5</v>
      </c>
      <c r="J3644">
        <v>12.5</v>
      </c>
      <c r="K3644" t="s">
        <v>59</v>
      </c>
      <c r="L3644" t="s">
        <v>13</v>
      </c>
      <c r="M3644" t="s">
        <v>26</v>
      </c>
      <c r="N3644" t="s">
        <v>27</v>
      </c>
    </row>
    <row r="3645" spans="1:14" x14ac:dyDescent="0.25">
      <c r="A3645">
        <v>30019</v>
      </c>
      <c r="B3645">
        <v>13258</v>
      </c>
      <c r="C3645">
        <f>1/COUNTIF(B:B,pizza_sales[[#This Row],[order_id]])</f>
        <v>0.5</v>
      </c>
      <c r="D3645" t="s">
        <v>56</v>
      </c>
      <c r="E3645">
        <v>1</v>
      </c>
      <c r="F3645" s="1">
        <v>42255</v>
      </c>
      <c r="G3645" s="1" t="str">
        <f>TEXT(pizza_sales[[#This Row],[order_date]],"dddd")</f>
        <v>Tuesday</v>
      </c>
      <c r="H3645" s="2">
        <v>0.75089120370370366</v>
      </c>
      <c r="I3645">
        <v>20.25</v>
      </c>
      <c r="J3645">
        <v>20.25</v>
      </c>
      <c r="K3645" t="s">
        <v>58</v>
      </c>
      <c r="L3645" t="s">
        <v>35</v>
      </c>
      <c r="M3645" t="s">
        <v>36</v>
      </c>
      <c r="N3645" t="s">
        <v>37</v>
      </c>
    </row>
    <row r="3646" spans="1:14" x14ac:dyDescent="0.25">
      <c r="A3646">
        <v>30020</v>
      </c>
      <c r="B3646">
        <v>13258</v>
      </c>
      <c r="C3646">
        <f>1/COUNTIF(B:B,pizza_sales[[#This Row],[order_id]])</f>
        <v>0.5</v>
      </c>
      <c r="D3646" t="s">
        <v>25</v>
      </c>
      <c r="E3646">
        <v>1</v>
      </c>
      <c r="F3646" s="1">
        <v>42255</v>
      </c>
      <c r="G3646" s="1" t="str">
        <f>TEXT(pizza_sales[[#This Row],[order_date]],"dddd")</f>
        <v>Tuesday</v>
      </c>
      <c r="H3646" s="2">
        <v>0.75089120370370366</v>
      </c>
      <c r="I3646">
        <v>15.25</v>
      </c>
      <c r="J3646">
        <v>15.25</v>
      </c>
      <c r="K3646" t="s">
        <v>58</v>
      </c>
      <c r="L3646" t="s">
        <v>13</v>
      </c>
      <c r="M3646" t="s">
        <v>26</v>
      </c>
      <c r="N3646" t="s">
        <v>27</v>
      </c>
    </row>
    <row r="3647" spans="1:14" x14ac:dyDescent="0.25">
      <c r="A3647">
        <v>30026</v>
      </c>
      <c r="B3647">
        <v>13262</v>
      </c>
      <c r="C3647">
        <f>1/COUNTIF(B:B,pizza_sales[[#This Row],[order_id]])</f>
        <v>1</v>
      </c>
      <c r="D3647" t="s">
        <v>34</v>
      </c>
      <c r="E3647">
        <v>2</v>
      </c>
      <c r="F3647" s="1">
        <v>42255</v>
      </c>
      <c r="G3647" s="1" t="str">
        <f>TEXT(pizza_sales[[#This Row],[order_date]],"dddd")</f>
        <v>Tuesday</v>
      </c>
      <c r="H3647" s="2">
        <v>0.79685185185185181</v>
      </c>
      <c r="I3647">
        <v>16.25</v>
      </c>
      <c r="J3647">
        <v>32.5</v>
      </c>
      <c r="K3647" t="s">
        <v>59</v>
      </c>
      <c r="L3647" t="s">
        <v>35</v>
      </c>
      <c r="M3647" t="s">
        <v>36</v>
      </c>
      <c r="N3647" t="s">
        <v>37</v>
      </c>
    </row>
    <row r="3648" spans="1:14" x14ac:dyDescent="0.25">
      <c r="A3648">
        <v>30029</v>
      </c>
      <c r="B3648">
        <v>13263</v>
      </c>
      <c r="C3648">
        <f>1/COUNTIF(B:B,pizza_sales[[#This Row],[order_id]])</f>
        <v>1</v>
      </c>
      <c r="D3648" t="s">
        <v>43</v>
      </c>
      <c r="E3648">
        <v>1</v>
      </c>
      <c r="F3648" s="1">
        <v>42255</v>
      </c>
      <c r="G3648" s="1" t="str">
        <f>TEXT(pizza_sales[[#This Row],[order_date]],"dddd")</f>
        <v>Tuesday</v>
      </c>
      <c r="H3648" s="2">
        <v>0.79732638888888885</v>
      </c>
      <c r="I3648">
        <v>16.25</v>
      </c>
      <c r="J3648">
        <v>16.25</v>
      </c>
      <c r="K3648" t="s">
        <v>59</v>
      </c>
      <c r="L3648" t="s">
        <v>35</v>
      </c>
      <c r="M3648" t="s">
        <v>40</v>
      </c>
      <c r="N3648" t="s">
        <v>41</v>
      </c>
    </row>
    <row r="3649" spans="1:14" x14ac:dyDescent="0.25">
      <c r="A3649">
        <v>30030</v>
      </c>
      <c r="B3649">
        <v>13264</v>
      </c>
      <c r="C3649">
        <f>1/COUNTIF(B:B,pizza_sales[[#This Row],[order_id]])</f>
        <v>1</v>
      </c>
      <c r="D3649" t="s">
        <v>51</v>
      </c>
      <c r="E3649">
        <v>1</v>
      </c>
      <c r="F3649" s="1">
        <v>42255</v>
      </c>
      <c r="G3649" s="1" t="str">
        <f>TEXT(pizza_sales[[#This Row],[order_date]],"dddd")</f>
        <v>Tuesday</v>
      </c>
      <c r="H3649" s="2">
        <v>0.79931712962962964</v>
      </c>
      <c r="I3649">
        <v>23.65</v>
      </c>
      <c r="J3649">
        <v>23.65</v>
      </c>
      <c r="K3649" t="s">
        <v>60</v>
      </c>
      <c r="L3649" t="s">
        <v>35</v>
      </c>
      <c r="M3649" t="s">
        <v>52</v>
      </c>
      <c r="N3649" t="s">
        <v>53</v>
      </c>
    </row>
    <row r="3650" spans="1:14" x14ac:dyDescent="0.25">
      <c r="A3650">
        <v>30033</v>
      </c>
      <c r="B3650">
        <v>13265</v>
      </c>
      <c r="C3650">
        <f>1/COUNTIF(B:B,pizza_sales[[#This Row],[order_id]])</f>
        <v>1</v>
      </c>
      <c r="D3650" t="s">
        <v>31</v>
      </c>
      <c r="E3650">
        <v>1</v>
      </c>
      <c r="F3650" s="1">
        <v>42255</v>
      </c>
      <c r="G3650" s="1" t="str">
        <f>TEXT(pizza_sales[[#This Row],[order_date]],"dddd")</f>
        <v>Tuesday</v>
      </c>
      <c r="H3650" s="2">
        <v>0.81364583333333329</v>
      </c>
      <c r="I3650">
        <v>12</v>
      </c>
      <c r="J3650">
        <v>12</v>
      </c>
      <c r="K3650" t="s">
        <v>60</v>
      </c>
      <c r="L3650" t="s">
        <v>13</v>
      </c>
      <c r="M3650" t="s">
        <v>32</v>
      </c>
      <c r="N3650" t="s">
        <v>33</v>
      </c>
    </row>
    <row r="3651" spans="1:14" x14ac:dyDescent="0.25">
      <c r="A3651">
        <v>30036</v>
      </c>
      <c r="B3651">
        <v>13266</v>
      </c>
      <c r="C3651">
        <f>1/COUNTIF(B:B,pizza_sales[[#This Row],[order_id]])</f>
        <v>1</v>
      </c>
      <c r="D3651" t="s">
        <v>44</v>
      </c>
      <c r="E3651">
        <v>1</v>
      </c>
      <c r="F3651" s="1">
        <v>42255</v>
      </c>
      <c r="G3651" s="1" t="str">
        <f>TEXT(pizza_sales[[#This Row],[order_date]],"dddd")</f>
        <v>Tuesday</v>
      </c>
      <c r="H3651" s="2">
        <v>0.81458333333333333</v>
      </c>
      <c r="I3651">
        <v>9.75</v>
      </c>
      <c r="J3651">
        <v>9.75</v>
      </c>
      <c r="K3651" t="s">
        <v>60</v>
      </c>
      <c r="L3651" t="s">
        <v>13</v>
      </c>
      <c r="M3651" t="s">
        <v>26</v>
      </c>
      <c r="N3651" t="s">
        <v>27</v>
      </c>
    </row>
    <row r="3652" spans="1:14" x14ac:dyDescent="0.25">
      <c r="A3652">
        <v>30037</v>
      </c>
      <c r="B3652">
        <v>13267</v>
      </c>
      <c r="C3652">
        <f>1/COUNTIF(B:B,pizza_sales[[#This Row],[order_id]])</f>
        <v>1</v>
      </c>
      <c r="D3652" t="s">
        <v>42</v>
      </c>
      <c r="E3652">
        <v>1</v>
      </c>
      <c r="F3652" s="1">
        <v>42255</v>
      </c>
      <c r="G3652" s="1" t="str">
        <f>TEXT(pizza_sales[[#This Row],[order_date]],"dddd")</f>
        <v>Tuesday</v>
      </c>
      <c r="H3652" s="2">
        <v>0.8404166666666667</v>
      </c>
      <c r="I3652">
        <v>12.5</v>
      </c>
      <c r="J3652">
        <v>12.5</v>
      </c>
      <c r="K3652" t="s">
        <v>59</v>
      </c>
      <c r="L3652" t="s">
        <v>13</v>
      </c>
      <c r="M3652" t="s">
        <v>26</v>
      </c>
      <c r="N3652" t="s">
        <v>27</v>
      </c>
    </row>
    <row r="3653" spans="1:14" x14ac:dyDescent="0.25">
      <c r="A3653">
        <v>30040</v>
      </c>
      <c r="B3653">
        <v>13268</v>
      </c>
      <c r="C3653">
        <f>1/COUNTIF(B:B,pizza_sales[[#This Row],[order_id]])</f>
        <v>1</v>
      </c>
      <c r="D3653" t="s">
        <v>44</v>
      </c>
      <c r="E3653">
        <v>1</v>
      </c>
      <c r="F3653" s="1">
        <v>42255</v>
      </c>
      <c r="G3653" s="1" t="str">
        <f>TEXT(pizza_sales[[#This Row],[order_date]],"dddd")</f>
        <v>Tuesday</v>
      </c>
      <c r="H3653" s="2">
        <v>0.85325231481481478</v>
      </c>
      <c r="I3653">
        <v>9.75</v>
      </c>
      <c r="J3653">
        <v>9.75</v>
      </c>
      <c r="K3653" t="s">
        <v>60</v>
      </c>
      <c r="L3653" t="s">
        <v>13</v>
      </c>
      <c r="M3653" t="s">
        <v>26</v>
      </c>
      <c r="N3653" t="s">
        <v>27</v>
      </c>
    </row>
    <row r="3654" spans="1:14" x14ac:dyDescent="0.25">
      <c r="A3654">
        <v>30054</v>
      </c>
      <c r="B3654">
        <v>13272</v>
      </c>
      <c r="C3654">
        <f>1/COUNTIF(B:B,pizza_sales[[#This Row],[order_id]])</f>
        <v>1</v>
      </c>
      <c r="D3654" t="s">
        <v>28</v>
      </c>
      <c r="E3654">
        <v>2</v>
      </c>
      <c r="F3654" s="1">
        <v>42255</v>
      </c>
      <c r="G3654" s="1" t="str">
        <f>TEXT(pizza_sales[[#This Row],[order_date]],"dddd")</f>
        <v>Tuesday</v>
      </c>
      <c r="H3654" s="2">
        <v>0.88678240740740744</v>
      </c>
      <c r="I3654">
        <v>12</v>
      </c>
      <c r="J3654">
        <v>24</v>
      </c>
      <c r="K3654" t="s">
        <v>60</v>
      </c>
      <c r="L3654" t="s">
        <v>13</v>
      </c>
      <c r="M3654" t="s">
        <v>29</v>
      </c>
      <c r="N3654" t="s">
        <v>30</v>
      </c>
    </row>
    <row r="3655" spans="1:14" x14ac:dyDescent="0.25">
      <c r="A3655">
        <v>30055</v>
      </c>
      <c r="B3655">
        <v>13273</v>
      </c>
      <c r="C3655">
        <f>1/COUNTIF(B:B,pizza_sales[[#This Row],[order_id]])</f>
        <v>1</v>
      </c>
      <c r="D3655" t="s">
        <v>28</v>
      </c>
      <c r="E3655">
        <v>1</v>
      </c>
      <c r="F3655" s="1">
        <v>42255</v>
      </c>
      <c r="G3655" s="1" t="str">
        <f>TEXT(pizza_sales[[#This Row],[order_date]],"dddd")</f>
        <v>Tuesday</v>
      </c>
      <c r="H3655" s="2">
        <v>0.89449074074074075</v>
      </c>
      <c r="I3655">
        <v>12</v>
      </c>
      <c r="J3655">
        <v>12</v>
      </c>
      <c r="K3655" t="s">
        <v>60</v>
      </c>
      <c r="L3655" t="s">
        <v>13</v>
      </c>
      <c r="M3655" t="s">
        <v>29</v>
      </c>
      <c r="N3655" t="s">
        <v>30</v>
      </c>
    </row>
    <row r="3656" spans="1:14" x14ac:dyDescent="0.25">
      <c r="A3656">
        <v>30059</v>
      </c>
      <c r="B3656">
        <v>13275</v>
      </c>
      <c r="C3656">
        <f>1/COUNTIF(B:B,pizza_sales[[#This Row],[order_id]])</f>
        <v>1</v>
      </c>
      <c r="D3656" t="s">
        <v>50</v>
      </c>
      <c r="E3656">
        <v>1</v>
      </c>
      <c r="F3656" s="1">
        <v>42255</v>
      </c>
      <c r="G3656" s="1" t="str">
        <f>TEXT(pizza_sales[[#This Row],[order_date]],"dddd")</f>
        <v>Tuesday</v>
      </c>
      <c r="H3656" s="2">
        <v>0.90023148148148147</v>
      </c>
      <c r="I3656">
        <v>16</v>
      </c>
      <c r="J3656">
        <v>16</v>
      </c>
      <c r="K3656" t="s">
        <v>59</v>
      </c>
      <c r="L3656" t="s">
        <v>13</v>
      </c>
      <c r="M3656" t="s">
        <v>32</v>
      </c>
      <c r="N3656" t="s">
        <v>33</v>
      </c>
    </row>
    <row r="3657" spans="1:14" x14ac:dyDescent="0.25">
      <c r="A3657">
        <v>30060</v>
      </c>
      <c r="B3657">
        <v>13276</v>
      </c>
      <c r="C3657">
        <f>1/COUNTIF(B:B,pizza_sales[[#This Row],[order_id]])</f>
        <v>1</v>
      </c>
      <c r="D3657" t="s">
        <v>42</v>
      </c>
      <c r="E3657">
        <v>1</v>
      </c>
      <c r="F3657" s="1">
        <v>42255</v>
      </c>
      <c r="G3657" s="1" t="str">
        <f>TEXT(pizza_sales[[#This Row],[order_date]],"dddd")</f>
        <v>Tuesday</v>
      </c>
      <c r="H3657" s="2">
        <v>0.90056712962962959</v>
      </c>
      <c r="I3657">
        <v>12.5</v>
      </c>
      <c r="J3657">
        <v>12.5</v>
      </c>
      <c r="K3657" t="s">
        <v>59</v>
      </c>
      <c r="L3657" t="s">
        <v>13</v>
      </c>
      <c r="M3657" t="s">
        <v>26</v>
      </c>
      <c r="N3657" t="s">
        <v>27</v>
      </c>
    </row>
    <row r="3658" spans="1:14" x14ac:dyDescent="0.25">
      <c r="A3658">
        <v>30061</v>
      </c>
      <c r="B3658">
        <v>13277</v>
      </c>
      <c r="C3658">
        <f>1/COUNTIF(B:B,pizza_sales[[#This Row],[order_id]])</f>
        <v>1</v>
      </c>
      <c r="D3658" t="s">
        <v>47</v>
      </c>
      <c r="E3658">
        <v>1</v>
      </c>
      <c r="F3658" s="1">
        <v>42255</v>
      </c>
      <c r="G3658" s="1" t="str">
        <f>TEXT(pizza_sales[[#This Row],[order_date]],"dddd")</f>
        <v>Tuesday</v>
      </c>
      <c r="H3658" s="2">
        <v>0.90204861111111112</v>
      </c>
      <c r="I3658">
        <v>16.5</v>
      </c>
      <c r="J3658">
        <v>16.5</v>
      </c>
      <c r="K3658" t="s">
        <v>58</v>
      </c>
      <c r="L3658" t="s">
        <v>13</v>
      </c>
      <c r="M3658" t="s">
        <v>14</v>
      </c>
      <c r="N3658" t="s">
        <v>15</v>
      </c>
    </row>
    <row r="3659" spans="1:14" x14ac:dyDescent="0.25">
      <c r="A3659">
        <v>30063</v>
      </c>
      <c r="B3659">
        <v>13278</v>
      </c>
      <c r="C3659">
        <f>1/COUNTIF(B:B,pizza_sales[[#This Row],[order_id]])</f>
        <v>1</v>
      </c>
      <c r="D3659" t="s">
        <v>56</v>
      </c>
      <c r="E3659">
        <v>1</v>
      </c>
      <c r="F3659" s="1">
        <v>42255</v>
      </c>
      <c r="G3659" s="1" t="str">
        <f>TEXT(pizza_sales[[#This Row],[order_date]],"dddd")</f>
        <v>Tuesday</v>
      </c>
      <c r="H3659" s="2">
        <v>0.94405092592592588</v>
      </c>
      <c r="I3659">
        <v>20.25</v>
      </c>
      <c r="J3659">
        <v>20.25</v>
      </c>
      <c r="K3659" t="s">
        <v>58</v>
      </c>
      <c r="L3659" t="s">
        <v>35</v>
      </c>
      <c r="M3659" t="s">
        <v>36</v>
      </c>
      <c r="N3659" t="s">
        <v>37</v>
      </c>
    </row>
    <row r="3660" spans="1:14" x14ac:dyDescent="0.25">
      <c r="A3660">
        <v>30065</v>
      </c>
      <c r="B3660">
        <v>13279</v>
      </c>
      <c r="C3660">
        <f>1/COUNTIF(B:B,pizza_sales[[#This Row],[order_id]])</f>
        <v>1</v>
      </c>
      <c r="D3660" t="s">
        <v>25</v>
      </c>
      <c r="E3660">
        <v>1</v>
      </c>
      <c r="F3660" s="1">
        <v>42285</v>
      </c>
      <c r="G3660" s="1" t="str">
        <f>TEXT(pizza_sales[[#This Row],[order_date]],"dddd")</f>
        <v>Thursday</v>
      </c>
      <c r="H3660" s="2">
        <v>0.47609953703703706</v>
      </c>
      <c r="I3660">
        <v>15.25</v>
      </c>
      <c r="J3660">
        <v>15.25</v>
      </c>
      <c r="K3660" t="s">
        <v>58</v>
      </c>
      <c r="L3660" t="s">
        <v>13</v>
      </c>
      <c r="M3660" t="s">
        <v>26</v>
      </c>
      <c r="N3660" t="s">
        <v>27</v>
      </c>
    </row>
    <row r="3661" spans="1:14" x14ac:dyDescent="0.25">
      <c r="A3661">
        <v>30075</v>
      </c>
      <c r="B3661">
        <v>13286</v>
      </c>
      <c r="C3661">
        <f>1/COUNTIF(B:B,pizza_sales[[#This Row],[order_id]])</f>
        <v>1</v>
      </c>
      <c r="D3661" t="s">
        <v>39</v>
      </c>
      <c r="E3661">
        <v>1</v>
      </c>
      <c r="F3661" s="1">
        <v>42285</v>
      </c>
      <c r="G3661" s="1" t="str">
        <f>TEXT(pizza_sales[[#This Row],[order_date]],"dddd")</f>
        <v>Thursday</v>
      </c>
      <c r="H3661" s="2">
        <v>0.50351851851851848</v>
      </c>
      <c r="I3661">
        <v>20.25</v>
      </c>
      <c r="J3661">
        <v>20.25</v>
      </c>
      <c r="K3661" t="s">
        <v>58</v>
      </c>
      <c r="L3661" t="s">
        <v>35</v>
      </c>
      <c r="M3661" t="s">
        <v>40</v>
      </c>
      <c r="N3661" t="s">
        <v>41</v>
      </c>
    </row>
    <row r="3662" spans="1:14" x14ac:dyDescent="0.25">
      <c r="A3662">
        <v>30079</v>
      </c>
      <c r="B3662">
        <v>13287</v>
      </c>
      <c r="C3662">
        <f>1/COUNTIF(B:B,pizza_sales[[#This Row],[order_id]])</f>
        <v>1</v>
      </c>
      <c r="D3662" t="s">
        <v>49</v>
      </c>
      <c r="E3662">
        <v>1</v>
      </c>
      <c r="F3662" s="1">
        <v>42285</v>
      </c>
      <c r="G3662" s="1" t="str">
        <f>TEXT(pizza_sales[[#This Row],[order_date]],"dddd")</f>
        <v>Thursday</v>
      </c>
      <c r="H3662" s="2">
        <v>0.50590277777777781</v>
      </c>
      <c r="I3662">
        <v>16</v>
      </c>
      <c r="J3662">
        <v>16</v>
      </c>
      <c r="K3662" t="s">
        <v>59</v>
      </c>
      <c r="L3662" t="s">
        <v>13</v>
      </c>
      <c r="M3662" t="s">
        <v>21</v>
      </c>
      <c r="N3662" t="s">
        <v>22</v>
      </c>
    </row>
    <row r="3663" spans="1:14" x14ac:dyDescent="0.25">
      <c r="A3663">
        <v>30090</v>
      </c>
      <c r="B3663">
        <v>13292</v>
      </c>
      <c r="C3663">
        <f>1/COUNTIF(B:B,pizza_sales[[#This Row],[order_id]])</f>
        <v>0.5</v>
      </c>
      <c r="D3663" t="s">
        <v>38</v>
      </c>
      <c r="E3663">
        <v>1</v>
      </c>
      <c r="F3663" s="1">
        <v>42285</v>
      </c>
      <c r="G3663" s="1" t="str">
        <f>TEXT(pizza_sales[[#This Row],[order_date]],"dddd")</f>
        <v>Thursday</v>
      </c>
      <c r="H3663" s="2">
        <v>0.53619212962962959</v>
      </c>
      <c r="I3663">
        <v>20.5</v>
      </c>
      <c r="J3663">
        <v>20.5</v>
      </c>
      <c r="K3663" t="s">
        <v>58</v>
      </c>
      <c r="L3663" t="s">
        <v>13</v>
      </c>
      <c r="M3663" t="s">
        <v>32</v>
      </c>
      <c r="N3663" t="s">
        <v>33</v>
      </c>
    </row>
    <row r="3664" spans="1:14" x14ac:dyDescent="0.25">
      <c r="A3664">
        <v>30094</v>
      </c>
      <c r="B3664">
        <v>13292</v>
      </c>
      <c r="C3664">
        <f>1/COUNTIF(B:B,pizza_sales[[#This Row],[order_id]])</f>
        <v>0.5</v>
      </c>
      <c r="D3664" t="s">
        <v>49</v>
      </c>
      <c r="E3664">
        <v>1</v>
      </c>
      <c r="F3664" s="1">
        <v>42285</v>
      </c>
      <c r="G3664" s="1" t="str">
        <f>TEXT(pizza_sales[[#This Row],[order_date]],"dddd")</f>
        <v>Thursday</v>
      </c>
      <c r="H3664" s="2">
        <v>0.53619212962962959</v>
      </c>
      <c r="I3664">
        <v>16</v>
      </c>
      <c r="J3664">
        <v>16</v>
      </c>
      <c r="K3664" t="s">
        <v>59</v>
      </c>
      <c r="L3664" t="s">
        <v>13</v>
      </c>
      <c r="M3664" t="s">
        <v>21</v>
      </c>
      <c r="N3664" t="s">
        <v>22</v>
      </c>
    </row>
    <row r="3665" spans="1:14" x14ac:dyDescent="0.25">
      <c r="A3665">
        <v>30096</v>
      </c>
      <c r="B3665">
        <v>13293</v>
      </c>
      <c r="C3665">
        <f>1/COUNTIF(B:B,pizza_sales[[#This Row],[order_id]])</f>
        <v>1</v>
      </c>
      <c r="D3665" t="s">
        <v>39</v>
      </c>
      <c r="E3665">
        <v>1</v>
      </c>
      <c r="F3665" s="1">
        <v>42285</v>
      </c>
      <c r="G3665" s="1" t="str">
        <f>TEXT(pizza_sales[[#This Row],[order_date]],"dddd")</f>
        <v>Thursday</v>
      </c>
      <c r="H3665" s="2">
        <v>0.55557870370370366</v>
      </c>
      <c r="I3665">
        <v>20.25</v>
      </c>
      <c r="J3665">
        <v>20.25</v>
      </c>
      <c r="K3665" t="s">
        <v>58</v>
      </c>
      <c r="L3665" t="s">
        <v>35</v>
      </c>
      <c r="M3665" t="s">
        <v>40</v>
      </c>
      <c r="N3665" t="s">
        <v>41</v>
      </c>
    </row>
    <row r="3666" spans="1:14" x14ac:dyDescent="0.25">
      <c r="A3666">
        <v>30105</v>
      </c>
      <c r="B3666">
        <v>13298</v>
      </c>
      <c r="C3666">
        <f>1/COUNTIF(B:B,pizza_sales[[#This Row],[order_id]])</f>
        <v>1</v>
      </c>
      <c r="D3666" t="s">
        <v>39</v>
      </c>
      <c r="E3666">
        <v>1</v>
      </c>
      <c r="F3666" s="1">
        <v>42285</v>
      </c>
      <c r="G3666" s="1" t="str">
        <f>TEXT(pizza_sales[[#This Row],[order_date]],"dddd")</f>
        <v>Thursday</v>
      </c>
      <c r="H3666" s="2">
        <v>0.59219907407407413</v>
      </c>
      <c r="I3666">
        <v>20.25</v>
      </c>
      <c r="J3666">
        <v>20.25</v>
      </c>
      <c r="K3666" t="s">
        <v>58</v>
      </c>
      <c r="L3666" t="s">
        <v>35</v>
      </c>
      <c r="M3666" t="s">
        <v>40</v>
      </c>
      <c r="N3666" t="s">
        <v>41</v>
      </c>
    </row>
    <row r="3667" spans="1:14" x14ac:dyDescent="0.25">
      <c r="A3667">
        <v>30106</v>
      </c>
      <c r="B3667">
        <v>13299</v>
      </c>
      <c r="C3667">
        <f>1/COUNTIF(B:B,pizza_sales[[#This Row],[order_id]])</f>
        <v>1</v>
      </c>
      <c r="D3667" t="s">
        <v>12</v>
      </c>
      <c r="E3667">
        <v>1</v>
      </c>
      <c r="F3667" s="1">
        <v>42285</v>
      </c>
      <c r="G3667" s="1" t="str">
        <f>TEXT(pizza_sales[[#This Row],[order_date]],"dddd")</f>
        <v>Thursday</v>
      </c>
      <c r="H3667" s="2">
        <v>0.5992939814814815</v>
      </c>
      <c r="I3667">
        <v>13.25</v>
      </c>
      <c r="J3667">
        <v>13.25</v>
      </c>
      <c r="K3667" t="s">
        <v>59</v>
      </c>
      <c r="L3667" t="s">
        <v>13</v>
      </c>
      <c r="M3667" t="s">
        <v>14</v>
      </c>
      <c r="N3667" t="s">
        <v>15</v>
      </c>
    </row>
    <row r="3668" spans="1:14" x14ac:dyDescent="0.25">
      <c r="A3668">
        <v>30109</v>
      </c>
      <c r="B3668">
        <v>13301</v>
      </c>
      <c r="C3668">
        <f>1/COUNTIF(B:B,pizza_sales[[#This Row],[order_id]])</f>
        <v>0.5</v>
      </c>
      <c r="D3668" t="s">
        <v>51</v>
      </c>
      <c r="E3668">
        <v>1</v>
      </c>
      <c r="F3668" s="1">
        <v>42285</v>
      </c>
      <c r="G3668" s="1" t="str">
        <f>TEXT(pizza_sales[[#This Row],[order_date]],"dddd")</f>
        <v>Thursday</v>
      </c>
      <c r="H3668" s="2">
        <v>0.6460069444444444</v>
      </c>
      <c r="I3668">
        <v>23.65</v>
      </c>
      <c r="J3668">
        <v>23.65</v>
      </c>
      <c r="K3668" t="s">
        <v>60</v>
      </c>
      <c r="L3668" t="s">
        <v>35</v>
      </c>
      <c r="M3668" t="s">
        <v>52</v>
      </c>
      <c r="N3668" t="s">
        <v>53</v>
      </c>
    </row>
    <row r="3669" spans="1:14" x14ac:dyDescent="0.25">
      <c r="A3669">
        <v>30111</v>
      </c>
      <c r="B3669">
        <v>13301</v>
      </c>
      <c r="C3669">
        <f>1/COUNTIF(B:B,pizza_sales[[#This Row],[order_id]])</f>
        <v>0.5</v>
      </c>
      <c r="D3669" t="s">
        <v>25</v>
      </c>
      <c r="E3669">
        <v>1</v>
      </c>
      <c r="F3669" s="1">
        <v>42285</v>
      </c>
      <c r="G3669" s="1" t="str">
        <f>TEXT(pizza_sales[[#This Row],[order_date]],"dddd")</f>
        <v>Thursday</v>
      </c>
      <c r="H3669" s="2">
        <v>0.6460069444444444</v>
      </c>
      <c r="I3669">
        <v>15.25</v>
      </c>
      <c r="J3669">
        <v>15.25</v>
      </c>
      <c r="K3669" t="s">
        <v>58</v>
      </c>
      <c r="L3669" t="s">
        <v>13</v>
      </c>
      <c r="M3669" t="s">
        <v>26</v>
      </c>
      <c r="N3669" t="s">
        <v>27</v>
      </c>
    </row>
    <row r="3670" spans="1:14" x14ac:dyDescent="0.25">
      <c r="A3670">
        <v>30121</v>
      </c>
      <c r="B3670">
        <v>13305</v>
      </c>
      <c r="C3670">
        <f>1/COUNTIF(B:B,pizza_sales[[#This Row],[order_id]])</f>
        <v>1</v>
      </c>
      <c r="D3670" t="s">
        <v>46</v>
      </c>
      <c r="E3670">
        <v>1</v>
      </c>
      <c r="F3670" s="1">
        <v>42285</v>
      </c>
      <c r="G3670" s="1" t="str">
        <f>TEXT(pizza_sales[[#This Row],[order_date]],"dddd")</f>
        <v>Thursday</v>
      </c>
      <c r="H3670" s="2">
        <v>0.6746064814814815</v>
      </c>
      <c r="I3670">
        <v>25.5</v>
      </c>
      <c r="J3670">
        <v>25.5</v>
      </c>
      <c r="K3670" t="s">
        <v>61</v>
      </c>
      <c r="L3670" t="s">
        <v>13</v>
      </c>
      <c r="M3670" t="s">
        <v>21</v>
      </c>
      <c r="N3670" t="s">
        <v>22</v>
      </c>
    </row>
    <row r="3671" spans="1:14" x14ac:dyDescent="0.25">
      <c r="A3671">
        <v>30122</v>
      </c>
      <c r="B3671">
        <v>13306</v>
      </c>
      <c r="C3671">
        <f>1/COUNTIF(B:B,pizza_sales[[#This Row],[order_id]])</f>
        <v>0.5</v>
      </c>
      <c r="D3671" t="s">
        <v>28</v>
      </c>
      <c r="E3671">
        <v>1</v>
      </c>
      <c r="F3671" s="1">
        <v>42285</v>
      </c>
      <c r="G3671" s="1" t="str">
        <f>TEXT(pizza_sales[[#This Row],[order_date]],"dddd")</f>
        <v>Thursday</v>
      </c>
      <c r="H3671" s="2">
        <v>0.67777777777777781</v>
      </c>
      <c r="I3671">
        <v>12</v>
      </c>
      <c r="J3671">
        <v>12</v>
      </c>
      <c r="K3671" t="s">
        <v>60</v>
      </c>
      <c r="L3671" t="s">
        <v>13</v>
      </c>
      <c r="M3671" t="s">
        <v>29</v>
      </c>
      <c r="N3671" t="s">
        <v>30</v>
      </c>
    </row>
    <row r="3672" spans="1:14" x14ac:dyDescent="0.25">
      <c r="A3672">
        <v>30123</v>
      </c>
      <c r="B3672">
        <v>13306</v>
      </c>
      <c r="C3672">
        <f>1/COUNTIF(B:B,pizza_sales[[#This Row],[order_id]])</f>
        <v>0.5</v>
      </c>
      <c r="D3672" t="s">
        <v>12</v>
      </c>
      <c r="E3672">
        <v>1</v>
      </c>
      <c r="F3672" s="1">
        <v>42285</v>
      </c>
      <c r="G3672" s="1" t="str">
        <f>TEXT(pizza_sales[[#This Row],[order_date]],"dddd")</f>
        <v>Thursday</v>
      </c>
      <c r="H3672" s="2">
        <v>0.67777777777777781</v>
      </c>
      <c r="I3672">
        <v>13.25</v>
      </c>
      <c r="J3672">
        <v>13.25</v>
      </c>
      <c r="K3672" t="s">
        <v>59</v>
      </c>
      <c r="L3672" t="s">
        <v>13</v>
      </c>
      <c r="M3672" t="s">
        <v>14</v>
      </c>
      <c r="N3672" t="s">
        <v>15</v>
      </c>
    </row>
    <row r="3673" spans="1:14" x14ac:dyDescent="0.25">
      <c r="A3673">
        <v>30128</v>
      </c>
      <c r="B3673">
        <v>13308</v>
      </c>
      <c r="C3673">
        <f>1/COUNTIF(B:B,pizza_sales[[#This Row],[order_id]])</f>
        <v>1</v>
      </c>
      <c r="D3673" t="s">
        <v>44</v>
      </c>
      <c r="E3673">
        <v>1</v>
      </c>
      <c r="F3673" s="1">
        <v>42285</v>
      </c>
      <c r="G3673" s="1" t="str">
        <f>TEXT(pizza_sales[[#This Row],[order_date]],"dddd")</f>
        <v>Thursday</v>
      </c>
      <c r="H3673" s="2">
        <v>0.69255787037037042</v>
      </c>
      <c r="I3673">
        <v>9.75</v>
      </c>
      <c r="J3673">
        <v>9.75</v>
      </c>
      <c r="K3673" t="s">
        <v>60</v>
      </c>
      <c r="L3673" t="s">
        <v>13</v>
      </c>
      <c r="M3673" t="s">
        <v>26</v>
      </c>
      <c r="N3673" t="s">
        <v>27</v>
      </c>
    </row>
    <row r="3674" spans="1:14" x14ac:dyDescent="0.25">
      <c r="A3674">
        <v>30129</v>
      </c>
      <c r="B3674">
        <v>13309</v>
      </c>
      <c r="C3674">
        <f>1/COUNTIF(B:B,pizza_sales[[#This Row],[order_id]])</f>
        <v>1</v>
      </c>
      <c r="D3674" t="s">
        <v>24</v>
      </c>
      <c r="E3674">
        <v>1</v>
      </c>
      <c r="F3674" s="1">
        <v>42285</v>
      </c>
      <c r="G3674" s="1" t="str">
        <f>TEXT(pizza_sales[[#This Row],[order_date]],"dddd")</f>
        <v>Thursday</v>
      </c>
      <c r="H3674" s="2">
        <v>0.70513888888888887</v>
      </c>
      <c r="I3674">
        <v>20.25</v>
      </c>
      <c r="J3674">
        <v>20.25</v>
      </c>
      <c r="K3674" t="s">
        <v>58</v>
      </c>
      <c r="L3674" t="s">
        <v>17</v>
      </c>
      <c r="M3674" t="s">
        <v>18</v>
      </c>
      <c r="N3674" t="s">
        <v>19</v>
      </c>
    </row>
    <row r="3675" spans="1:14" x14ac:dyDescent="0.25">
      <c r="A3675">
        <v>30143</v>
      </c>
      <c r="B3675">
        <v>13315</v>
      </c>
      <c r="C3675">
        <f>1/COUNTIF(B:B,pizza_sales[[#This Row],[order_id]])</f>
        <v>0.5</v>
      </c>
      <c r="D3675" t="s">
        <v>47</v>
      </c>
      <c r="E3675">
        <v>1</v>
      </c>
      <c r="F3675" s="1">
        <v>42285</v>
      </c>
      <c r="G3675" s="1" t="str">
        <f>TEXT(pizza_sales[[#This Row],[order_date]],"dddd")</f>
        <v>Thursday</v>
      </c>
      <c r="H3675" s="2">
        <v>0.75202546296296291</v>
      </c>
      <c r="I3675">
        <v>16.5</v>
      </c>
      <c r="J3675">
        <v>16.5</v>
      </c>
      <c r="K3675" t="s">
        <v>58</v>
      </c>
      <c r="L3675" t="s">
        <v>13</v>
      </c>
      <c r="M3675" t="s">
        <v>14</v>
      </c>
      <c r="N3675" t="s">
        <v>15</v>
      </c>
    </row>
    <row r="3676" spans="1:14" x14ac:dyDescent="0.25">
      <c r="A3676">
        <v>30144</v>
      </c>
      <c r="B3676">
        <v>13315</v>
      </c>
      <c r="C3676">
        <f>1/COUNTIF(B:B,pizza_sales[[#This Row],[order_id]])</f>
        <v>0.5</v>
      </c>
      <c r="D3676" t="s">
        <v>24</v>
      </c>
      <c r="E3676">
        <v>1</v>
      </c>
      <c r="F3676" s="1">
        <v>42285</v>
      </c>
      <c r="G3676" s="1" t="str">
        <f>TEXT(pizza_sales[[#This Row],[order_date]],"dddd")</f>
        <v>Thursday</v>
      </c>
      <c r="H3676" s="2">
        <v>0.75202546296296291</v>
      </c>
      <c r="I3676">
        <v>20.25</v>
      </c>
      <c r="J3676">
        <v>20.25</v>
      </c>
      <c r="K3676" t="s">
        <v>58</v>
      </c>
      <c r="L3676" t="s">
        <v>17</v>
      </c>
      <c r="M3676" t="s">
        <v>18</v>
      </c>
      <c r="N3676" t="s">
        <v>19</v>
      </c>
    </row>
    <row r="3677" spans="1:14" x14ac:dyDescent="0.25">
      <c r="A3677">
        <v>30147</v>
      </c>
      <c r="B3677">
        <v>13318</v>
      </c>
      <c r="C3677">
        <f>1/COUNTIF(B:B,pizza_sales[[#This Row],[order_id]])</f>
        <v>1</v>
      </c>
      <c r="D3677" t="s">
        <v>45</v>
      </c>
      <c r="E3677">
        <v>1</v>
      </c>
      <c r="F3677" s="1">
        <v>42285</v>
      </c>
      <c r="G3677" s="1" t="str">
        <f>TEXT(pizza_sales[[#This Row],[order_date]],"dddd")</f>
        <v>Thursday</v>
      </c>
      <c r="H3677" s="2">
        <v>0.76171296296296298</v>
      </c>
      <c r="I3677">
        <v>10.5</v>
      </c>
      <c r="J3677">
        <v>10.5</v>
      </c>
      <c r="K3677" t="s">
        <v>60</v>
      </c>
      <c r="L3677" t="s">
        <v>13</v>
      </c>
      <c r="M3677" t="s">
        <v>14</v>
      </c>
      <c r="N3677" t="s">
        <v>15</v>
      </c>
    </row>
    <row r="3678" spans="1:14" x14ac:dyDescent="0.25">
      <c r="A3678">
        <v>30152</v>
      </c>
      <c r="B3678">
        <v>13320</v>
      </c>
      <c r="C3678">
        <f>1/COUNTIF(B:B,pizza_sales[[#This Row],[order_id]])</f>
        <v>1</v>
      </c>
      <c r="D3678" t="s">
        <v>20</v>
      </c>
      <c r="E3678">
        <v>1</v>
      </c>
      <c r="F3678" s="1">
        <v>42285</v>
      </c>
      <c r="G3678" s="1" t="str">
        <f>TEXT(pizza_sales[[#This Row],[order_date]],"dddd")</f>
        <v>Thursday</v>
      </c>
      <c r="H3678" s="2">
        <v>0.77368055555555559</v>
      </c>
      <c r="I3678">
        <v>12</v>
      </c>
      <c r="J3678">
        <v>12</v>
      </c>
      <c r="K3678" t="s">
        <v>60</v>
      </c>
      <c r="L3678" t="s">
        <v>13</v>
      </c>
      <c r="M3678" t="s">
        <v>21</v>
      </c>
      <c r="N3678" t="s">
        <v>22</v>
      </c>
    </row>
    <row r="3679" spans="1:14" x14ac:dyDescent="0.25">
      <c r="A3679">
        <v>30158</v>
      </c>
      <c r="B3679">
        <v>13322</v>
      </c>
      <c r="C3679">
        <f>1/COUNTIF(B:B,pizza_sales[[#This Row],[order_id]])</f>
        <v>1</v>
      </c>
      <c r="D3679" t="s">
        <v>25</v>
      </c>
      <c r="E3679">
        <v>1</v>
      </c>
      <c r="F3679" s="1">
        <v>42285</v>
      </c>
      <c r="G3679" s="1" t="str">
        <f>TEXT(pizza_sales[[#This Row],[order_date]],"dddd")</f>
        <v>Thursday</v>
      </c>
      <c r="H3679" s="2">
        <v>0.78384259259259259</v>
      </c>
      <c r="I3679">
        <v>15.25</v>
      </c>
      <c r="J3679">
        <v>15.25</v>
      </c>
      <c r="K3679" t="s">
        <v>58</v>
      </c>
      <c r="L3679" t="s">
        <v>13</v>
      </c>
      <c r="M3679" t="s">
        <v>26</v>
      </c>
      <c r="N3679" t="s">
        <v>27</v>
      </c>
    </row>
    <row r="3680" spans="1:14" x14ac:dyDescent="0.25">
      <c r="A3680">
        <v>30160</v>
      </c>
      <c r="B3680">
        <v>13323</v>
      </c>
      <c r="C3680">
        <f>1/COUNTIF(B:B,pizza_sales[[#This Row],[order_id]])</f>
        <v>1</v>
      </c>
      <c r="D3680" t="s">
        <v>28</v>
      </c>
      <c r="E3680">
        <v>1</v>
      </c>
      <c r="F3680" s="1">
        <v>42285</v>
      </c>
      <c r="G3680" s="1" t="str">
        <f>TEXT(pizza_sales[[#This Row],[order_date]],"dddd")</f>
        <v>Thursday</v>
      </c>
      <c r="H3680" s="2">
        <v>0.78780092592592588</v>
      </c>
      <c r="I3680">
        <v>12</v>
      </c>
      <c r="J3680">
        <v>12</v>
      </c>
      <c r="K3680" t="s">
        <v>60</v>
      </c>
      <c r="L3680" t="s">
        <v>13</v>
      </c>
      <c r="M3680" t="s">
        <v>29</v>
      </c>
      <c r="N3680" t="s">
        <v>30</v>
      </c>
    </row>
    <row r="3681" spans="1:14" x14ac:dyDescent="0.25">
      <c r="A3681">
        <v>30163</v>
      </c>
      <c r="B3681">
        <v>13325</v>
      </c>
      <c r="C3681">
        <f>1/COUNTIF(B:B,pizza_sales[[#This Row],[order_id]])</f>
        <v>1</v>
      </c>
      <c r="D3681" t="s">
        <v>38</v>
      </c>
      <c r="E3681">
        <v>1</v>
      </c>
      <c r="F3681" s="1">
        <v>42285</v>
      </c>
      <c r="G3681" s="1" t="str">
        <f>TEXT(pizza_sales[[#This Row],[order_date]],"dddd")</f>
        <v>Thursday</v>
      </c>
      <c r="H3681" s="2">
        <v>0.80084490740740744</v>
      </c>
      <c r="I3681">
        <v>20.5</v>
      </c>
      <c r="J3681">
        <v>20.5</v>
      </c>
      <c r="K3681" t="s">
        <v>58</v>
      </c>
      <c r="L3681" t="s">
        <v>13</v>
      </c>
      <c r="M3681" t="s">
        <v>32</v>
      </c>
      <c r="N3681" t="s">
        <v>33</v>
      </c>
    </row>
    <row r="3682" spans="1:14" x14ac:dyDescent="0.25">
      <c r="A3682">
        <v>30164</v>
      </c>
      <c r="B3682">
        <v>13326</v>
      </c>
      <c r="C3682">
        <f>1/COUNTIF(B:B,pizza_sales[[#This Row],[order_id]])</f>
        <v>1</v>
      </c>
      <c r="D3682" t="s">
        <v>39</v>
      </c>
      <c r="E3682">
        <v>1</v>
      </c>
      <c r="F3682" s="1">
        <v>42285</v>
      </c>
      <c r="G3682" s="1" t="str">
        <f>TEXT(pizza_sales[[#This Row],[order_date]],"dddd")</f>
        <v>Thursday</v>
      </c>
      <c r="H3682" s="2">
        <v>0.82025462962962958</v>
      </c>
      <c r="I3682">
        <v>20.25</v>
      </c>
      <c r="J3682">
        <v>20.25</v>
      </c>
      <c r="K3682" t="s">
        <v>58</v>
      </c>
      <c r="L3682" t="s">
        <v>35</v>
      </c>
      <c r="M3682" t="s">
        <v>40</v>
      </c>
      <c r="N3682" t="s">
        <v>41</v>
      </c>
    </row>
    <row r="3683" spans="1:14" x14ac:dyDescent="0.25">
      <c r="A3683">
        <v>30171</v>
      </c>
      <c r="B3683">
        <v>13329</v>
      </c>
      <c r="C3683">
        <f>1/COUNTIF(B:B,pizza_sales[[#This Row],[order_id]])</f>
        <v>1</v>
      </c>
      <c r="D3683" t="s">
        <v>39</v>
      </c>
      <c r="E3683">
        <v>1</v>
      </c>
      <c r="F3683" s="1">
        <v>42285</v>
      </c>
      <c r="G3683" s="1" t="str">
        <f>TEXT(pizza_sales[[#This Row],[order_date]],"dddd")</f>
        <v>Thursday</v>
      </c>
      <c r="H3683" s="2">
        <v>0.86605324074074075</v>
      </c>
      <c r="I3683">
        <v>20.25</v>
      </c>
      <c r="J3683">
        <v>20.25</v>
      </c>
      <c r="K3683" t="s">
        <v>58</v>
      </c>
      <c r="L3683" t="s">
        <v>35</v>
      </c>
      <c r="M3683" t="s">
        <v>40</v>
      </c>
      <c r="N3683" t="s">
        <v>41</v>
      </c>
    </row>
    <row r="3684" spans="1:14" x14ac:dyDescent="0.25">
      <c r="A3684">
        <v>30174</v>
      </c>
      <c r="B3684">
        <v>13330</v>
      </c>
      <c r="C3684">
        <f>1/COUNTIF(B:B,pizza_sales[[#This Row],[order_id]])</f>
        <v>0.5</v>
      </c>
      <c r="D3684" t="s">
        <v>47</v>
      </c>
      <c r="E3684">
        <v>1</v>
      </c>
      <c r="F3684" s="1">
        <v>42285</v>
      </c>
      <c r="G3684" s="1" t="str">
        <f>TEXT(pizza_sales[[#This Row],[order_date]],"dddd")</f>
        <v>Thursday</v>
      </c>
      <c r="H3684" s="2">
        <v>0.88766203703703705</v>
      </c>
      <c r="I3684">
        <v>16.5</v>
      </c>
      <c r="J3684">
        <v>16.5</v>
      </c>
      <c r="K3684" t="s">
        <v>58</v>
      </c>
      <c r="L3684" t="s">
        <v>13</v>
      </c>
      <c r="M3684" t="s">
        <v>14</v>
      </c>
      <c r="N3684" t="s">
        <v>15</v>
      </c>
    </row>
    <row r="3685" spans="1:14" x14ac:dyDescent="0.25">
      <c r="A3685">
        <v>30175</v>
      </c>
      <c r="B3685">
        <v>13330</v>
      </c>
      <c r="C3685">
        <f>1/COUNTIF(B:B,pizza_sales[[#This Row],[order_id]])</f>
        <v>0.5</v>
      </c>
      <c r="D3685" t="s">
        <v>50</v>
      </c>
      <c r="E3685">
        <v>1</v>
      </c>
      <c r="F3685" s="1">
        <v>42285</v>
      </c>
      <c r="G3685" s="1" t="str">
        <f>TEXT(pizza_sales[[#This Row],[order_date]],"dddd")</f>
        <v>Thursday</v>
      </c>
      <c r="H3685" s="2">
        <v>0.88766203703703705</v>
      </c>
      <c r="I3685">
        <v>16</v>
      </c>
      <c r="J3685">
        <v>16</v>
      </c>
      <c r="K3685" t="s">
        <v>59</v>
      </c>
      <c r="L3685" t="s">
        <v>13</v>
      </c>
      <c r="M3685" t="s">
        <v>32</v>
      </c>
      <c r="N3685" t="s">
        <v>33</v>
      </c>
    </row>
    <row r="3686" spans="1:14" x14ac:dyDescent="0.25">
      <c r="A3686">
        <v>30189</v>
      </c>
      <c r="B3686">
        <v>13338</v>
      </c>
      <c r="C3686">
        <f>1/COUNTIF(B:B,pizza_sales[[#This Row],[order_id]])</f>
        <v>1</v>
      </c>
      <c r="D3686" t="s">
        <v>47</v>
      </c>
      <c r="E3686">
        <v>1</v>
      </c>
      <c r="F3686" s="1">
        <v>42316</v>
      </c>
      <c r="G3686" s="1" t="str">
        <f>TEXT(pizza_sales[[#This Row],[order_date]],"dddd")</f>
        <v>Sunday</v>
      </c>
      <c r="H3686" s="2">
        <v>0.4866550925925926</v>
      </c>
      <c r="I3686">
        <v>16.5</v>
      </c>
      <c r="J3686">
        <v>16.5</v>
      </c>
      <c r="K3686" t="s">
        <v>58</v>
      </c>
      <c r="L3686" t="s">
        <v>13</v>
      </c>
      <c r="M3686" t="s">
        <v>14</v>
      </c>
      <c r="N3686" t="s">
        <v>15</v>
      </c>
    </row>
    <row r="3687" spans="1:14" x14ac:dyDescent="0.25">
      <c r="A3687">
        <v>30202</v>
      </c>
      <c r="B3687">
        <v>13341</v>
      </c>
      <c r="C3687">
        <f>1/COUNTIF(B:B,pizza_sales[[#This Row],[order_id]])</f>
        <v>0.25</v>
      </c>
      <c r="D3687" t="s">
        <v>12</v>
      </c>
      <c r="E3687">
        <v>1</v>
      </c>
      <c r="F3687" s="1">
        <v>42316</v>
      </c>
      <c r="G3687" s="1" t="str">
        <f>TEXT(pizza_sales[[#This Row],[order_date]],"dddd")</f>
        <v>Sunday</v>
      </c>
      <c r="H3687" s="2">
        <v>0.49402777777777779</v>
      </c>
      <c r="I3687">
        <v>13.25</v>
      </c>
      <c r="J3687">
        <v>13.25</v>
      </c>
      <c r="K3687" t="s">
        <v>59</v>
      </c>
      <c r="L3687" t="s">
        <v>13</v>
      </c>
      <c r="M3687" t="s">
        <v>14</v>
      </c>
      <c r="N3687" t="s">
        <v>15</v>
      </c>
    </row>
    <row r="3688" spans="1:14" x14ac:dyDescent="0.25">
      <c r="A3688">
        <v>30206</v>
      </c>
      <c r="B3688">
        <v>13341</v>
      </c>
      <c r="C3688">
        <f>1/COUNTIF(B:B,pizza_sales[[#This Row],[order_id]])</f>
        <v>0.25</v>
      </c>
      <c r="D3688" t="s">
        <v>55</v>
      </c>
      <c r="E3688">
        <v>1</v>
      </c>
      <c r="F3688" s="1">
        <v>42316</v>
      </c>
      <c r="G3688" s="1" t="str">
        <f>TEXT(pizza_sales[[#This Row],[order_date]],"dddd")</f>
        <v>Sunday</v>
      </c>
      <c r="H3688" s="2">
        <v>0.49402777777777779</v>
      </c>
      <c r="I3688">
        <v>20.5</v>
      </c>
      <c r="J3688">
        <v>20.5</v>
      </c>
      <c r="K3688" t="s">
        <v>58</v>
      </c>
      <c r="L3688" t="s">
        <v>13</v>
      </c>
      <c r="M3688" t="s">
        <v>21</v>
      </c>
      <c r="N3688" t="s">
        <v>22</v>
      </c>
    </row>
    <row r="3689" spans="1:14" x14ac:dyDescent="0.25">
      <c r="A3689">
        <v>30207</v>
      </c>
      <c r="B3689">
        <v>13341</v>
      </c>
      <c r="C3689">
        <f>1/COUNTIF(B:B,pizza_sales[[#This Row],[order_id]])</f>
        <v>0.25</v>
      </c>
      <c r="D3689" t="s">
        <v>46</v>
      </c>
      <c r="E3689">
        <v>1</v>
      </c>
      <c r="F3689" s="1">
        <v>42316</v>
      </c>
      <c r="G3689" s="1" t="str">
        <f>TEXT(pizza_sales[[#This Row],[order_date]],"dddd")</f>
        <v>Sunday</v>
      </c>
      <c r="H3689" s="2">
        <v>0.49402777777777779</v>
      </c>
      <c r="I3689">
        <v>25.5</v>
      </c>
      <c r="J3689">
        <v>25.5</v>
      </c>
      <c r="K3689" t="s">
        <v>61</v>
      </c>
      <c r="L3689" t="s">
        <v>13</v>
      </c>
      <c r="M3689" t="s">
        <v>21</v>
      </c>
      <c r="N3689" t="s">
        <v>22</v>
      </c>
    </row>
    <row r="3690" spans="1:14" x14ac:dyDescent="0.25">
      <c r="A3690">
        <v>30208</v>
      </c>
      <c r="B3690">
        <v>13341</v>
      </c>
      <c r="C3690">
        <f>1/COUNTIF(B:B,pizza_sales[[#This Row],[order_id]])</f>
        <v>0.25</v>
      </c>
      <c r="D3690" t="s">
        <v>57</v>
      </c>
      <c r="E3690">
        <v>1</v>
      </c>
      <c r="F3690" s="1">
        <v>42316</v>
      </c>
      <c r="G3690" s="1" t="str">
        <f>TEXT(pizza_sales[[#This Row],[order_date]],"dddd")</f>
        <v>Sunday</v>
      </c>
      <c r="H3690" s="2">
        <v>0.49402777777777779</v>
      </c>
      <c r="I3690">
        <v>35.950000000000003</v>
      </c>
      <c r="J3690">
        <v>35.950000000000003</v>
      </c>
      <c r="K3690" t="s">
        <v>62</v>
      </c>
      <c r="L3690" t="s">
        <v>13</v>
      </c>
      <c r="M3690" t="s">
        <v>21</v>
      </c>
      <c r="N3690" t="s">
        <v>22</v>
      </c>
    </row>
    <row r="3691" spans="1:14" x14ac:dyDescent="0.25">
      <c r="A3691">
        <v>30213</v>
      </c>
      <c r="B3691">
        <v>13344</v>
      </c>
      <c r="C3691">
        <f>1/COUNTIF(B:B,pizza_sales[[#This Row],[order_id]])</f>
        <v>0.5</v>
      </c>
      <c r="D3691" t="s">
        <v>34</v>
      </c>
      <c r="E3691">
        <v>1</v>
      </c>
      <c r="F3691" s="1">
        <v>42316</v>
      </c>
      <c r="G3691" s="1" t="str">
        <f>TEXT(pizza_sales[[#This Row],[order_date]],"dddd")</f>
        <v>Sunday</v>
      </c>
      <c r="H3691" s="2">
        <v>0.50406249999999997</v>
      </c>
      <c r="I3691">
        <v>16.25</v>
      </c>
      <c r="J3691">
        <v>16.25</v>
      </c>
      <c r="K3691" t="s">
        <v>59</v>
      </c>
      <c r="L3691" t="s">
        <v>35</v>
      </c>
      <c r="M3691" t="s">
        <v>36</v>
      </c>
      <c r="N3691" t="s">
        <v>37</v>
      </c>
    </row>
    <row r="3692" spans="1:14" x14ac:dyDescent="0.25">
      <c r="A3692">
        <v>30216</v>
      </c>
      <c r="B3692">
        <v>13344</v>
      </c>
      <c r="C3692">
        <f>1/COUNTIF(B:B,pizza_sales[[#This Row],[order_id]])</f>
        <v>0.5</v>
      </c>
      <c r="D3692" t="s">
        <v>46</v>
      </c>
      <c r="E3692">
        <v>1</v>
      </c>
      <c r="F3692" s="1">
        <v>42316</v>
      </c>
      <c r="G3692" s="1" t="str">
        <f>TEXT(pizza_sales[[#This Row],[order_date]],"dddd")</f>
        <v>Sunday</v>
      </c>
      <c r="H3692" s="2">
        <v>0.50406249999999997</v>
      </c>
      <c r="I3692">
        <v>25.5</v>
      </c>
      <c r="J3692">
        <v>25.5</v>
      </c>
      <c r="K3692" t="s">
        <v>61</v>
      </c>
      <c r="L3692" t="s">
        <v>13</v>
      </c>
      <c r="M3692" t="s">
        <v>21</v>
      </c>
      <c r="N3692" t="s">
        <v>22</v>
      </c>
    </row>
    <row r="3693" spans="1:14" x14ac:dyDescent="0.25">
      <c r="A3693">
        <v>30217</v>
      </c>
      <c r="B3693">
        <v>13345</v>
      </c>
      <c r="C3693">
        <f>1/COUNTIF(B:B,pizza_sales[[#This Row],[order_id]])</f>
        <v>1</v>
      </c>
      <c r="D3693" t="s">
        <v>39</v>
      </c>
      <c r="E3693">
        <v>1</v>
      </c>
      <c r="F3693" s="1">
        <v>42316</v>
      </c>
      <c r="G3693" s="1" t="str">
        <f>TEXT(pizza_sales[[#This Row],[order_date]],"dddd")</f>
        <v>Sunday</v>
      </c>
      <c r="H3693" s="2">
        <v>0.51938657407407407</v>
      </c>
      <c r="I3693">
        <v>20.25</v>
      </c>
      <c r="J3693">
        <v>20.25</v>
      </c>
      <c r="K3693" t="s">
        <v>58</v>
      </c>
      <c r="L3693" t="s">
        <v>35</v>
      </c>
      <c r="M3693" t="s">
        <v>40</v>
      </c>
      <c r="N3693" t="s">
        <v>41</v>
      </c>
    </row>
    <row r="3694" spans="1:14" x14ac:dyDescent="0.25">
      <c r="A3694">
        <v>30218</v>
      </c>
      <c r="B3694">
        <v>13346</v>
      </c>
      <c r="C3694">
        <f>1/COUNTIF(B:B,pizza_sales[[#This Row],[order_id]])</f>
        <v>1</v>
      </c>
      <c r="D3694" t="s">
        <v>45</v>
      </c>
      <c r="E3694">
        <v>1</v>
      </c>
      <c r="F3694" s="1">
        <v>42316</v>
      </c>
      <c r="G3694" s="1" t="str">
        <f>TEXT(pizza_sales[[#This Row],[order_date]],"dddd")</f>
        <v>Sunday</v>
      </c>
      <c r="H3694" s="2">
        <v>0.52133101851851849</v>
      </c>
      <c r="I3694">
        <v>10.5</v>
      </c>
      <c r="J3694">
        <v>10.5</v>
      </c>
      <c r="K3694" t="s">
        <v>60</v>
      </c>
      <c r="L3694" t="s">
        <v>13</v>
      </c>
      <c r="M3694" t="s">
        <v>14</v>
      </c>
      <c r="N3694" t="s">
        <v>15</v>
      </c>
    </row>
    <row r="3695" spans="1:14" x14ac:dyDescent="0.25">
      <c r="A3695">
        <v>30223</v>
      </c>
      <c r="B3695">
        <v>13348</v>
      </c>
      <c r="C3695">
        <f>1/COUNTIF(B:B,pizza_sales[[#This Row],[order_id]])</f>
        <v>1</v>
      </c>
      <c r="D3695" t="s">
        <v>25</v>
      </c>
      <c r="E3695">
        <v>1</v>
      </c>
      <c r="F3695" s="1">
        <v>42316</v>
      </c>
      <c r="G3695" s="1" t="str">
        <f>TEXT(pizza_sales[[#This Row],[order_date]],"dddd")</f>
        <v>Sunday</v>
      </c>
      <c r="H3695" s="2">
        <v>0.52993055555555557</v>
      </c>
      <c r="I3695">
        <v>15.25</v>
      </c>
      <c r="J3695">
        <v>15.25</v>
      </c>
      <c r="K3695" t="s">
        <v>58</v>
      </c>
      <c r="L3695" t="s">
        <v>13</v>
      </c>
      <c r="M3695" t="s">
        <v>26</v>
      </c>
      <c r="N3695" t="s">
        <v>27</v>
      </c>
    </row>
    <row r="3696" spans="1:14" x14ac:dyDescent="0.25">
      <c r="A3696">
        <v>30228</v>
      </c>
      <c r="B3696">
        <v>13350</v>
      </c>
      <c r="C3696">
        <f>1/COUNTIF(B:B,pizza_sales[[#This Row],[order_id]])</f>
        <v>1</v>
      </c>
      <c r="D3696" t="s">
        <v>44</v>
      </c>
      <c r="E3696">
        <v>1</v>
      </c>
      <c r="F3696" s="1">
        <v>42316</v>
      </c>
      <c r="G3696" s="1" t="str">
        <f>TEXT(pizza_sales[[#This Row],[order_date]],"dddd")</f>
        <v>Sunday</v>
      </c>
      <c r="H3696" s="2">
        <v>0.53571759259259255</v>
      </c>
      <c r="I3696">
        <v>9.75</v>
      </c>
      <c r="J3696">
        <v>9.75</v>
      </c>
      <c r="K3696" t="s">
        <v>60</v>
      </c>
      <c r="L3696" t="s">
        <v>13</v>
      </c>
      <c r="M3696" t="s">
        <v>26</v>
      </c>
      <c r="N3696" t="s">
        <v>27</v>
      </c>
    </row>
    <row r="3697" spans="1:14" x14ac:dyDescent="0.25">
      <c r="A3697">
        <v>30230</v>
      </c>
      <c r="B3697">
        <v>13351</v>
      </c>
      <c r="C3697">
        <f>1/COUNTIF(B:B,pizza_sales[[#This Row],[order_id]])</f>
        <v>1</v>
      </c>
      <c r="D3697" t="s">
        <v>24</v>
      </c>
      <c r="E3697">
        <v>1</v>
      </c>
      <c r="F3697" s="1">
        <v>42316</v>
      </c>
      <c r="G3697" s="1" t="str">
        <f>TEXT(pizza_sales[[#This Row],[order_date]],"dddd")</f>
        <v>Sunday</v>
      </c>
      <c r="H3697" s="2">
        <v>0.55300925925925926</v>
      </c>
      <c r="I3697">
        <v>20.25</v>
      </c>
      <c r="J3697">
        <v>20.25</v>
      </c>
      <c r="K3697" t="s">
        <v>58</v>
      </c>
      <c r="L3697" t="s">
        <v>17</v>
      </c>
      <c r="M3697" t="s">
        <v>18</v>
      </c>
      <c r="N3697" t="s">
        <v>19</v>
      </c>
    </row>
    <row r="3698" spans="1:14" x14ac:dyDescent="0.25">
      <c r="A3698">
        <v>30241</v>
      </c>
      <c r="B3698">
        <v>13359</v>
      </c>
      <c r="C3698">
        <f>1/COUNTIF(B:B,pizza_sales[[#This Row],[order_id]])</f>
        <v>1</v>
      </c>
      <c r="D3698" t="s">
        <v>16</v>
      </c>
      <c r="E3698">
        <v>1</v>
      </c>
      <c r="F3698" s="1">
        <v>42316</v>
      </c>
      <c r="G3698" s="1" t="str">
        <f>TEXT(pizza_sales[[#This Row],[order_date]],"dddd")</f>
        <v>Sunday</v>
      </c>
      <c r="H3698" s="2">
        <v>0.57243055555555555</v>
      </c>
      <c r="I3698">
        <v>16</v>
      </c>
      <c r="J3698">
        <v>16</v>
      </c>
      <c r="K3698" t="s">
        <v>59</v>
      </c>
      <c r="L3698" t="s">
        <v>17</v>
      </c>
      <c r="M3698" t="s">
        <v>18</v>
      </c>
      <c r="N3698" t="s">
        <v>19</v>
      </c>
    </row>
    <row r="3699" spans="1:14" x14ac:dyDescent="0.25">
      <c r="A3699">
        <v>30242</v>
      </c>
      <c r="B3699">
        <v>13360</v>
      </c>
      <c r="C3699">
        <f>1/COUNTIF(B:B,pizza_sales[[#This Row],[order_id]])</f>
        <v>1</v>
      </c>
      <c r="D3699" t="s">
        <v>47</v>
      </c>
      <c r="E3699">
        <v>1</v>
      </c>
      <c r="F3699" s="1">
        <v>42316</v>
      </c>
      <c r="G3699" s="1" t="str">
        <f>TEXT(pizza_sales[[#This Row],[order_date]],"dddd")</f>
        <v>Sunday</v>
      </c>
      <c r="H3699" s="2">
        <v>0.58606481481481476</v>
      </c>
      <c r="I3699">
        <v>16.5</v>
      </c>
      <c r="J3699">
        <v>16.5</v>
      </c>
      <c r="K3699" t="s">
        <v>58</v>
      </c>
      <c r="L3699" t="s">
        <v>13</v>
      </c>
      <c r="M3699" t="s">
        <v>14</v>
      </c>
      <c r="N3699" t="s">
        <v>15</v>
      </c>
    </row>
    <row r="3700" spans="1:14" x14ac:dyDescent="0.25">
      <c r="A3700">
        <v>30251</v>
      </c>
      <c r="B3700">
        <v>13365</v>
      </c>
      <c r="C3700">
        <f>1/COUNTIF(B:B,pizza_sales[[#This Row],[order_id]])</f>
        <v>1</v>
      </c>
      <c r="D3700" t="s">
        <v>49</v>
      </c>
      <c r="E3700">
        <v>1</v>
      </c>
      <c r="F3700" s="1">
        <v>42316</v>
      </c>
      <c r="G3700" s="1" t="str">
        <f>TEXT(pizza_sales[[#This Row],[order_date]],"dddd")</f>
        <v>Sunday</v>
      </c>
      <c r="H3700" s="2">
        <v>0.63653935185185184</v>
      </c>
      <c r="I3700">
        <v>16</v>
      </c>
      <c r="J3700">
        <v>16</v>
      </c>
      <c r="K3700" t="s">
        <v>59</v>
      </c>
      <c r="L3700" t="s">
        <v>13</v>
      </c>
      <c r="M3700" t="s">
        <v>21</v>
      </c>
      <c r="N3700" t="s">
        <v>22</v>
      </c>
    </row>
    <row r="3701" spans="1:14" x14ac:dyDescent="0.25">
      <c r="A3701">
        <v>30254</v>
      </c>
      <c r="B3701">
        <v>13367</v>
      </c>
      <c r="C3701">
        <f>1/COUNTIF(B:B,pizza_sales[[#This Row],[order_id]])</f>
        <v>1</v>
      </c>
      <c r="D3701" t="s">
        <v>43</v>
      </c>
      <c r="E3701">
        <v>1</v>
      </c>
      <c r="F3701" s="1">
        <v>42316</v>
      </c>
      <c r="G3701" s="1" t="str">
        <f>TEXT(pizza_sales[[#This Row],[order_date]],"dddd")</f>
        <v>Sunday</v>
      </c>
      <c r="H3701" s="2">
        <v>0.64408564814814817</v>
      </c>
      <c r="I3701">
        <v>16.25</v>
      </c>
      <c r="J3701">
        <v>16.25</v>
      </c>
      <c r="K3701" t="s">
        <v>59</v>
      </c>
      <c r="L3701" t="s">
        <v>35</v>
      </c>
      <c r="M3701" t="s">
        <v>40</v>
      </c>
      <c r="N3701" t="s">
        <v>41</v>
      </c>
    </row>
    <row r="3702" spans="1:14" x14ac:dyDescent="0.25">
      <c r="A3702">
        <v>30258</v>
      </c>
      <c r="B3702">
        <v>13369</v>
      </c>
      <c r="C3702">
        <f>1/COUNTIF(B:B,pizza_sales[[#This Row],[order_id]])</f>
        <v>1</v>
      </c>
      <c r="D3702" t="s">
        <v>55</v>
      </c>
      <c r="E3702">
        <v>1</v>
      </c>
      <c r="F3702" s="1">
        <v>42316</v>
      </c>
      <c r="G3702" s="1" t="str">
        <f>TEXT(pizza_sales[[#This Row],[order_date]],"dddd")</f>
        <v>Sunday</v>
      </c>
      <c r="H3702" s="2">
        <v>0.67158564814814814</v>
      </c>
      <c r="I3702">
        <v>20.5</v>
      </c>
      <c r="J3702">
        <v>20.5</v>
      </c>
      <c r="K3702" t="s">
        <v>58</v>
      </c>
      <c r="L3702" t="s">
        <v>13</v>
      </c>
      <c r="M3702" t="s">
        <v>21</v>
      </c>
      <c r="N3702" t="s">
        <v>22</v>
      </c>
    </row>
    <row r="3703" spans="1:14" x14ac:dyDescent="0.25">
      <c r="A3703">
        <v>30263</v>
      </c>
      <c r="B3703">
        <v>13371</v>
      </c>
      <c r="C3703">
        <f>1/COUNTIF(B:B,pizza_sales[[#This Row],[order_id]])</f>
        <v>0.33333333333333331</v>
      </c>
      <c r="D3703" t="s">
        <v>45</v>
      </c>
      <c r="E3703">
        <v>1</v>
      </c>
      <c r="F3703" s="1">
        <v>42316</v>
      </c>
      <c r="G3703" s="1" t="str">
        <f>TEXT(pizza_sales[[#This Row],[order_date]],"dddd")</f>
        <v>Sunday</v>
      </c>
      <c r="H3703" s="2">
        <v>0.68671296296296291</v>
      </c>
      <c r="I3703">
        <v>10.5</v>
      </c>
      <c r="J3703">
        <v>10.5</v>
      </c>
      <c r="K3703" t="s">
        <v>60</v>
      </c>
      <c r="L3703" t="s">
        <v>13</v>
      </c>
      <c r="M3703" t="s">
        <v>14</v>
      </c>
      <c r="N3703" t="s">
        <v>15</v>
      </c>
    </row>
    <row r="3704" spans="1:14" x14ac:dyDescent="0.25">
      <c r="A3704">
        <v>30264</v>
      </c>
      <c r="B3704">
        <v>13371</v>
      </c>
      <c r="C3704">
        <f>1/COUNTIF(B:B,pizza_sales[[#This Row],[order_id]])</f>
        <v>0.33333333333333331</v>
      </c>
      <c r="D3704" t="s">
        <v>23</v>
      </c>
      <c r="E3704">
        <v>1</v>
      </c>
      <c r="F3704" s="1">
        <v>42316</v>
      </c>
      <c r="G3704" s="1" t="str">
        <f>TEXT(pizza_sales[[#This Row],[order_date]],"dddd")</f>
        <v>Sunday</v>
      </c>
      <c r="H3704" s="2">
        <v>0.68671296296296291</v>
      </c>
      <c r="I3704">
        <v>12</v>
      </c>
      <c r="J3704">
        <v>12</v>
      </c>
      <c r="K3704" t="s">
        <v>60</v>
      </c>
      <c r="L3704" t="s">
        <v>17</v>
      </c>
      <c r="M3704" t="s">
        <v>18</v>
      </c>
      <c r="N3704" t="s">
        <v>19</v>
      </c>
    </row>
    <row r="3705" spans="1:14" x14ac:dyDescent="0.25">
      <c r="A3705">
        <v>30265</v>
      </c>
      <c r="B3705">
        <v>13371</v>
      </c>
      <c r="C3705">
        <f>1/COUNTIF(B:B,pizza_sales[[#This Row],[order_id]])</f>
        <v>0.33333333333333331</v>
      </c>
      <c r="D3705" t="s">
        <v>31</v>
      </c>
      <c r="E3705">
        <v>1</v>
      </c>
      <c r="F3705" s="1">
        <v>42316</v>
      </c>
      <c r="G3705" s="1" t="str">
        <f>TEXT(pizza_sales[[#This Row],[order_date]],"dddd")</f>
        <v>Sunday</v>
      </c>
      <c r="H3705" s="2">
        <v>0.68671296296296291</v>
      </c>
      <c r="I3705">
        <v>12</v>
      </c>
      <c r="J3705">
        <v>12</v>
      </c>
      <c r="K3705" t="s">
        <v>60</v>
      </c>
      <c r="L3705" t="s">
        <v>13</v>
      </c>
      <c r="M3705" t="s">
        <v>32</v>
      </c>
      <c r="N3705" t="s">
        <v>33</v>
      </c>
    </row>
    <row r="3706" spans="1:14" x14ac:dyDescent="0.25">
      <c r="A3706">
        <v>30267</v>
      </c>
      <c r="B3706">
        <v>13372</v>
      </c>
      <c r="C3706">
        <f>1/COUNTIF(B:B,pizza_sales[[#This Row],[order_id]])</f>
        <v>1</v>
      </c>
      <c r="D3706" t="s">
        <v>24</v>
      </c>
      <c r="E3706">
        <v>1</v>
      </c>
      <c r="F3706" s="1">
        <v>42316</v>
      </c>
      <c r="G3706" s="1" t="str">
        <f>TEXT(pizza_sales[[#This Row],[order_date]],"dddd")</f>
        <v>Sunday</v>
      </c>
      <c r="H3706" s="2">
        <v>0.69678240740740738</v>
      </c>
      <c r="I3706">
        <v>20.25</v>
      </c>
      <c r="J3706">
        <v>20.25</v>
      </c>
      <c r="K3706" t="s">
        <v>58</v>
      </c>
      <c r="L3706" t="s">
        <v>17</v>
      </c>
      <c r="M3706" t="s">
        <v>18</v>
      </c>
      <c r="N3706" t="s">
        <v>19</v>
      </c>
    </row>
    <row r="3707" spans="1:14" x14ac:dyDescent="0.25">
      <c r="A3707">
        <v>30271</v>
      </c>
      <c r="B3707">
        <v>13374</v>
      </c>
      <c r="C3707">
        <f>1/COUNTIF(B:B,pizza_sales[[#This Row],[order_id]])</f>
        <v>1</v>
      </c>
      <c r="D3707" t="s">
        <v>28</v>
      </c>
      <c r="E3707">
        <v>1</v>
      </c>
      <c r="F3707" s="1">
        <v>42316</v>
      </c>
      <c r="G3707" s="1" t="str">
        <f>TEXT(pizza_sales[[#This Row],[order_date]],"dddd")</f>
        <v>Sunday</v>
      </c>
      <c r="H3707" s="2">
        <v>0.72709490740740745</v>
      </c>
      <c r="I3707">
        <v>12</v>
      </c>
      <c r="J3707">
        <v>12</v>
      </c>
      <c r="K3707" t="s">
        <v>60</v>
      </c>
      <c r="L3707" t="s">
        <v>13</v>
      </c>
      <c r="M3707" t="s">
        <v>29</v>
      </c>
      <c r="N3707" t="s">
        <v>30</v>
      </c>
    </row>
    <row r="3708" spans="1:14" x14ac:dyDescent="0.25">
      <c r="A3708">
        <v>30273</v>
      </c>
      <c r="B3708">
        <v>13375</v>
      </c>
      <c r="C3708">
        <f>1/COUNTIF(B:B,pizza_sales[[#This Row],[order_id]])</f>
        <v>1</v>
      </c>
      <c r="D3708" t="s">
        <v>47</v>
      </c>
      <c r="E3708">
        <v>1</v>
      </c>
      <c r="F3708" s="1">
        <v>42316</v>
      </c>
      <c r="G3708" s="1" t="str">
        <f>TEXT(pizza_sales[[#This Row],[order_date]],"dddd")</f>
        <v>Sunday</v>
      </c>
      <c r="H3708" s="2">
        <v>0.73549768518518521</v>
      </c>
      <c r="I3708">
        <v>16.5</v>
      </c>
      <c r="J3708">
        <v>16.5</v>
      </c>
      <c r="K3708" t="s">
        <v>58</v>
      </c>
      <c r="L3708" t="s">
        <v>13</v>
      </c>
      <c r="M3708" t="s">
        <v>14</v>
      </c>
      <c r="N3708" t="s">
        <v>15</v>
      </c>
    </row>
    <row r="3709" spans="1:14" x14ac:dyDescent="0.25">
      <c r="A3709">
        <v>30278</v>
      </c>
      <c r="B3709">
        <v>13377</v>
      </c>
      <c r="C3709">
        <f>1/COUNTIF(B:B,pizza_sales[[#This Row],[order_id]])</f>
        <v>1</v>
      </c>
      <c r="D3709" t="s">
        <v>50</v>
      </c>
      <c r="E3709">
        <v>1</v>
      </c>
      <c r="F3709" s="1">
        <v>42316</v>
      </c>
      <c r="G3709" s="1" t="str">
        <f>TEXT(pizza_sales[[#This Row],[order_date]],"dddd")</f>
        <v>Sunday</v>
      </c>
      <c r="H3709" s="2">
        <v>0.77436342592592589</v>
      </c>
      <c r="I3709">
        <v>16</v>
      </c>
      <c r="J3709">
        <v>16</v>
      </c>
      <c r="K3709" t="s">
        <v>59</v>
      </c>
      <c r="L3709" t="s">
        <v>13</v>
      </c>
      <c r="M3709" t="s">
        <v>32</v>
      </c>
      <c r="N3709" t="s">
        <v>33</v>
      </c>
    </row>
    <row r="3710" spans="1:14" x14ac:dyDescent="0.25">
      <c r="A3710">
        <v>30281</v>
      </c>
      <c r="B3710">
        <v>13378</v>
      </c>
      <c r="C3710">
        <f>1/COUNTIF(B:B,pizza_sales[[#This Row],[order_id]])</f>
        <v>1</v>
      </c>
      <c r="D3710" t="s">
        <v>12</v>
      </c>
      <c r="E3710">
        <v>1</v>
      </c>
      <c r="F3710" s="1">
        <v>42316</v>
      </c>
      <c r="G3710" s="1" t="str">
        <f>TEXT(pizza_sales[[#This Row],[order_date]],"dddd")</f>
        <v>Sunday</v>
      </c>
      <c r="H3710" s="2">
        <v>0.78086805555555561</v>
      </c>
      <c r="I3710">
        <v>13.25</v>
      </c>
      <c r="J3710">
        <v>13.25</v>
      </c>
      <c r="K3710" t="s">
        <v>59</v>
      </c>
      <c r="L3710" t="s">
        <v>13</v>
      </c>
      <c r="M3710" t="s">
        <v>14</v>
      </c>
      <c r="N3710" t="s">
        <v>15</v>
      </c>
    </row>
    <row r="3711" spans="1:14" x14ac:dyDescent="0.25">
      <c r="A3711">
        <v>30284</v>
      </c>
      <c r="B3711">
        <v>13380</v>
      </c>
      <c r="C3711">
        <f>1/COUNTIF(B:B,pizza_sales[[#This Row],[order_id]])</f>
        <v>1</v>
      </c>
      <c r="D3711" t="s">
        <v>50</v>
      </c>
      <c r="E3711">
        <v>1</v>
      </c>
      <c r="F3711" s="1">
        <v>42316</v>
      </c>
      <c r="G3711" s="1" t="str">
        <f>TEXT(pizza_sales[[#This Row],[order_date]],"dddd")</f>
        <v>Sunday</v>
      </c>
      <c r="H3711" s="2">
        <v>0.78158564814814813</v>
      </c>
      <c r="I3711">
        <v>16</v>
      </c>
      <c r="J3711">
        <v>16</v>
      </c>
      <c r="K3711" t="s">
        <v>59</v>
      </c>
      <c r="L3711" t="s">
        <v>13</v>
      </c>
      <c r="M3711" t="s">
        <v>32</v>
      </c>
      <c r="N3711" t="s">
        <v>33</v>
      </c>
    </row>
    <row r="3712" spans="1:14" x14ac:dyDescent="0.25">
      <c r="A3712">
        <v>30287</v>
      </c>
      <c r="B3712">
        <v>13381</v>
      </c>
      <c r="C3712">
        <f>1/COUNTIF(B:B,pizza_sales[[#This Row],[order_id]])</f>
        <v>1</v>
      </c>
      <c r="D3712" t="s">
        <v>12</v>
      </c>
      <c r="E3712">
        <v>1</v>
      </c>
      <c r="F3712" s="1">
        <v>42316</v>
      </c>
      <c r="G3712" s="1" t="str">
        <f>TEXT(pizza_sales[[#This Row],[order_date]],"dddd")</f>
        <v>Sunday</v>
      </c>
      <c r="H3712" s="2">
        <v>0.78197916666666667</v>
      </c>
      <c r="I3712">
        <v>13.25</v>
      </c>
      <c r="J3712">
        <v>13.25</v>
      </c>
      <c r="K3712" t="s">
        <v>59</v>
      </c>
      <c r="L3712" t="s">
        <v>13</v>
      </c>
      <c r="M3712" t="s">
        <v>14</v>
      </c>
      <c r="N3712" t="s">
        <v>15</v>
      </c>
    </row>
    <row r="3713" spans="1:14" x14ac:dyDescent="0.25">
      <c r="A3713">
        <v>30291</v>
      </c>
      <c r="B3713">
        <v>13384</v>
      </c>
      <c r="C3713">
        <f>1/COUNTIF(B:B,pizza_sales[[#This Row],[order_id]])</f>
        <v>1</v>
      </c>
      <c r="D3713" t="s">
        <v>28</v>
      </c>
      <c r="E3713">
        <v>2</v>
      </c>
      <c r="F3713" s="1">
        <v>42316</v>
      </c>
      <c r="G3713" s="1" t="str">
        <f>TEXT(pizza_sales[[#This Row],[order_date]],"dddd")</f>
        <v>Sunday</v>
      </c>
      <c r="H3713" s="2">
        <v>0.81340277777777781</v>
      </c>
      <c r="I3713">
        <v>12</v>
      </c>
      <c r="J3713">
        <v>24</v>
      </c>
      <c r="K3713" t="s">
        <v>60</v>
      </c>
      <c r="L3713" t="s">
        <v>13</v>
      </c>
      <c r="M3713" t="s">
        <v>29</v>
      </c>
      <c r="N3713" t="s">
        <v>30</v>
      </c>
    </row>
    <row r="3714" spans="1:14" x14ac:dyDescent="0.25">
      <c r="A3714">
        <v>30298</v>
      </c>
      <c r="B3714">
        <v>13388</v>
      </c>
      <c r="C3714">
        <f>1/COUNTIF(B:B,pizza_sales[[#This Row],[order_id]])</f>
        <v>1</v>
      </c>
      <c r="D3714" t="s">
        <v>42</v>
      </c>
      <c r="E3714">
        <v>1</v>
      </c>
      <c r="F3714" s="1">
        <v>42316</v>
      </c>
      <c r="G3714" s="1" t="str">
        <f>TEXT(pizza_sales[[#This Row],[order_date]],"dddd")</f>
        <v>Sunday</v>
      </c>
      <c r="H3714" s="2">
        <v>0.83611111111111114</v>
      </c>
      <c r="I3714">
        <v>12.5</v>
      </c>
      <c r="J3714">
        <v>12.5</v>
      </c>
      <c r="K3714" t="s">
        <v>59</v>
      </c>
      <c r="L3714" t="s">
        <v>13</v>
      </c>
      <c r="M3714" t="s">
        <v>26</v>
      </c>
      <c r="N3714" t="s">
        <v>27</v>
      </c>
    </row>
    <row r="3715" spans="1:14" x14ac:dyDescent="0.25">
      <c r="A3715">
        <v>30299</v>
      </c>
      <c r="B3715">
        <v>13389</v>
      </c>
      <c r="C3715">
        <f>1/COUNTIF(B:B,pizza_sales[[#This Row],[order_id]])</f>
        <v>1</v>
      </c>
      <c r="D3715" t="s">
        <v>28</v>
      </c>
      <c r="E3715">
        <v>1</v>
      </c>
      <c r="F3715" s="1">
        <v>42316</v>
      </c>
      <c r="G3715" s="1" t="str">
        <f>TEXT(pizza_sales[[#This Row],[order_date]],"dddd")</f>
        <v>Sunday</v>
      </c>
      <c r="H3715" s="2">
        <v>0.83921296296296299</v>
      </c>
      <c r="I3715">
        <v>12</v>
      </c>
      <c r="J3715">
        <v>12</v>
      </c>
      <c r="K3715" t="s">
        <v>60</v>
      </c>
      <c r="L3715" t="s">
        <v>13</v>
      </c>
      <c r="M3715" t="s">
        <v>29</v>
      </c>
      <c r="N3715" t="s">
        <v>30</v>
      </c>
    </row>
    <row r="3716" spans="1:14" x14ac:dyDescent="0.25">
      <c r="A3716">
        <v>30305</v>
      </c>
      <c r="B3716">
        <v>13393</v>
      </c>
      <c r="C3716">
        <f>1/COUNTIF(B:B,pizza_sales[[#This Row],[order_id]])</f>
        <v>1</v>
      </c>
      <c r="D3716" t="s">
        <v>47</v>
      </c>
      <c r="E3716">
        <v>1</v>
      </c>
      <c r="F3716" s="1">
        <v>42316</v>
      </c>
      <c r="G3716" s="1" t="str">
        <f>TEXT(pizza_sales[[#This Row],[order_date]],"dddd")</f>
        <v>Sunday</v>
      </c>
      <c r="H3716" s="2">
        <v>0.86189814814814814</v>
      </c>
      <c r="I3716">
        <v>16.5</v>
      </c>
      <c r="J3716">
        <v>16.5</v>
      </c>
      <c r="K3716" t="s">
        <v>58</v>
      </c>
      <c r="L3716" t="s">
        <v>13</v>
      </c>
      <c r="M3716" t="s">
        <v>14</v>
      </c>
      <c r="N3716" t="s">
        <v>15</v>
      </c>
    </row>
    <row r="3717" spans="1:14" x14ac:dyDescent="0.25">
      <c r="A3717">
        <v>30306</v>
      </c>
      <c r="B3717">
        <v>13394</v>
      </c>
      <c r="C3717">
        <f>1/COUNTIF(B:B,pizza_sales[[#This Row],[order_id]])</f>
        <v>1</v>
      </c>
      <c r="D3717" t="s">
        <v>54</v>
      </c>
      <c r="E3717">
        <v>1</v>
      </c>
      <c r="F3717" s="1">
        <v>42316</v>
      </c>
      <c r="G3717" s="1" t="str">
        <f>TEXT(pizza_sales[[#This Row],[order_date]],"dddd")</f>
        <v>Sunday</v>
      </c>
      <c r="H3717" s="2">
        <v>0.88002314814814819</v>
      </c>
      <c r="I3717">
        <v>12.25</v>
      </c>
      <c r="J3717">
        <v>12.25</v>
      </c>
      <c r="K3717" t="s">
        <v>60</v>
      </c>
      <c r="L3717" t="s">
        <v>35</v>
      </c>
      <c r="M3717" t="s">
        <v>36</v>
      </c>
      <c r="N3717" t="s">
        <v>37</v>
      </c>
    </row>
    <row r="3718" spans="1:14" x14ac:dyDescent="0.25">
      <c r="A3718">
        <v>30312</v>
      </c>
      <c r="B3718">
        <v>13396</v>
      </c>
      <c r="C3718">
        <f>1/COUNTIF(B:B,pizza_sales[[#This Row],[order_id]])</f>
        <v>1</v>
      </c>
      <c r="D3718" t="s">
        <v>12</v>
      </c>
      <c r="E3718">
        <v>1</v>
      </c>
      <c r="F3718" s="1">
        <v>42316</v>
      </c>
      <c r="G3718" s="1" t="str">
        <f>TEXT(pizza_sales[[#This Row],[order_date]],"dddd")</f>
        <v>Sunday</v>
      </c>
      <c r="H3718" s="2">
        <v>0.89128472222222221</v>
      </c>
      <c r="I3718">
        <v>13.25</v>
      </c>
      <c r="J3718">
        <v>13.25</v>
      </c>
      <c r="K3718" t="s">
        <v>59</v>
      </c>
      <c r="L3718" t="s">
        <v>13</v>
      </c>
      <c r="M3718" t="s">
        <v>14</v>
      </c>
      <c r="N3718" t="s">
        <v>15</v>
      </c>
    </row>
    <row r="3719" spans="1:14" x14ac:dyDescent="0.25">
      <c r="A3719">
        <v>30317</v>
      </c>
      <c r="B3719">
        <v>13399</v>
      </c>
      <c r="C3719">
        <f>1/COUNTIF(B:B,pizza_sales[[#This Row],[order_id]])</f>
        <v>1</v>
      </c>
      <c r="D3719" t="s">
        <v>28</v>
      </c>
      <c r="E3719">
        <v>1</v>
      </c>
      <c r="F3719" s="1">
        <v>42316</v>
      </c>
      <c r="G3719" s="1" t="str">
        <f>TEXT(pizza_sales[[#This Row],[order_date]],"dddd")</f>
        <v>Sunday</v>
      </c>
      <c r="H3719" s="2">
        <v>0.9120138888888889</v>
      </c>
      <c r="I3719">
        <v>12</v>
      </c>
      <c r="J3719">
        <v>12</v>
      </c>
      <c r="K3719" t="s">
        <v>60</v>
      </c>
      <c r="L3719" t="s">
        <v>13</v>
      </c>
      <c r="M3719" t="s">
        <v>29</v>
      </c>
      <c r="N3719" t="s">
        <v>30</v>
      </c>
    </row>
    <row r="3720" spans="1:14" x14ac:dyDescent="0.25">
      <c r="A3720">
        <v>30319</v>
      </c>
      <c r="B3720">
        <v>13400</v>
      </c>
      <c r="C3720">
        <f>1/COUNTIF(B:B,pizza_sales[[#This Row],[order_id]])</f>
        <v>1</v>
      </c>
      <c r="D3720" t="s">
        <v>45</v>
      </c>
      <c r="E3720">
        <v>1</v>
      </c>
      <c r="F3720" s="1">
        <v>42316</v>
      </c>
      <c r="G3720" s="1" t="str">
        <f>TEXT(pizza_sales[[#This Row],[order_date]],"dddd")</f>
        <v>Sunday</v>
      </c>
      <c r="H3720" s="2">
        <v>0.93671296296296291</v>
      </c>
      <c r="I3720">
        <v>10.5</v>
      </c>
      <c r="J3720">
        <v>10.5</v>
      </c>
      <c r="K3720" t="s">
        <v>60</v>
      </c>
      <c r="L3720" t="s">
        <v>13</v>
      </c>
      <c r="M3720" t="s">
        <v>14</v>
      </c>
      <c r="N3720" t="s">
        <v>15</v>
      </c>
    </row>
    <row r="3721" spans="1:14" x14ac:dyDescent="0.25">
      <c r="A3721">
        <v>30323</v>
      </c>
      <c r="B3721">
        <v>13402</v>
      </c>
      <c r="C3721">
        <f>1/COUNTIF(B:B,pizza_sales[[#This Row],[order_id]])</f>
        <v>1</v>
      </c>
      <c r="D3721" t="s">
        <v>34</v>
      </c>
      <c r="E3721">
        <v>1</v>
      </c>
      <c r="F3721" s="1">
        <v>42346</v>
      </c>
      <c r="G3721" s="1" t="str">
        <f>TEXT(pizza_sales[[#This Row],[order_date]],"dddd")</f>
        <v>Tuesday</v>
      </c>
      <c r="H3721" s="2">
        <v>0.48912037037037037</v>
      </c>
      <c r="I3721">
        <v>16.25</v>
      </c>
      <c r="J3721">
        <v>16.25</v>
      </c>
      <c r="K3721" t="s">
        <v>59</v>
      </c>
      <c r="L3721" t="s">
        <v>35</v>
      </c>
      <c r="M3721" t="s">
        <v>36</v>
      </c>
      <c r="N3721" t="s">
        <v>37</v>
      </c>
    </row>
    <row r="3722" spans="1:14" x14ac:dyDescent="0.25">
      <c r="A3722">
        <v>30327</v>
      </c>
      <c r="B3722">
        <v>13403</v>
      </c>
      <c r="C3722">
        <f>1/COUNTIF(B:B,pizza_sales[[#This Row],[order_id]])</f>
        <v>0.5</v>
      </c>
      <c r="D3722" t="s">
        <v>45</v>
      </c>
      <c r="E3722">
        <v>1</v>
      </c>
      <c r="F3722" s="1">
        <v>42346</v>
      </c>
      <c r="G3722" s="1" t="str">
        <f>TEXT(pizza_sales[[#This Row],[order_date]],"dddd")</f>
        <v>Tuesday</v>
      </c>
      <c r="H3722" s="2">
        <v>0.49309027777777775</v>
      </c>
      <c r="I3722">
        <v>10.5</v>
      </c>
      <c r="J3722">
        <v>10.5</v>
      </c>
      <c r="K3722" t="s">
        <v>60</v>
      </c>
      <c r="L3722" t="s">
        <v>13</v>
      </c>
      <c r="M3722" t="s">
        <v>14</v>
      </c>
      <c r="N3722" t="s">
        <v>15</v>
      </c>
    </row>
    <row r="3723" spans="1:14" x14ac:dyDescent="0.25">
      <c r="A3723">
        <v>30329</v>
      </c>
      <c r="B3723">
        <v>13403</v>
      </c>
      <c r="C3723">
        <f>1/COUNTIF(B:B,pizza_sales[[#This Row],[order_id]])</f>
        <v>0.5</v>
      </c>
      <c r="D3723" t="s">
        <v>31</v>
      </c>
      <c r="E3723">
        <v>1</v>
      </c>
      <c r="F3723" s="1">
        <v>42346</v>
      </c>
      <c r="G3723" s="1" t="str">
        <f>TEXT(pizza_sales[[#This Row],[order_date]],"dddd")</f>
        <v>Tuesday</v>
      </c>
      <c r="H3723" s="2">
        <v>0.49309027777777775</v>
      </c>
      <c r="I3723">
        <v>12</v>
      </c>
      <c r="J3723">
        <v>12</v>
      </c>
      <c r="K3723" t="s">
        <v>60</v>
      </c>
      <c r="L3723" t="s">
        <v>13</v>
      </c>
      <c r="M3723" t="s">
        <v>32</v>
      </c>
      <c r="N3723" t="s">
        <v>33</v>
      </c>
    </row>
    <row r="3724" spans="1:14" x14ac:dyDescent="0.25">
      <c r="A3724">
        <v>30331</v>
      </c>
      <c r="B3724">
        <v>13404</v>
      </c>
      <c r="C3724">
        <f>1/COUNTIF(B:B,pizza_sales[[#This Row],[order_id]])</f>
        <v>1</v>
      </c>
      <c r="D3724" t="s">
        <v>44</v>
      </c>
      <c r="E3724">
        <v>1</v>
      </c>
      <c r="F3724" s="1">
        <v>42346</v>
      </c>
      <c r="G3724" s="1" t="str">
        <f>TEXT(pizza_sales[[#This Row],[order_date]],"dddd")</f>
        <v>Tuesday</v>
      </c>
      <c r="H3724" s="2">
        <v>0.49343749999999997</v>
      </c>
      <c r="I3724">
        <v>9.75</v>
      </c>
      <c r="J3724">
        <v>9.75</v>
      </c>
      <c r="K3724" t="s">
        <v>60</v>
      </c>
      <c r="L3724" t="s">
        <v>13</v>
      </c>
      <c r="M3724" t="s">
        <v>26</v>
      </c>
      <c r="N3724" t="s">
        <v>27</v>
      </c>
    </row>
    <row r="3725" spans="1:14" x14ac:dyDescent="0.25">
      <c r="A3725">
        <v>30332</v>
      </c>
      <c r="B3725">
        <v>13405</v>
      </c>
      <c r="C3725">
        <f>1/COUNTIF(B:B,pizza_sales[[#This Row],[order_id]])</f>
        <v>0.5</v>
      </c>
      <c r="D3725" t="s">
        <v>45</v>
      </c>
      <c r="E3725">
        <v>1</v>
      </c>
      <c r="F3725" s="1">
        <v>42346</v>
      </c>
      <c r="G3725" s="1" t="str">
        <f>TEXT(pizza_sales[[#This Row],[order_date]],"dddd")</f>
        <v>Tuesday</v>
      </c>
      <c r="H3725" s="2">
        <v>0.49570601851851853</v>
      </c>
      <c r="I3725">
        <v>10.5</v>
      </c>
      <c r="J3725">
        <v>10.5</v>
      </c>
      <c r="K3725" t="s">
        <v>60</v>
      </c>
      <c r="L3725" t="s">
        <v>13</v>
      </c>
      <c r="M3725" t="s">
        <v>14</v>
      </c>
      <c r="N3725" t="s">
        <v>15</v>
      </c>
    </row>
    <row r="3726" spans="1:14" x14ac:dyDescent="0.25">
      <c r="A3726">
        <v>30333</v>
      </c>
      <c r="B3726">
        <v>13405</v>
      </c>
      <c r="C3726">
        <f>1/COUNTIF(B:B,pizza_sales[[#This Row],[order_id]])</f>
        <v>0.5</v>
      </c>
      <c r="D3726" t="s">
        <v>39</v>
      </c>
      <c r="E3726">
        <v>1</v>
      </c>
      <c r="F3726" s="1">
        <v>42346</v>
      </c>
      <c r="G3726" s="1" t="str">
        <f>TEXT(pizza_sales[[#This Row],[order_date]],"dddd")</f>
        <v>Tuesday</v>
      </c>
      <c r="H3726" s="2">
        <v>0.49570601851851853</v>
      </c>
      <c r="I3726">
        <v>20.25</v>
      </c>
      <c r="J3726">
        <v>20.25</v>
      </c>
      <c r="K3726" t="s">
        <v>58</v>
      </c>
      <c r="L3726" t="s">
        <v>35</v>
      </c>
      <c r="M3726" t="s">
        <v>40</v>
      </c>
      <c r="N3726" t="s">
        <v>41</v>
      </c>
    </row>
    <row r="3727" spans="1:14" x14ac:dyDescent="0.25">
      <c r="A3727">
        <v>30337</v>
      </c>
      <c r="B3727">
        <v>13406</v>
      </c>
      <c r="C3727">
        <f>1/COUNTIF(B:B,pizza_sales[[#This Row],[order_id]])</f>
        <v>0.5</v>
      </c>
      <c r="D3727" t="s">
        <v>47</v>
      </c>
      <c r="E3727">
        <v>2</v>
      </c>
      <c r="F3727" s="1">
        <v>42346</v>
      </c>
      <c r="G3727" s="1" t="str">
        <f>TEXT(pizza_sales[[#This Row],[order_date]],"dddd")</f>
        <v>Tuesday</v>
      </c>
      <c r="H3727" s="2">
        <v>0.51146990740740739</v>
      </c>
      <c r="I3727">
        <v>16.5</v>
      </c>
      <c r="J3727">
        <v>33</v>
      </c>
      <c r="K3727" t="s">
        <v>58</v>
      </c>
      <c r="L3727" t="s">
        <v>13</v>
      </c>
      <c r="M3727" t="s">
        <v>14</v>
      </c>
      <c r="N3727" t="s">
        <v>15</v>
      </c>
    </row>
    <row r="3728" spans="1:14" x14ac:dyDescent="0.25">
      <c r="A3728">
        <v>30341</v>
      </c>
      <c r="B3728">
        <v>13406</v>
      </c>
      <c r="C3728">
        <f>1/COUNTIF(B:B,pizza_sales[[#This Row],[order_id]])</f>
        <v>0.5</v>
      </c>
      <c r="D3728" t="s">
        <v>49</v>
      </c>
      <c r="E3728">
        <v>1</v>
      </c>
      <c r="F3728" s="1">
        <v>42346</v>
      </c>
      <c r="G3728" s="1" t="str">
        <f>TEXT(pizza_sales[[#This Row],[order_date]],"dddd")</f>
        <v>Tuesday</v>
      </c>
      <c r="H3728" s="2">
        <v>0.51146990740740739</v>
      </c>
      <c r="I3728">
        <v>16</v>
      </c>
      <c r="J3728">
        <v>16</v>
      </c>
      <c r="K3728" t="s">
        <v>59</v>
      </c>
      <c r="L3728" t="s">
        <v>13</v>
      </c>
      <c r="M3728" t="s">
        <v>21</v>
      </c>
      <c r="N3728" t="s">
        <v>22</v>
      </c>
    </row>
    <row r="3729" spans="1:14" x14ac:dyDescent="0.25">
      <c r="A3729">
        <v>30342</v>
      </c>
      <c r="B3729">
        <v>13407</v>
      </c>
      <c r="C3729">
        <f>1/COUNTIF(B:B,pizza_sales[[#This Row],[order_id]])</f>
        <v>1</v>
      </c>
      <c r="D3729" t="s">
        <v>50</v>
      </c>
      <c r="E3729">
        <v>1</v>
      </c>
      <c r="F3729" s="1">
        <v>42346</v>
      </c>
      <c r="G3729" s="1" t="str">
        <f>TEXT(pizza_sales[[#This Row],[order_date]],"dddd")</f>
        <v>Tuesday</v>
      </c>
      <c r="H3729" s="2">
        <v>0.52171296296296299</v>
      </c>
      <c r="I3729">
        <v>16</v>
      </c>
      <c r="J3729">
        <v>16</v>
      </c>
      <c r="K3729" t="s">
        <v>59</v>
      </c>
      <c r="L3729" t="s">
        <v>13</v>
      </c>
      <c r="M3729" t="s">
        <v>32</v>
      </c>
      <c r="N3729" t="s">
        <v>33</v>
      </c>
    </row>
    <row r="3730" spans="1:14" x14ac:dyDescent="0.25">
      <c r="A3730">
        <v>30343</v>
      </c>
      <c r="B3730">
        <v>13408</v>
      </c>
      <c r="C3730">
        <f>1/COUNTIF(B:B,pizza_sales[[#This Row],[order_id]])</f>
        <v>1</v>
      </c>
      <c r="D3730" t="s">
        <v>16</v>
      </c>
      <c r="E3730">
        <v>1</v>
      </c>
      <c r="F3730" s="1">
        <v>42346</v>
      </c>
      <c r="G3730" s="1" t="str">
        <f>TEXT(pizza_sales[[#This Row],[order_date]],"dddd")</f>
        <v>Tuesday</v>
      </c>
      <c r="H3730" s="2">
        <v>0.52968749999999998</v>
      </c>
      <c r="I3730">
        <v>16</v>
      </c>
      <c r="J3730">
        <v>16</v>
      </c>
      <c r="K3730" t="s">
        <v>59</v>
      </c>
      <c r="L3730" t="s">
        <v>17</v>
      </c>
      <c r="M3730" t="s">
        <v>18</v>
      </c>
      <c r="N3730" t="s">
        <v>19</v>
      </c>
    </row>
    <row r="3731" spans="1:14" x14ac:dyDescent="0.25">
      <c r="A3731">
        <v>30349</v>
      </c>
      <c r="B3731">
        <v>13413</v>
      </c>
      <c r="C3731">
        <f>1/COUNTIF(B:B,pizza_sales[[#This Row],[order_id]])</f>
        <v>1</v>
      </c>
      <c r="D3731" t="s">
        <v>34</v>
      </c>
      <c r="E3731">
        <v>1</v>
      </c>
      <c r="F3731" s="1">
        <v>42346</v>
      </c>
      <c r="G3731" s="1" t="str">
        <f>TEXT(pizza_sales[[#This Row],[order_date]],"dddd")</f>
        <v>Tuesday</v>
      </c>
      <c r="H3731" s="2">
        <v>0.55011574074074077</v>
      </c>
      <c r="I3731">
        <v>16.25</v>
      </c>
      <c r="J3731">
        <v>16.25</v>
      </c>
      <c r="K3731" t="s">
        <v>59</v>
      </c>
      <c r="L3731" t="s">
        <v>35</v>
      </c>
      <c r="M3731" t="s">
        <v>36</v>
      </c>
      <c r="N3731" t="s">
        <v>37</v>
      </c>
    </row>
    <row r="3732" spans="1:14" x14ac:dyDescent="0.25">
      <c r="A3732">
        <v>30354</v>
      </c>
      <c r="B3732">
        <v>13415</v>
      </c>
      <c r="C3732">
        <f>1/COUNTIF(B:B,pizza_sales[[#This Row],[order_id]])</f>
        <v>0.5</v>
      </c>
      <c r="D3732" t="s">
        <v>28</v>
      </c>
      <c r="E3732">
        <v>1</v>
      </c>
      <c r="F3732" s="1">
        <v>42346</v>
      </c>
      <c r="G3732" s="1" t="str">
        <f>TEXT(pizza_sales[[#This Row],[order_date]],"dddd")</f>
        <v>Tuesday</v>
      </c>
      <c r="H3732" s="2">
        <v>0.56526620370370373</v>
      </c>
      <c r="I3732">
        <v>12</v>
      </c>
      <c r="J3732">
        <v>12</v>
      </c>
      <c r="K3732" t="s">
        <v>60</v>
      </c>
      <c r="L3732" t="s">
        <v>13</v>
      </c>
      <c r="M3732" t="s">
        <v>29</v>
      </c>
      <c r="N3732" t="s">
        <v>30</v>
      </c>
    </row>
    <row r="3733" spans="1:14" x14ac:dyDescent="0.25">
      <c r="A3733">
        <v>30357</v>
      </c>
      <c r="B3733">
        <v>13415</v>
      </c>
      <c r="C3733">
        <f>1/COUNTIF(B:B,pizza_sales[[#This Row],[order_id]])</f>
        <v>0.5</v>
      </c>
      <c r="D3733" t="s">
        <v>20</v>
      </c>
      <c r="E3733">
        <v>1</v>
      </c>
      <c r="F3733" s="1">
        <v>42346</v>
      </c>
      <c r="G3733" s="1" t="str">
        <f>TEXT(pizza_sales[[#This Row],[order_date]],"dddd")</f>
        <v>Tuesday</v>
      </c>
      <c r="H3733" s="2">
        <v>0.56526620370370373</v>
      </c>
      <c r="I3733">
        <v>12</v>
      </c>
      <c r="J3733">
        <v>12</v>
      </c>
      <c r="K3733" t="s">
        <v>60</v>
      </c>
      <c r="L3733" t="s">
        <v>13</v>
      </c>
      <c r="M3733" t="s">
        <v>21</v>
      </c>
      <c r="N3733" t="s">
        <v>22</v>
      </c>
    </row>
    <row r="3734" spans="1:14" x14ac:dyDescent="0.25">
      <c r="A3734">
        <v>30359</v>
      </c>
      <c r="B3734">
        <v>13417</v>
      </c>
      <c r="C3734">
        <f>1/COUNTIF(B:B,pizza_sales[[#This Row],[order_id]])</f>
        <v>0.33333333333333331</v>
      </c>
      <c r="D3734" t="s">
        <v>51</v>
      </c>
      <c r="E3734">
        <v>1</v>
      </c>
      <c r="F3734" s="1">
        <v>42346</v>
      </c>
      <c r="G3734" s="1" t="str">
        <f>TEXT(pizza_sales[[#This Row],[order_date]],"dddd")</f>
        <v>Tuesday</v>
      </c>
      <c r="H3734" s="2">
        <v>0.58133101851851854</v>
      </c>
      <c r="I3734">
        <v>23.65</v>
      </c>
      <c r="J3734">
        <v>23.65</v>
      </c>
      <c r="K3734" t="s">
        <v>60</v>
      </c>
      <c r="L3734" t="s">
        <v>35</v>
      </c>
      <c r="M3734" t="s">
        <v>52</v>
      </c>
      <c r="N3734" t="s">
        <v>53</v>
      </c>
    </row>
    <row r="3735" spans="1:14" x14ac:dyDescent="0.25">
      <c r="A3735">
        <v>30361</v>
      </c>
      <c r="B3735">
        <v>13417</v>
      </c>
      <c r="C3735">
        <f>1/COUNTIF(B:B,pizza_sales[[#This Row],[order_id]])</f>
        <v>0.33333333333333331</v>
      </c>
      <c r="D3735" t="s">
        <v>12</v>
      </c>
      <c r="E3735">
        <v>1</v>
      </c>
      <c r="F3735" s="1">
        <v>42346</v>
      </c>
      <c r="G3735" s="1" t="str">
        <f>TEXT(pizza_sales[[#This Row],[order_date]],"dddd")</f>
        <v>Tuesday</v>
      </c>
      <c r="H3735" s="2">
        <v>0.58133101851851854</v>
      </c>
      <c r="I3735">
        <v>13.25</v>
      </c>
      <c r="J3735">
        <v>13.25</v>
      </c>
      <c r="K3735" t="s">
        <v>59</v>
      </c>
      <c r="L3735" t="s">
        <v>13</v>
      </c>
      <c r="M3735" t="s">
        <v>14</v>
      </c>
      <c r="N3735" t="s">
        <v>15</v>
      </c>
    </row>
    <row r="3736" spans="1:14" x14ac:dyDescent="0.25">
      <c r="A3736">
        <v>30362</v>
      </c>
      <c r="B3736">
        <v>13417</v>
      </c>
      <c r="C3736">
        <f>1/COUNTIF(B:B,pizza_sales[[#This Row],[order_id]])</f>
        <v>0.33333333333333331</v>
      </c>
      <c r="D3736" t="s">
        <v>45</v>
      </c>
      <c r="E3736">
        <v>1</v>
      </c>
      <c r="F3736" s="1">
        <v>42346</v>
      </c>
      <c r="G3736" s="1" t="str">
        <f>TEXT(pizza_sales[[#This Row],[order_date]],"dddd")</f>
        <v>Tuesday</v>
      </c>
      <c r="H3736" s="2">
        <v>0.58133101851851854</v>
      </c>
      <c r="I3736">
        <v>10.5</v>
      </c>
      <c r="J3736">
        <v>10.5</v>
      </c>
      <c r="K3736" t="s">
        <v>60</v>
      </c>
      <c r="L3736" t="s">
        <v>13</v>
      </c>
      <c r="M3736" t="s">
        <v>14</v>
      </c>
      <c r="N3736" t="s">
        <v>15</v>
      </c>
    </row>
    <row r="3737" spans="1:14" x14ac:dyDescent="0.25">
      <c r="A3737">
        <v>30370</v>
      </c>
      <c r="B3737">
        <v>13420</v>
      </c>
      <c r="C3737">
        <f>1/COUNTIF(B:B,pizza_sales[[#This Row],[order_id]])</f>
        <v>1</v>
      </c>
      <c r="D3737" t="s">
        <v>28</v>
      </c>
      <c r="E3737">
        <v>1</v>
      </c>
      <c r="F3737" s="1">
        <v>42346</v>
      </c>
      <c r="G3737" s="1" t="str">
        <f>TEXT(pizza_sales[[#This Row],[order_date]],"dddd")</f>
        <v>Tuesday</v>
      </c>
      <c r="H3737" s="2">
        <v>0.61856481481481485</v>
      </c>
      <c r="I3737">
        <v>12</v>
      </c>
      <c r="J3737">
        <v>12</v>
      </c>
      <c r="K3737" t="s">
        <v>60</v>
      </c>
      <c r="L3737" t="s">
        <v>13</v>
      </c>
      <c r="M3737" t="s">
        <v>29</v>
      </c>
      <c r="N3737" t="s">
        <v>30</v>
      </c>
    </row>
    <row r="3738" spans="1:14" x14ac:dyDescent="0.25">
      <c r="A3738">
        <v>30381</v>
      </c>
      <c r="B3738">
        <v>13424</v>
      </c>
      <c r="C3738">
        <f>1/COUNTIF(B:B,pizza_sales[[#This Row],[order_id]])</f>
        <v>1</v>
      </c>
      <c r="D3738" t="s">
        <v>31</v>
      </c>
      <c r="E3738">
        <v>1</v>
      </c>
      <c r="F3738" s="1">
        <v>42346</v>
      </c>
      <c r="G3738" s="1" t="str">
        <f>TEXT(pizza_sales[[#This Row],[order_date]],"dddd")</f>
        <v>Tuesday</v>
      </c>
      <c r="H3738" s="2">
        <v>0.65474537037037039</v>
      </c>
      <c r="I3738">
        <v>12</v>
      </c>
      <c r="J3738">
        <v>12</v>
      </c>
      <c r="K3738" t="s">
        <v>60</v>
      </c>
      <c r="L3738" t="s">
        <v>13</v>
      </c>
      <c r="M3738" t="s">
        <v>32</v>
      </c>
      <c r="N3738" t="s">
        <v>33</v>
      </c>
    </row>
    <row r="3739" spans="1:14" x14ac:dyDescent="0.25">
      <c r="A3739">
        <v>30384</v>
      </c>
      <c r="B3739">
        <v>13425</v>
      </c>
      <c r="C3739">
        <f>1/COUNTIF(B:B,pizza_sales[[#This Row],[order_id]])</f>
        <v>1</v>
      </c>
      <c r="D3739" t="s">
        <v>48</v>
      </c>
      <c r="E3739">
        <v>1</v>
      </c>
      <c r="F3739" s="1">
        <v>42346</v>
      </c>
      <c r="G3739" s="1" t="str">
        <f>TEXT(pizza_sales[[#This Row],[order_date]],"dddd")</f>
        <v>Tuesday</v>
      </c>
      <c r="H3739" s="2">
        <v>0.65800925925925924</v>
      </c>
      <c r="I3739">
        <v>12.25</v>
      </c>
      <c r="J3739">
        <v>12.25</v>
      </c>
      <c r="K3739" t="s">
        <v>60</v>
      </c>
      <c r="L3739" t="s">
        <v>35</v>
      </c>
      <c r="M3739" t="s">
        <v>40</v>
      </c>
      <c r="N3739" t="s">
        <v>41</v>
      </c>
    </row>
    <row r="3740" spans="1:14" x14ac:dyDescent="0.25">
      <c r="A3740">
        <v>30386</v>
      </c>
      <c r="B3740">
        <v>13426</v>
      </c>
      <c r="C3740">
        <f>1/COUNTIF(B:B,pizza_sales[[#This Row],[order_id]])</f>
        <v>1</v>
      </c>
      <c r="D3740" t="s">
        <v>42</v>
      </c>
      <c r="E3740">
        <v>1</v>
      </c>
      <c r="F3740" s="1">
        <v>42346</v>
      </c>
      <c r="G3740" s="1" t="str">
        <f>TEXT(pizza_sales[[#This Row],[order_date]],"dddd")</f>
        <v>Tuesday</v>
      </c>
      <c r="H3740" s="2">
        <v>0.66288194444444448</v>
      </c>
      <c r="I3740">
        <v>12.5</v>
      </c>
      <c r="J3740">
        <v>12.5</v>
      </c>
      <c r="K3740" t="s">
        <v>59</v>
      </c>
      <c r="L3740" t="s">
        <v>13</v>
      </c>
      <c r="M3740" t="s">
        <v>26</v>
      </c>
      <c r="N3740" t="s">
        <v>27</v>
      </c>
    </row>
    <row r="3741" spans="1:14" x14ac:dyDescent="0.25">
      <c r="A3741">
        <v>30387</v>
      </c>
      <c r="B3741">
        <v>13427</v>
      </c>
      <c r="C3741">
        <f>1/COUNTIF(B:B,pizza_sales[[#This Row],[order_id]])</f>
        <v>1</v>
      </c>
      <c r="D3741" t="s">
        <v>28</v>
      </c>
      <c r="E3741">
        <v>1</v>
      </c>
      <c r="F3741" s="1">
        <v>42346</v>
      </c>
      <c r="G3741" s="1" t="str">
        <f>TEXT(pizza_sales[[#This Row],[order_date]],"dddd")</f>
        <v>Tuesday</v>
      </c>
      <c r="H3741" s="2">
        <v>0.67641203703703701</v>
      </c>
      <c r="I3741">
        <v>12</v>
      </c>
      <c r="J3741">
        <v>12</v>
      </c>
      <c r="K3741" t="s">
        <v>60</v>
      </c>
      <c r="L3741" t="s">
        <v>13</v>
      </c>
      <c r="M3741" t="s">
        <v>29</v>
      </c>
      <c r="N3741" t="s">
        <v>30</v>
      </c>
    </row>
    <row r="3742" spans="1:14" x14ac:dyDescent="0.25">
      <c r="A3742">
        <v>30391</v>
      </c>
      <c r="B3742">
        <v>13428</v>
      </c>
      <c r="C3742">
        <f>1/COUNTIF(B:B,pizza_sales[[#This Row],[order_id]])</f>
        <v>1</v>
      </c>
      <c r="D3742" t="s">
        <v>34</v>
      </c>
      <c r="E3742">
        <v>1</v>
      </c>
      <c r="F3742" s="1">
        <v>42346</v>
      </c>
      <c r="G3742" s="1" t="str">
        <f>TEXT(pizza_sales[[#This Row],[order_date]],"dddd")</f>
        <v>Tuesday</v>
      </c>
      <c r="H3742" s="2">
        <v>0.67885416666666665</v>
      </c>
      <c r="I3742">
        <v>16.25</v>
      </c>
      <c r="J3742">
        <v>16.25</v>
      </c>
      <c r="K3742" t="s">
        <v>59</v>
      </c>
      <c r="L3742" t="s">
        <v>35</v>
      </c>
      <c r="M3742" t="s">
        <v>36</v>
      </c>
      <c r="N3742" t="s">
        <v>37</v>
      </c>
    </row>
    <row r="3743" spans="1:14" x14ac:dyDescent="0.25">
      <c r="A3743">
        <v>30394</v>
      </c>
      <c r="B3743">
        <v>13429</v>
      </c>
      <c r="C3743">
        <f>1/COUNTIF(B:B,pizza_sales[[#This Row],[order_id]])</f>
        <v>1</v>
      </c>
      <c r="D3743" t="s">
        <v>24</v>
      </c>
      <c r="E3743">
        <v>1</v>
      </c>
      <c r="F3743" s="1">
        <v>42346</v>
      </c>
      <c r="G3743" s="1" t="str">
        <f>TEXT(pizza_sales[[#This Row],[order_date]],"dddd")</f>
        <v>Tuesday</v>
      </c>
      <c r="H3743" s="2">
        <v>0.68453703703703705</v>
      </c>
      <c r="I3743">
        <v>20.25</v>
      </c>
      <c r="J3743">
        <v>20.25</v>
      </c>
      <c r="K3743" t="s">
        <v>58</v>
      </c>
      <c r="L3743" t="s">
        <v>17</v>
      </c>
      <c r="M3743" t="s">
        <v>18</v>
      </c>
      <c r="N3743" t="s">
        <v>19</v>
      </c>
    </row>
    <row r="3744" spans="1:14" x14ac:dyDescent="0.25">
      <c r="A3744">
        <v>30398</v>
      </c>
      <c r="B3744">
        <v>13431</v>
      </c>
      <c r="C3744">
        <f>1/COUNTIF(B:B,pizza_sales[[#This Row],[order_id]])</f>
        <v>1</v>
      </c>
      <c r="D3744" t="s">
        <v>45</v>
      </c>
      <c r="E3744">
        <v>1</v>
      </c>
      <c r="F3744" s="1">
        <v>42346</v>
      </c>
      <c r="G3744" s="1" t="str">
        <f>TEXT(pizza_sales[[#This Row],[order_date]],"dddd")</f>
        <v>Tuesday</v>
      </c>
      <c r="H3744" s="2">
        <v>0.69464120370370375</v>
      </c>
      <c r="I3744">
        <v>10.5</v>
      </c>
      <c r="J3744">
        <v>10.5</v>
      </c>
      <c r="K3744" t="s">
        <v>60</v>
      </c>
      <c r="L3744" t="s">
        <v>13</v>
      </c>
      <c r="M3744" t="s">
        <v>14</v>
      </c>
      <c r="N3744" t="s">
        <v>15</v>
      </c>
    </row>
    <row r="3745" spans="1:14" x14ac:dyDescent="0.25">
      <c r="A3745">
        <v>30407</v>
      </c>
      <c r="B3745">
        <v>13434</v>
      </c>
      <c r="C3745">
        <f>1/COUNTIF(B:B,pizza_sales[[#This Row],[order_id]])</f>
        <v>1</v>
      </c>
      <c r="D3745" t="s">
        <v>25</v>
      </c>
      <c r="E3745">
        <v>1</v>
      </c>
      <c r="F3745" s="1">
        <v>42346</v>
      </c>
      <c r="G3745" s="1" t="str">
        <f>TEXT(pizza_sales[[#This Row],[order_date]],"dddd")</f>
        <v>Tuesday</v>
      </c>
      <c r="H3745" s="2">
        <v>0.70248842592592597</v>
      </c>
      <c r="I3745">
        <v>15.25</v>
      </c>
      <c r="J3745">
        <v>15.25</v>
      </c>
      <c r="K3745" t="s">
        <v>58</v>
      </c>
      <c r="L3745" t="s">
        <v>13</v>
      </c>
      <c r="M3745" t="s">
        <v>26</v>
      </c>
      <c r="N3745" t="s">
        <v>27</v>
      </c>
    </row>
    <row r="3746" spans="1:14" x14ac:dyDescent="0.25">
      <c r="A3746">
        <v>30410</v>
      </c>
      <c r="B3746">
        <v>13436</v>
      </c>
      <c r="C3746">
        <f>1/COUNTIF(B:B,pizza_sales[[#This Row],[order_id]])</f>
        <v>1</v>
      </c>
      <c r="D3746" t="s">
        <v>46</v>
      </c>
      <c r="E3746">
        <v>1</v>
      </c>
      <c r="F3746" s="1">
        <v>42346</v>
      </c>
      <c r="G3746" s="1" t="str">
        <f>TEXT(pizza_sales[[#This Row],[order_date]],"dddd")</f>
        <v>Tuesday</v>
      </c>
      <c r="H3746" s="2">
        <v>0.73517361111111112</v>
      </c>
      <c r="I3746">
        <v>25.5</v>
      </c>
      <c r="J3746">
        <v>25.5</v>
      </c>
      <c r="K3746" t="s">
        <v>61</v>
      </c>
      <c r="L3746" t="s">
        <v>13</v>
      </c>
      <c r="M3746" t="s">
        <v>21</v>
      </c>
      <c r="N3746" t="s">
        <v>22</v>
      </c>
    </row>
    <row r="3747" spans="1:14" x14ac:dyDescent="0.25">
      <c r="A3747">
        <v>30413</v>
      </c>
      <c r="B3747">
        <v>13437</v>
      </c>
      <c r="C3747">
        <f>1/COUNTIF(B:B,pizza_sales[[#This Row],[order_id]])</f>
        <v>1</v>
      </c>
      <c r="D3747" t="s">
        <v>24</v>
      </c>
      <c r="E3747">
        <v>1</v>
      </c>
      <c r="F3747" s="1">
        <v>42346</v>
      </c>
      <c r="G3747" s="1" t="str">
        <f>TEXT(pizza_sales[[#This Row],[order_date]],"dddd")</f>
        <v>Tuesday</v>
      </c>
      <c r="H3747" s="2">
        <v>0.73774305555555553</v>
      </c>
      <c r="I3747">
        <v>20.25</v>
      </c>
      <c r="J3747">
        <v>20.25</v>
      </c>
      <c r="K3747" t="s">
        <v>58</v>
      </c>
      <c r="L3747" t="s">
        <v>17</v>
      </c>
      <c r="M3747" t="s">
        <v>18</v>
      </c>
      <c r="N3747" t="s">
        <v>19</v>
      </c>
    </row>
    <row r="3748" spans="1:14" x14ac:dyDescent="0.25">
      <c r="A3748">
        <v>30415</v>
      </c>
      <c r="B3748">
        <v>13438</v>
      </c>
      <c r="C3748">
        <f>1/COUNTIF(B:B,pizza_sales[[#This Row],[order_id]])</f>
        <v>0.5</v>
      </c>
      <c r="D3748" t="s">
        <v>47</v>
      </c>
      <c r="E3748">
        <v>1</v>
      </c>
      <c r="F3748" s="1">
        <v>42346</v>
      </c>
      <c r="G3748" s="1" t="str">
        <f>TEXT(pizza_sales[[#This Row],[order_date]],"dddd")</f>
        <v>Tuesday</v>
      </c>
      <c r="H3748" s="2">
        <v>0.74027777777777781</v>
      </c>
      <c r="I3748">
        <v>16.5</v>
      </c>
      <c r="J3748">
        <v>16.5</v>
      </c>
      <c r="K3748" t="s">
        <v>58</v>
      </c>
      <c r="L3748" t="s">
        <v>13</v>
      </c>
      <c r="M3748" t="s">
        <v>14</v>
      </c>
      <c r="N3748" t="s">
        <v>15</v>
      </c>
    </row>
    <row r="3749" spans="1:14" x14ac:dyDescent="0.25">
      <c r="A3749">
        <v>30416</v>
      </c>
      <c r="B3749">
        <v>13438</v>
      </c>
      <c r="C3749">
        <f>1/COUNTIF(B:B,pizza_sales[[#This Row],[order_id]])</f>
        <v>0.5</v>
      </c>
      <c r="D3749" t="s">
        <v>44</v>
      </c>
      <c r="E3749">
        <v>1</v>
      </c>
      <c r="F3749" s="1">
        <v>42346</v>
      </c>
      <c r="G3749" s="1" t="str">
        <f>TEXT(pizza_sales[[#This Row],[order_date]],"dddd")</f>
        <v>Tuesday</v>
      </c>
      <c r="H3749" s="2">
        <v>0.74027777777777781</v>
      </c>
      <c r="I3749">
        <v>9.75</v>
      </c>
      <c r="J3749">
        <v>9.75</v>
      </c>
      <c r="K3749" t="s">
        <v>60</v>
      </c>
      <c r="L3749" t="s">
        <v>13</v>
      </c>
      <c r="M3749" t="s">
        <v>26</v>
      </c>
      <c r="N3749" t="s">
        <v>27</v>
      </c>
    </row>
    <row r="3750" spans="1:14" x14ac:dyDescent="0.25">
      <c r="A3750">
        <v>30419</v>
      </c>
      <c r="B3750">
        <v>13439</v>
      </c>
      <c r="C3750">
        <f>1/COUNTIF(B:B,pizza_sales[[#This Row],[order_id]])</f>
        <v>1</v>
      </c>
      <c r="D3750" t="s">
        <v>43</v>
      </c>
      <c r="E3750">
        <v>1</v>
      </c>
      <c r="F3750" s="1">
        <v>42346</v>
      </c>
      <c r="G3750" s="1" t="str">
        <f>TEXT(pizza_sales[[#This Row],[order_date]],"dddd")</f>
        <v>Tuesday</v>
      </c>
      <c r="H3750" s="2">
        <v>0.74712962962962959</v>
      </c>
      <c r="I3750">
        <v>16.25</v>
      </c>
      <c r="J3750">
        <v>16.25</v>
      </c>
      <c r="K3750" t="s">
        <v>59</v>
      </c>
      <c r="L3750" t="s">
        <v>35</v>
      </c>
      <c r="M3750" t="s">
        <v>40</v>
      </c>
      <c r="N3750" t="s">
        <v>41</v>
      </c>
    </row>
    <row r="3751" spans="1:14" x14ac:dyDescent="0.25">
      <c r="A3751">
        <v>30420</v>
      </c>
      <c r="B3751">
        <v>13440</v>
      </c>
      <c r="C3751">
        <f>1/COUNTIF(B:B,pizza_sales[[#This Row],[order_id]])</f>
        <v>1</v>
      </c>
      <c r="D3751" t="s">
        <v>45</v>
      </c>
      <c r="E3751">
        <v>1</v>
      </c>
      <c r="F3751" s="1">
        <v>42346</v>
      </c>
      <c r="G3751" s="1" t="str">
        <f>TEXT(pizza_sales[[#This Row],[order_date]],"dddd")</f>
        <v>Tuesday</v>
      </c>
      <c r="H3751" s="2">
        <v>0.75275462962962958</v>
      </c>
      <c r="I3751">
        <v>10.5</v>
      </c>
      <c r="J3751">
        <v>10.5</v>
      </c>
      <c r="K3751" t="s">
        <v>60</v>
      </c>
      <c r="L3751" t="s">
        <v>13</v>
      </c>
      <c r="M3751" t="s">
        <v>14</v>
      </c>
      <c r="N3751" t="s">
        <v>15</v>
      </c>
    </row>
    <row r="3752" spans="1:14" x14ac:dyDescent="0.25">
      <c r="A3752">
        <v>30426</v>
      </c>
      <c r="B3752">
        <v>13441</v>
      </c>
      <c r="C3752">
        <f>1/COUNTIF(B:B,pizza_sales[[#This Row],[order_id]])</f>
        <v>1</v>
      </c>
      <c r="D3752" t="s">
        <v>31</v>
      </c>
      <c r="E3752">
        <v>1</v>
      </c>
      <c r="F3752" s="1">
        <v>42346</v>
      </c>
      <c r="G3752" s="1" t="str">
        <f>TEXT(pizza_sales[[#This Row],[order_date]],"dddd")</f>
        <v>Tuesday</v>
      </c>
      <c r="H3752" s="2">
        <v>0.75979166666666664</v>
      </c>
      <c r="I3752">
        <v>12</v>
      </c>
      <c r="J3752">
        <v>12</v>
      </c>
      <c r="K3752" t="s">
        <v>60</v>
      </c>
      <c r="L3752" t="s">
        <v>13</v>
      </c>
      <c r="M3752" t="s">
        <v>32</v>
      </c>
      <c r="N3752" t="s">
        <v>33</v>
      </c>
    </row>
    <row r="3753" spans="1:14" x14ac:dyDescent="0.25">
      <c r="A3753">
        <v>30433</v>
      </c>
      <c r="B3753">
        <v>13444</v>
      </c>
      <c r="C3753">
        <f>1/COUNTIF(B:B,pizza_sales[[#This Row],[order_id]])</f>
        <v>0.5</v>
      </c>
      <c r="D3753" t="s">
        <v>51</v>
      </c>
      <c r="E3753">
        <v>1</v>
      </c>
      <c r="F3753" s="1">
        <v>42346</v>
      </c>
      <c r="G3753" s="1" t="str">
        <f>TEXT(pizza_sales[[#This Row],[order_date]],"dddd")</f>
        <v>Tuesday</v>
      </c>
      <c r="H3753" s="2">
        <v>0.7721527777777778</v>
      </c>
      <c r="I3753">
        <v>23.65</v>
      </c>
      <c r="J3753">
        <v>23.65</v>
      </c>
      <c r="K3753" t="s">
        <v>60</v>
      </c>
      <c r="L3753" t="s">
        <v>35</v>
      </c>
      <c r="M3753" t="s">
        <v>52</v>
      </c>
      <c r="N3753" t="s">
        <v>53</v>
      </c>
    </row>
    <row r="3754" spans="1:14" x14ac:dyDescent="0.25">
      <c r="A3754">
        <v>30435</v>
      </c>
      <c r="B3754">
        <v>13444</v>
      </c>
      <c r="C3754">
        <f>1/COUNTIF(B:B,pizza_sales[[#This Row],[order_id]])</f>
        <v>0.5</v>
      </c>
      <c r="D3754" t="s">
        <v>39</v>
      </c>
      <c r="E3754">
        <v>1</v>
      </c>
      <c r="F3754" s="1">
        <v>42346</v>
      </c>
      <c r="G3754" s="1" t="str">
        <f>TEXT(pizza_sales[[#This Row],[order_date]],"dddd")</f>
        <v>Tuesday</v>
      </c>
      <c r="H3754" s="2">
        <v>0.7721527777777778</v>
      </c>
      <c r="I3754">
        <v>20.25</v>
      </c>
      <c r="J3754">
        <v>20.25</v>
      </c>
      <c r="K3754" t="s">
        <v>58</v>
      </c>
      <c r="L3754" t="s">
        <v>35</v>
      </c>
      <c r="M3754" t="s">
        <v>40</v>
      </c>
      <c r="N3754" t="s">
        <v>41</v>
      </c>
    </row>
    <row r="3755" spans="1:14" x14ac:dyDescent="0.25">
      <c r="A3755">
        <v>30436</v>
      </c>
      <c r="B3755">
        <v>13445</v>
      </c>
      <c r="C3755">
        <f>1/COUNTIF(B:B,pizza_sales[[#This Row],[order_id]])</f>
        <v>0.33333333333333331</v>
      </c>
      <c r="D3755" t="s">
        <v>51</v>
      </c>
      <c r="E3755">
        <v>1</v>
      </c>
      <c r="F3755" s="1">
        <v>42346</v>
      </c>
      <c r="G3755" s="1" t="str">
        <f>TEXT(pizza_sales[[#This Row],[order_date]],"dddd")</f>
        <v>Tuesday</v>
      </c>
      <c r="H3755" s="2">
        <v>0.77733796296296298</v>
      </c>
      <c r="I3755">
        <v>23.65</v>
      </c>
      <c r="J3755">
        <v>23.65</v>
      </c>
      <c r="K3755" t="s">
        <v>60</v>
      </c>
      <c r="L3755" t="s">
        <v>35</v>
      </c>
      <c r="M3755" t="s">
        <v>52</v>
      </c>
      <c r="N3755" t="s">
        <v>53</v>
      </c>
    </row>
    <row r="3756" spans="1:14" x14ac:dyDescent="0.25">
      <c r="A3756">
        <v>30438</v>
      </c>
      <c r="B3756">
        <v>13445</v>
      </c>
      <c r="C3756">
        <f>1/COUNTIF(B:B,pizza_sales[[#This Row],[order_id]])</f>
        <v>0.33333333333333331</v>
      </c>
      <c r="D3756" t="s">
        <v>42</v>
      </c>
      <c r="E3756">
        <v>1</v>
      </c>
      <c r="F3756" s="1">
        <v>42346</v>
      </c>
      <c r="G3756" s="1" t="str">
        <f>TEXT(pizza_sales[[#This Row],[order_date]],"dddd")</f>
        <v>Tuesday</v>
      </c>
      <c r="H3756" s="2">
        <v>0.77733796296296298</v>
      </c>
      <c r="I3756">
        <v>12.5</v>
      </c>
      <c r="J3756">
        <v>12.5</v>
      </c>
      <c r="K3756" t="s">
        <v>59</v>
      </c>
      <c r="L3756" t="s">
        <v>13</v>
      </c>
      <c r="M3756" t="s">
        <v>26</v>
      </c>
      <c r="N3756" t="s">
        <v>27</v>
      </c>
    </row>
    <row r="3757" spans="1:14" x14ac:dyDescent="0.25">
      <c r="A3757">
        <v>30439</v>
      </c>
      <c r="B3757">
        <v>13445</v>
      </c>
      <c r="C3757">
        <f>1/COUNTIF(B:B,pizza_sales[[#This Row],[order_id]])</f>
        <v>0.33333333333333331</v>
      </c>
      <c r="D3757" t="s">
        <v>46</v>
      </c>
      <c r="E3757">
        <v>1</v>
      </c>
      <c r="F3757" s="1">
        <v>42346</v>
      </c>
      <c r="G3757" s="1" t="str">
        <f>TEXT(pizza_sales[[#This Row],[order_date]],"dddd")</f>
        <v>Tuesday</v>
      </c>
      <c r="H3757" s="2">
        <v>0.77733796296296298</v>
      </c>
      <c r="I3757">
        <v>25.5</v>
      </c>
      <c r="J3757">
        <v>25.5</v>
      </c>
      <c r="K3757" t="s">
        <v>61</v>
      </c>
      <c r="L3757" t="s">
        <v>13</v>
      </c>
      <c r="M3757" t="s">
        <v>21</v>
      </c>
      <c r="N3757" t="s">
        <v>22</v>
      </c>
    </row>
    <row r="3758" spans="1:14" x14ac:dyDescent="0.25">
      <c r="A3758">
        <v>30446</v>
      </c>
      <c r="B3758">
        <v>13448</v>
      </c>
      <c r="C3758">
        <f>1/COUNTIF(B:B,pizza_sales[[#This Row],[order_id]])</f>
        <v>1</v>
      </c>
      <c r="D3758" t="s">
        <v>24</v>
      </c>
      <c r="E3758">
        <v>1</v>
      </c>
      <c r="F3758" s="1">
        <v>42346</v>
      </c>
      <c r="G3758" s="1" t="str">
        <f>TEXT(pizza_sales[[#This Row],[order_date]],"dddd")</f>
        <v>Tuesday</v>
      </c>
      <c r="H3758" s="2">
        <v>0.80812499999999998</v>
      </c>
      <c r="I3758">
        <v>20.25</v>
      </c>
      <c r="J3758">
        <v>20.25</v>
      </c>
      <c r="K3758" t="s">
        <v>58</v>
      </c>
      <c r="L3758" t="s">
        <v>17</v>
      </c>
      <c r="M3758" t="s">
        <v>18</v>
      </c>
      <c r="N3758" t="s">
        <v>19</v>
      </c>
    </row>
    <row r="3759" spans="1:14" x14ac:dyDescent="0.25">
      <c r="A3759">
        <v>30447</v>
      </c>
      <c r="B3759">
        <v>13449</v>
      </c>
      <c r="C3759">
        <f>1/COUNTIF(B:B,pizza_sales[[#This Row],[order_id]])</f>
        <v>1</v>
      </c>
      <c r="D3759" t="s">
        <v>47</v>
      </c>
      <c r="E3759">
        <v>1</v>
      </c>
      <c r="F3759" s="1">
        <v>42346</v>
      </c>
      <c r="G3759" s="1" t="str">
        <f>TEXT(pizza_sales[[#This Row],[order_date]],"dddd")</f>
        <v>Tuesday</v>
      </c>
      <c r="H3759" s="2">
        <v>0.8114351851851852</v>
      </c>
      <c r="I3759">
        <v>16.5</v>
      </c>
      <c r="J3759">
        <v>16.5</v>
      </c>
      <c r="K3759" t="s">
        <v>58</v>
      </c>
      <c r="L3759" t="s">
        <v>13</v>
      </c>
      <c r="M3759" t="s">
        <v>14</v>
      </c>
      <c r="N3759" t="s">
        <v>15</v>
      </c>
    </row>
    <row r="3760" spans="1:14" x14ac:dyDescent="0.25">
      <c r="A3760">
        <v>30452</v>
      </c>
      <c r="B3760">
        <v>13450</v>
      </c>
      <c r="C3760">
        <f>1/COUNTIF(B:B,pizza_sales[[#This Row],[order_id]])</f>
        <v>1</v>
      </c>
      <c r="D3760" t="s">
        <v>31</v>
      </c>
      <c r="E3760">
        <v>1</v>
      </c>
      <c r="F3760" s="1">
        <v>42346</v>
      </c>
      <c r="G3760" s="1" t="str">
        <f>TEXT(pizza_sales[[#This Row],[order_date]],"dddd")</f>
        <v>Tuesday</v>
      </c>
      <c r="H3760" s="2">
        <v>0.81292824074074077</v>
      </c>
      <c r="I3760">
        <v>12</v>
      </c>
      <c r="J3760">
        <v>12</v>
      </c>
      <c r="K3760" t="s">
        <v>60</v>
      </c>
      <c r="L3760" t="s">
        <v>13</v>
      </c>
      <c r="M3760" t="s">
        <v>32</v>
      </c>
      <c r="N3760" t="s">
        <v>33</v>
      </c>
    </row>
    <row r="3761" spans="1:14" x14ac:dyDescent="0.25">
      <c r="A3761">
        <v>30455</v>
      </c>
      <c r="B3761">
        <v>13451</v>
      </c>
      <c r="C3761">
        <f>1/COUNTIF(B:B,pizza_sales[[#This Row],[order_id]])</f>
        <v>1</v>
      </c>
      <c r="D3761" t="s">
        <v>45</v>
      </c>
      <c r="E3761">
        <v>1</v>
      </c>
      <c r="F3761" s="1">
        <v>42346</v>
      </c>
      <c r="G3761" s="1" t="str">
        <f>TEXT(pizza_sales[[#This Row],[order_date]],"dddd")</f>
        <v>Tuesday</v>
      </c>
      <c r="H3761" s="2">
        <v>0.82881944444444444</v>
      </c>
      <c r="I3761">
        <v>10.5</v>
      </c>
      <c r="J3761">
        <v>10.5</v>
      </c>
      <c r="K3761" t="s">
        <v>60</v>
      </c>
      <c r="L3761" t="s">
        <v>13</v>
      </c>
      <c r="M3761" t="s">
        <v>14</v>
      </c>
      <c r="N3761" t="s">
        <v>15</v>
      </c>
    </row>
    <row r="3762" spans="1:14" x14ac:dyDescent="0.25">
      <c r="A3762">
        <v>30462</v>
      </c>
      <c r="B3762">
        <v>13454</v>
      </c>
      <c r="C3762">
        <f>1/COUNTIF(B:B,pizza_sales[[#This Row],[order_id]])</f>
        <v>1</v>
      </c>
      <c r="D3762" t="s">
        <v>24</v>
      </c>
      <c r="E3762">
        <v>1</v>
      </c>
      <c r="F3762" s="1">
        <v>42346</v>
      </c>
      <c r="G3762" s="1" t="str">
        <f>TEXT(pizza_sales[[#This Row],[order_date]],"dddd")</f>
        <v>Tuesday</v>
      </c>
      <c r="H3762" s="2">
        <v>0.89856481481481476</v>
      </c>
      <c r="I3762">
        <v>20.25</v>
      </c>
      <c r="J3762">
        <v>20.25</v>
      </c>
      <c r="K3762" t="s">
        <v>58</v>
      </c>
      <c r="L3762" t="s">
        <v>17</v>
      </c>
      <c r="M3762" t="s">
        <v>18</v>
      </c>
      <c r="N3762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1E6902-2FEE-4200-9E92-2A94596F49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</vt:lpstr>
      <vt:lpstr>Dashboard</vt:lpstr>
      <vt:lpstr>Trends for total order</vt:lpstr>
      <vt:lpstr>Percentage of sales</vt:lpstr>
      <vt:lpstr>Best and worse sellers</vt:lpstr>
      <vt:lpstr>pizza_sales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2026-05-23T14:15:35Z</dcterms:created>
  <dcterms:modified xsi:type="dcterms:W3CDTF">2026-05-26T03:47:08Z</dcterms:modified>
</cp:coreProperties>
</file>